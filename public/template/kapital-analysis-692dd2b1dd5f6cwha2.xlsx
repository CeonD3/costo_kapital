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5.xml" ContentType="application/vnd.ms-excel.threaded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omments10.xml" ContentType="application/vnd.openxmlformats-officedocument.spreadsheetml.comments+xml"/>
  <Override PartName="/xl/threadedComments/threadedComment6.xml" ContentType="application/vnd.ms-excel.threadedcomment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/>
  <xr:revisionPtr revIDLastSave="0" documentId="13_ncr:1_{16027499-B326-456B-A55B-DDF6C0F0015F}" xr6:coauthVersionLast="47" xr6:coauthVersionMax="47" xr10:uidLastSave="{00000000-0000-0000-0000-000000000000}"/>
  <bookViews>
    <workbookView xWindow="-108" yWindow="-108" windowWidth="23256" windowHeight="12456" tabRatio="741" xr2:uid="{00000000-000D-0000-FFFF-FFFF00000000}"/>
  </bookViews>
  <sheets>
    <sheet name="Plantilla Usuario" sheetId="17" r:id="rId1"/>
    <sheet name="WACC" sheetId="1" r:id="rId2"/>
    <sheet name="Damondaran Industries" sheetId="15" r:id="rId3"/>
    <sheet name="M. por conceptos" sheetId="19" r:id="rId4"/>
    <sheet name="EE.FF Económicos" sheetId="18" r:id="rId5"/>
    <sheet name="Devaluación" sheetId="22" r:id="rId6"/>
    <sheet name="Rf Ajustado" sheetId="2" r:id="rId7"/>
    <sheet name="Rf Base de datos" sheetId="11" r:id="rId8"/>
    <sheet name="Embi" sheetId="7" r:id="rId9"/>
    <sheet name="Koa-Boa" sheetId="16" r:id="rId10"/>
    <sheet name="Prima de mercado" sheetId="5" r:id="rId11"/>
    <sheet name="IR" sheetId="8" r:id="rId12"/>
    <sheet name="Flujos" sheetId="9" r:id="rId13"/>
    <sheet name="Tablas" sheetId="10" r:id="rId14"/>
    <sheet name="M. Integrado" sheetId="20" r:id="rId15"/>
    <sheet name="Hoja1" sheetId="24" r:id="rId16"/>
    <sheet name="Sensibilidad" sheetId="21" r:id="rId17"/>
    <sheet name="BVL" sheetId="23" r:id="rId18"/>
  </sheets>
  <definedNames>
    <definedName name="hh" localSheetId="5">#REF!</definedName>
    <definedName name="hh" localSheetId="12">#REF!</definedName>
    <definedName name="hh">#REF!</definedName>
    <definedName name="riesgopais" localSheetId="12">#REF!</definedName>
    <definedName name="riesgopais">#REF!</definedName>
    <definedName name="Tabla3_RFFRFR">Tabla3[]</definedName>
    <definedName name="Tabla3_RFFRFRcustom">Tabla3[]</definedName>
    <definedName name="Tabla3_RFFRFRustom">Tabla3[]</definedName>
  </definedNames>
  <calcPr calcId="99999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tc={01627330-5C1D-457F-931C-DB695DF76DC7}</author>
    <author>tc={132053D3-09DD-4A92-8FB8-5C7EB74DBF39}</author>
  </authors>
  <commentList>
    <comment ref="D2" authorId="0" shapeId="0" xr:uid="{01627330-5C1D-457F-931C-DB695DF76D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la celda C2 a la celda C5, se almacenan parámetros definidos por el usuario.</t>
      </text>
    </comment>
    <comment ref="C7" authorId="1" shapeId="0" xr:uid="{132053D3-09DD-4A92-8FB8-5C7EB74DBF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celdas C7 y C8 sirven para incrementar o disminuir el número de años que el usuario desea añadir de información histórica.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tc={BA89BFAA-4E5F-4489-AE54-36490B91AD0D}</author>
    <author>Autor</author>
    <author>tc={89C997AC-64C9-4390-8523-CA1C8FB1B36B}</author>
    <author>tc={FB8B9348-0E5E-4242-90B7-918F1ECD9E8B}</author>
    <author>tc={02DFF5BC-98A9-4627-8C57-A23AB91EC7E6}</author>
    <author>tc={C4D5601B-FF3C-4B13-9081-A469E86F872E}</author>
  </authors>
  <commentList>
    <comment ref="F6" authorId="0" shapeId="0" xr:uid="{BA89BFAA-4E5F-4489-AE54-36490B91AD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que definir la lista desplegable de países en la plataforma con los siguientes países y en el siguiente orden:
Argentina, Brazil, Chile, Colombia, Ecuador, Mxico, Peru, United States
</t>
      </text>
    </comment>
    <comment ref="I10" authorId="1" shapeId="0" xr:uid="{00000000-0006-0000-0000-000001000000}">
      <text>
        <r>
          <rPr>
            <b/>
            <sz val="9"/>
            <color rgb="FF000000"/>
            <rFont val="Tahoma"/>
            <family val="2"/>
          </rPr>
          <t xml:space="preserve">Yajaira Tácunan:
</t>
        </r>
        <r>
          <rPr>
            <sz val="9"/>
            <color rgb="FF000000"/>
            <rFont val="Tahoma"/>
            <family val="2"/>
          </rPr>
          <t>Si no se ingresa información en la celda K5, la celda I5 es cero y por lo tanto la celda I8 se calcula con la celda I6</t>
        </r>
      </text>
    </comment>
    <comment ref="C13" authorId="2" shapeId="0" xr:uid="{89C997AC-64C9-4390-8523-CA1C8FB1B3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parámetro sector, definido por el usuario, se almacena en esta celda.</t>
      </text>
    </comment>
    <comment ref="C17" authorId="1" shapeId="0" xr:uid="{8314B0C4-41FF-4BEE-90B0-98F5B3192BB5}">
      <text>
        <r>
          <rPr>
            <b/>
            <sz val="9"/>
            <color indexed="81"/>
            <rFont val="Tahoma"/>
            <family val="2"/>
          </rPr>
          <t>Inicia en 2</t>
        </r>
      </text>
    </comment>
    <comment ref="C18" authorId="1" shapeId="0" xr:uid="{865D99D6-99D5-4A57-924A-D54DDBA421AC}">
      <text>
        <r>
          <rPr>
            <b/>
            <sz val="9"/>
            <color indexed="81"/>
            <rFont val="Tahoma"/>
            <family val="2"/>
          </rPr>
          <t>Inicia en 3</t>
        </r>
      </text>
    </comment>
    <comment ref="C20" authorId="1" shapeId="0" xr:uid="{669F2F52-ECBB-48D3-9AD1-A95608742E01}">
      <text>
        <r>
          <rPr>
            <b/>
            <sz val="9"/>
            <color indexed="81"/>
            <rFont val="Tahoma"/>
            <family val="2"/>
          </rPr>
          <t>Inicia en 4 y aumenta en 6</t>
        </r>
      </text>
    </comment>
    <comment ref="C21" authorId="1" shapeId="0" xr:uid="{8AA33465-42F5-4C3D-B0F5-F12459314EBB}">
      <text>
        <r>
          <rPr>
            <b/>
            <sz val="9"/>
            <color indexed="81"/>
            <rFont val="Tahoma"/>
            <family val="2"/>
          </rPr>
          <t>Inicia en 5 y aumenta en 6</t>
        </r>
      </text>
    </comment>
    <comment ref="AO38" authorId="3" shapeId="0" xr:uid="{FB8B9348-0E5E-4242-90B7-918F1ECD9E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por conceptos.</t>
      </text>
    </comment>
    <comment ref="I44" authorId="4" shapeId="0" xr:uid="{02DFF5BC-98A9-4627-8C57-A23AB91EC7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que se utiliza en las hojas M. por conceptos y M. Integrado.</t>
      </text>
    </comment>
    <comment ref="AS70" authorId="5" shapeId="0" xr:uid="{C4D5601B-FF3C-4B13-9081-A469E86F8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WACC/CPPC recalculado para el M. Integrado.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tc={30C6C697-6B83-4DD2-8A21-F405938FBF0A}</author>
    <author>tc={028B7277-740B-4BB1-B625-F2D908DFB833}</author>
    <author>tc={59471F64-3CF4-4F5E-BAF7-CB0C937F5C34}</author>
    <author>tc={6E2F7D11-A88F-4274-AE4F-98A5F2BE9AB7}</author>
  </authors>
  <commentList>
    <comment ref="B12" authorId="0" shapeId="0" xr:uid="{30C6C697-6B83-4DD2-8A21-F405938FBF0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tasa de crecimiento de largo plazo es utilizada para ajustar las proyecciones. Este ajuste se realiza para cada variable, con excepción del CAPEX y del capital de trabajo. </t>
      </text>
    </comment>
    <comment ref="V174" authorId="1" shapeId="0" xr:uid="{028B7277-740B-4BB1-B625-F2D908DFB8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terminal es un input intermedio que depende del flujo proyectado para el último periodo, la tasa de crecimiento de largo plazo y el costo de capital (WACC).</t>
      </text>
    </comment>
    <comment ref="L184" authorId="2" shapeId="0" xr:uid="{59471F64-3CF4-4F5E-BAF7-CB0C937F5C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resultado es dirigido a la hoja WACC (celda O17) para recalcular el costo de capital, el cual es utilizado en las filas inferiores.</t>
      </text>
    </comment>
    <comment ref="L194" authorId="3" shapeId="0" xr:uid="{6E2F7D11-A88F-4274-AE4F-98A5F2BE9A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por Conceptos.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tc={2D6C8DEC-195B-469A-AA11-17F8920B12F1}</author>
    <author>tc={38DAE302-B464-4A10-B10F-1C79C9E5D606}</author>
  </authors>
  <commentList>
    <comment ref="D53" authorId="0" shapeId="0" xr:uid="{2D6C8DEC-195B-469A-AA11-17F8920B12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definido por el autor.</t>
      </text>
    </comment>
    <comment ref="D54" authorId="1" shapeId="0" xr:uid="{38DAE302-B464-4A10-B10F-1C79C9E5D6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parámetro permite que el usuario pueda elegir si desea expresar sus Estados Financieros en moneda nacional (soles) o moneda extranjera (dólares).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¿Qué tasa de descuento se debe emplear para descontar el proyecto con el fin de calcular la duración?</t>
        </r>
      </text>
    </comment>
    <comment ref="B8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Dato de Duración del proyecto</t>
        </r>
      </text>
    </comment>
    <comment ref="B12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" authorId="0" shapeId="0" xr:uid="{00000000-0006-0000-07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0" authorId="0" shapeId="0" xr:uid="{00000000-0006-0000-08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Debe ajustarse al número de periodos de la inversión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900-000001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  <comment ref="C1" authorId="0" shapeId="0" xr:uid="{00000000-0006-0000-0900-000002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  <comment ref="E1" authorId="0" shapeId="0" xr:uid="{00000000-0006-0000-0900-000003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  <comment ref="G1" authorId="0" shapeId="0" xr:uid="{00000000-0006-0000-0900-000004000000}">
      <text>
        <r>
          <rPr>
            <b/>
            <sz val="9"/>
            <color rgb="FF000000"/>
            <rFont val="Tahoma"/>
            <family val="2"/>
          </rPr>
          <t>Yajaira Tácunan:</t>
        </r>
        <r>
          <rPr>
            <sz val="9"/>
            <color rgb="FF000000"/>
            <rFont val="Tahoma"/>
            <family val="2"/>
          </rPr>
          <t xml:space="preserve">
base de datos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tc={A9EA9A24-9A01-4CFC-8DCC-09BC017E3A28}</author>
  </authors>
  <commentList>
    <comment ref="L48" authorId="0" shapeId="0" xr:uid="{A9EA9A24-9A01-4CFC-8DCC-09BC017E3A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resultados para el M. Integrado.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tc={59B93F94-26D1-4D22-87DE-294C032B1C46}</author>
    <author>tc={6116150E-88A5-43EF-BC34-53E8E15C4762}</author>
    <author>tc={E0BFCC0E-4565-4571-B37E-777C88F513FB}</author>
    <author>tc={FDEDA4AF-8EF1-49FB-A6ED-16229487A093}</author>
  </authors>
  <commentList>
    <comment ref="D10" authorId="0" shapeId="0" xr:uid="{59B93F94-26D1-4D22-87DE-294C032B1C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la tasa de crecimiento de los ingresos definida por el usuario en la pestaña de análisis.</t>
      </text>
    </comment>
    <comment ref="H99" authorId="1" shapeId="0" xr:uid="{6116150E-88A5-43EF-BC34-53E8E15C47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por Conceptos.</t>
      </text>
    </comment>
    <comment ref="M100" authorId="2" shapeId="0" xr:uid="{E0BFCC0E-4565-4571-B37E-777C88F513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esta celda se almacena el costo de capital (WACC/CPPC) definido por el usuario en la pestaña de análisis.</t>
      </text>
    </comment>
    <comment ref="H129" authorId="3" shapeId="0" xr:uid="{FDEDA4AF-8EF1-49FB-A6ED-16229487A0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Output de la pestaña análisis para el M. Integrado.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<sst xmlns="http://schemas.openxmlformats.org/spreadsheetml/2006/main" count="1944" uniqueCount="1135">
  <si>
    <t>Tratamiento del Rf</t>
  </si>
  <si>
    <t>Bono EE.UU</t>
  </si>
  <si>
    <t>I.</t>
  </si>
  <si>
    <t>Parametros generales</t>
  </si>
  <si>
    <t>VI.</t>
  </si>
  <si>
    <t>Parámetros para el mercado emergente</t>
  </si>
  <si>
    <t>Parámetros para la empresa</t>
  </si>
  <si>
    <t>Bono EE.UU seleccionado</t>
  </si>
  <si>
    <t>años</t>
  </si>
  <si>
    <t>País</t>
  </si>
  <si>
    <t>Peru</t>
  </si>
  <si>
    <t>Dólares</t>
  </si>
  <si>
    <t>Dev. esperada</t>
  </si>
  <si>
    <t>Moneda Nac</t>
  </si>
  <si>
    <t>Bono del Rf ajustado</t>
  </si>
  <si>
    <t>Devaluación Esperada</t>
  </si>
  <si>
    <t>Costo de deuda (Kd)</t>
  </si>
  <si>
    <t>Prima de Mercado (Rm -Rf)</t>
  </si>
  <si>
    <t>Riesgo país</t>
  </si>
  <si>
    <t>Tasa libre de Riesgo (Rf)</t>
  </si>
  <si>
    <t>Prima empresa</t>
  </si>
  <si>
    <t>II.</t>
  </si>
  <si>
    <t>Parámetros del sector de referencia</t>
  </si>
  <si>
    <t>Sector</t>
  </si>
  <si>
    <t>MERCADO DESARROLLADO</t>
  </si>
  <si>
    <t>MERCADO EMERGENTE</t>
  </si>
  <si>
    <t>EMPRESA</t>
  </si>
  <si>
    <t>Porcentaje de deuda (%D)</t>
  </si>
  <si>
    <t>Porcentaje de Capital (%C)</t>
  </si>
  <si>
    <t>Ratio D/C</t>
  </si>
  <si>
    <t>Tasa de Impuesto (T)</t>
  </si>
  <si>
    <t>Beta apalancado (Be)</t>
  </si>
  <si>
    <t>III.</t>
  </si>
  <si>
    <t>Determinación del Costo de Capital Financiero</t>
  </si>
  <si>
    <t>Moneda Nacional</t>
  </si>
  <si>
    <t>Ke = rf + Be (Rm-rf)</t>
  </si>
  <si>
    <t>Costo de Capital Financiero (Ke)</t>
  </si>
  <si>
    <t>IV.</t>
  </si>
  <si>
    <t>Determinación del Costo de Capital Económico</t>
  </si>
  <si>
    <t>Koa = rf + Boa (Rm-rf)</t>
  </si>
  <si>
    <t>Beta desapalancado (Boa)</t>
  </si>
  <si>
    <t>Costo de Capital Económico (Koa)</t>
  </si>
  <si>
    <t>V.</t>
  </si>
  <si>
    <t>Determinación de la Prima de Riesgo sobre la Deuda</t>
  </si>
  <si>
    <t>Desviación estandar</t>
  </si>
  <si>
    <t>Spread de la deuda</t>
  </si>
  <si>
    <t>Kd = rf + Spread de la deuda</t>
  </si>
  <si>
    <t>Costo de deuda despúes de impuestos (Kd(1-T))</t>
  </si>
  <si>
    <t>Determinación del CPPC</t>
  </si>
  <si>
    <t>Costo Promedio Ponderado de Capital (CPPC)</t>
  </si>
  <si>
    <t xml:space="preserve">VII. </t>
  </si>
  <si>
    <t>Riesgos de negocio</t>
  </si>
  <si>
    <t>TIR</t>
  </si>
  <si>
    <t>Periodo</t>
  </si>
  <si>
    <t>Número de periodos</t>
  </si>
  <si>
    <t>Flujo de caja para TIR</t>
  </si>
  <si>
    <t>Periodicidad</t>
  </si>
  <si>
    <t>Flujo de caja_O</t>
  </si>
  <si>
    <t>VP(Flujo*t)</t>
  </si>
  <si>
    <t>Flujo*Periodo</t>
  </si>
  <si>
    <t>Valor actual de las inversiones</t>
  </si>
  <si>
    <t>Flujo de inversiones</t>
  </si>
  <si>
    <t>Duration</t>
  </si>
  <si>
    <t>FFE</t>
  </si>
  <si>
    <t>Duaratio (Anual)</t>
  </si>
  <si>
    <t>TIR FFE</t>
  </si>
  <si>
    <t>Elección de Rf en función de la duración</t>
  </si>
  <si>
    <t>X</t>
  </si>
  <si>
    <t>Y</t>
  </si>
  <si>
    <t>Date</t>
  </si>
  <si>
    <t>Rendimiento</t>
  </si>
  <si>
    <t>Curva de rendimiento (en años)</t>
  </si>
  <si>
    <t xml:space="preserve">Rf  seleccionado </t>
  </si>
  <si>
    <t>Industry Name</t>
  </si>
  <si>
    <t>Beta</t>
  </si>
  <si>
    <t>E/(D+E)</t>
  </si>
  <si>
    <t>Std Dev in Stock</t>
  </si>
  <si>
    <t>D/(D+E)</t>
  </si>
  <si>
    <t>Tax rate2</t>
  </si>
  <si>
    <t>Koa</t>
  </si>
  <si>
    <t>Boa</t>
  </si>
  <si>
    <t>Software (Internet)</t>
  </si>
  <si>
    <t>Cost of Debt Lookup Table (based on std dev in stock prices)</t>
  </si>
  <si>
    <t>Standard Deviation</t>
  </si>
  <si>
    <t>Basis Spread</t>
  </si>
  <si>
    <t>Yes</t>
  </si>
  <si>
    <t>Fecha</t>
  </si>
  <si>
    <t>Argentina</t>
  </si>
  <si>
    <t>Brazil</t>
  </si>
  <si>
    <t>Chile</t>
  </si>
  <si>
    <t>Colombia</t>
  </si>
  <si>
    <t>Ecuador</t>
  </si>
  <si>
    <t>Mexico</t>
  </si>
  <si>
    <t>Venezuela</t>
  </si>
  <si>
    <t>Country</t>
  </si>
  <si>
    <t>2015</t>
  </si>
  <si>
    <t>2016</t>
  </si>
  <si>
    <t>2017</t>
  </si>
  <si>
    <t>2018</t>
  </si>
  <si>
    <t>2019</t>
  </si>
  <si>
    <t>2020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</si>
  <si>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</si>
  <si>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</si>
  <si>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</si>
  <si>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</si>
  <si>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</si>
  <si>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</si>
  <si>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</si>
  <si>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</si>
  <si>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</si>
  <si>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</si>
  <si>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</si>
  <si>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</si>
  <si>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</si>
  <si>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</si>
  <si>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</si>
  <si>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</si>
  <si>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</si>
  <si>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</si>
  <si>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</si>
  <si>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</si>
  <si>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Bolivia</t>
  </si>
  <si>
    <t>Bonaire, Saint Eustatius and Saba</t>
  </si>
  <si>
    <t>Bosnia and Herzegovina</t>
  </si>
  <si>
    <t>Botswana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</si>
  <si>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</si>
  <si>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</si>
  <si>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</si>
  <si>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</si>
  <si>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</si>
  <si>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</si>
  <si>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</si>
  <si>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</si>
  <si>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China</t>
  </si>
  <si>
    <t>Congo</t>
  </si>
  <si>
    <t>Congo (Democratic Republic of the)</t>
  </si>
  <si>
    <t>Costa Rica</t>
  </si>
  <si>
    <t>Croatia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</si>
  <si>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</si>
  <si>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</si>
  <si>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</si>
  <si>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</si>
  <si>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</si>
  <si>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</si>
  <si>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</si>
  <si>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</si>
  <si>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</si>
  <si>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</si>
  <si>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</si>
  <si>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</si>
  <si>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</si>
  <si>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</si>
  <si>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</si>
  <si>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</si>
  <si>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</si>
  <si>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</si>
  <si>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</si>
  <si>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</si>
  <si>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</si>
  <si>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</si>
  <si>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</si>
  <si>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Guernsey</t>
  </si>
  <si>
    <t>Honduras</t>
  </si>
  <si>
    <t>Hong Kong SAR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</si>
  <si>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</si>
  <si>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</si>
  <si>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</si>
  <si>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</si>
  <si>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</si>
  <si>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</si>
  <si>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</si>
  <si>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</si>
  <si>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</si>
  <si>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</si>
  <si>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</si>
  <si>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</si>
  <si>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</si>
  <si>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</si>
  <si>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</si>
  <si>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</si>
  <si>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Korea, Republic of</t>
  </si>
  <si>
    <t>Kuwait</t>
  </si>
  <si>
    <t>Kyrgyzstan</t>
  </si>
  <si>
    <t>Latvia</t>
  </si>
  <si>
    <t>Lebanon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</si>
  <si>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</si>
  <si>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</si>
  <si>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</si>
  <si>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</si>
  <si>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</si>
  <si>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</si>
  <si>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</si>
  <si>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</si>
  <si>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</si>
  <si>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Malta</t>
  </si>
  <si>
    <t>Mauritius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</si>
  <si>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</si>
  <si>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</si>
  <si>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</si>
  <si>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</si>
  <si>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</si>
  <si>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</si>
  <si>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</si>
  <si>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</si>
  <si>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</si>
  <si>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</si>
  <si>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</si>
  <si>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Nigeria</t>
  </si>
  <si>
    <t>Norway</t>
  </si>
  <si>
    <t>Oman</t>
  </si>
  <si>
    <t>Pakistan</t>
  </si>
  <si>
    <t>Palestinian Territory</t>
  </si>
  <si>
    <t>Panama</t>
  </si>
  <si>
    <t>Papua New Guinea</t>
  </si>
  <si>
    <t>Paraguay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</si>
  <si>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</si>
  <si>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</si>
  <si>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</si>
  <si>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</si>
  <si>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</si>
  <si>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</si>
  <si>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</si>
  <si>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</si>
  <si>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</si>
  <si>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</si>
  <si>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</si>
  <si>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Saudi Arabia</t>
  </si>
  <si>
    <t>Senegal</t>
  </si>
  <si>
    <t>Serbia</t>
  </si>
  <si>
    <t>Sierra Leone</t>
  </si>
  <si>
    <t>Singapore</t>
  </si>
  <si>
    <t>Sint Maarten (Dutch part)</t>
  </si>
  <si>
    <t>Slovakia</t>
  </si>
  <si>
    <t>Slovenia</t>
  </si>
  <si>
    <t>Solomon Islands</t>
  </si>
  <si>
    <t>South Africa</t>
  </si>
  <si>
    <t>Spain</t>
  </si>
  <si>
    <t>Sri Lanka</t>
  </si>
  <si>
    <t>St Maarten</t>
  </si>
  <si>
    <t>Sudan</t>
  </si>
  <si>
    <t>Suriname</t>
  </si>
  <si>
    <t>Swaziland</t>
  </si>
  <si>
    <t>Sweden</t>
  </si>
  <si>
    <t>Switzerland</t>
  </si>
  <si>
    <t>Syria</t>
  </si>
  <si>
    <t>Taiwan</t>
  </si>
  <si>
    <t>Tanzania</t>
  </si>
  <si>
    <t>Thailand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</si>
  <si>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</si>
  <si>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</si>
  <si>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</si>
  <si>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</si>
  <si>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</si>
  <si>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</si>
  <si>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</si>
  <si>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</si>
  <si>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</si>
  <si>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</si>
  <si>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</si>
  <si>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</si>
  <si>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</si>
  <si>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</si>
  <si>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Yemen</t>
  </si>
  <si>
    <t>Zambia</t>
  </si>
  <si>
    <t>Zimbabwe</t>
  </si>
  <si>
    <t>Africa average</t>
  </si>
  <si>
    <t>Americas average</t>
  </si>
  <si>
    <t>Asia average</t>
  </si>
  <si>
    <t>EU average</t>
  </si>
  <si>
    <t>Europe average</t>
  </si>
  <si>
    <t>Global average</t>
  </si>
  <si>
    <t>Latin America average</t>
  </si>
  <si>
    <t>North America average</t>
  </si>
  <si>
    <t>Oceania average</t>
  </si>
  <si>
    <t>OECD average</t>
  </si>
  <si>
    <t>South America average</t>
  </si>
  <si>
    <t>Detalle de los flujos de la inversión</t>
  </si>
  <si>
    <t>Horizonte de evaluación (en años)</t>
  </si>
  <si>
    <t>Periodicidad de los flujos</t>
  </si>
  <si>
    <t>Anual</t>
  </si>
  <si>
    <t>Periodos de la inversión</t>
  </si>
  <si>
    <t>Flujo de caja</t>
  </si>
  <si>
    <t xml:space="preserve">Rf </t>
  </si>
  <si>
    <t>Bonos</t>
  </si>
  <si>
    <t>Periocidad de los flujos</t>
  </si>
  <si>
    <t>Horizonte de evaluación</t>
  </si>
  <si>
    <t>Trimestral</t>
  </si>
  <si>
    <t>Ajustar Rf según la duración del proyecto</t>
  </si>
  <si>
    <t>Semestral</t>
  </si>
  <si>
    <t>0.25 (3 m)</t>
  </si>
  <si>
    <t>0.5 (6 m)</t>
  </si>
  <si>
    <t>Fechas</t>
  </si>
  <si>
    <t>PRM (T-bonds) actual</t>
  </si>
  <si>
    <t>Rangos</t>
  </si>
  <si>
    <t>Inicio</t>
  </si>
  <si>
    <t>Fin</t>
  </si>
  <si>
    <t>Rm</t>
  </si>
  <si>
    <t>Rf (t-bonds)</t>
  </si>
  <si>
    <t>Primer año de información histórica (Anual)</t>
  </si>
  <si>
    <t>Último año de información histórica (Anual)</t>
  </si>
  <si>
    <t>BALANCE GENERAL</t>
  </si>
  <si>
    <t>Efectivo y Equivalentes al Efectivo</t>
  </si>
  <si>
    <t>Cuentas por Cobrar Comerciales y Otras Cuentas por Cobrar</t>
  </si>
  <si>
    <t>Inventarios</t>
  </si>
  <si>
    <t>Otros activos no financieros</t>
  </si>
  <si>
    <t>Total Activos Corrientes</t>
  </si>
  <si>
    <t>Inversiones Financieras e inmobiliarias</t>
  </si>
  <si>
    <t>Propiedades, Planta y Equipo</t>
  </si>
  <si>
    <t>Depreciación Acumulada*</t>
  </si>
  <si>
    <t xml:space="preserve">Activos Intangibles </t>
  </si>
  <si>
    <t>Total Activos No Corrientes</t>
  </si>
  <si>
    <t>TOTAL ACTIVOS</t>
  </si>
  <si>
    <t>Obligaciones financieras</t>
  </si>
  <si>
    <t>Cuentas por Pagar Comerciales y Otras Cuentas por Pagar</t>
  </si>
  <si>
    <t xml:space="preserve">Otros pasivos </t>
  </si>
  <si>
    <t>Total Pasivos Corrientes</t>
  </si>
  <si>
    <t>Total Pasivos No Corrientes</t>
  </si>
  <si>
    <t>TOTAL PASIVOS</t>
  </si>
  <si>
    <t xml:space="preserve">Capital </t>
  </si>
  <si>
    <t>Reserva legal y otras reservas</t>
  </si>
  <si>
    <t>Resultados Acumulados</t>
  </si>
  <si>
    <t>Otros</t>
  </si>
  <si>
    <t>TOTAL PATRIMONIO</t>
  </si>
  <si>
    <t>TOTAL PASIVOS Y PATRIMONIO</t>
  </si>
  <si>
    <t>ESTADO DE RESULTADOS</t>
  </si>
  <si>
    <t>Ingresos de Actividades Ordinarias</t>
  </si>
  <si>
    <t>Costo de Ventas</t>
  </si>
  <si>
    <t>Utilidad Bruta</t>
  </si>
  <si>
    <t>Gastos de Ventas y Distribución</t>
  </si>
  <si>
    <t>Depreciación*</t>
  </si>
  <si>
    <t>Gastos de Administración</t>
  </si>
  <si>
    <t>Otros ingresos (gastos) netos</t>
  </si>
  <si>
    <t>Utilidad Operativa</t>
  </si>
  <si>
    <t>Ingresos financieros</t>
  </si>
  <si>
    <t>Gastos financieros</t>
  </si>
  <si>
    <t>Diferencia en cambio, neta</t>
  </si>
  <si>
    <t>Utilidad antes de impuesto a la renta</t>
  </si>
  <si>
    <t>Impuesto a la renta</t>
  </si>
  <si>
    <t>Utilidad neta</t>
  </si>
  <si>
    <t>N°</t>
  </si>
  <si>
    <t>Depreciación Acumulada</t>
  </si>
  <si>
    <t>Impuesto</t>
  </si>
  <si>
    <t>Depreciación</t>
  </si>
  <si>
    <t xml:space="preserve">Flujo de caja Operativo </t>
  </si>
  <si>
    <t>Cálculo del CAPEX</t>
  </si>
  <si>
    <t>Propiedad Planta y Equipo</t>
  </si>
  <si>
    <t>Depreciación acumulada</t>
  </si>
  <si>
    <t>Total Costo de Activos de Adquisición</t>
  </si>
  <si>
    <t>Gradiente</t>
  </si>
  <si>
    <t>Moneda</t>
  </si>
  <si>
    <t>MÉTODO POR CONCEPTOS</t>
  </si>
  <si>
    <t>1. Proyección de cuentas</t>
  </si>
  <si>
    <t>Ingresos</t>
  </si>
  <si>
    <t>Histórico</t>
  </si>
  <si>
    <t>Promedio Móvil</t>
  </si>
  <si>
    <t>Tendencia Logarítmica</t>
  </si>
  <si>
    <t>Tasa de crecimiento</t>
  </si>
  <si>
    <t>Proyección final</t>
  </si>
  <si>
    <t>Pendiente</t>
  </si>
  <si>
    <t>Constante</t>
  </si>
  <si>
    <t>Ajuste de la constante</t>
  </si>
  <si>
    <t>Valor real</t>
  </si>
  <si>
    <t>Valor est.</t>
  </si>
  <si>
    <t>Const. Aj.</t>
  </si>
  <si>
    <t>Costo de ventas</t>
  </si>
  <si>
    <t>Gasto de ventas</t>
  </si>
  <si>
    <t>Gastos administrativos</t>
  </si>
  <si>
    <t>Otros (Neto)</t>
  </si>
  <si>
    <t>CAPEX</t>
  </si>
  <si>
    <t>Variación</t>
  </si>
  <si>
    <t>Variación / Ingresos</t>
  </si>
  <si>
    <t>Capital de trabajo</t>
  </si>
  <si>
    <t>Activo corriente</t>
  </si>
  <si>
    <t>Pasivo corriente</t>
  </si>
  <si>
    <t>Promedio móvil</t>
  </si>
  <si>
    <t>Proyección</t>
  </si>
  <si>
    <t>Ratio capital de trabajo / ingresos</t>
  </si>
  <si>
    <t>Proyección del capital de trabajo</t>
  </si>
  <si>
    <t>2. Flujo de caja económico</t>
  </si>
  <si>
    <t>GANANCIA BRUTA</t>
  </si>
  <si>
    <t>Otros Neto</t>
  </si>
  <si>
    <t>UTILIDAD OPERATIVA ANTES DE IMPUESTOS</t>
  </si>
  <si>
    <t>Impuestos</t>
  </si>
  <si>
    <t>Depreciación y amortización</t>
  </si>
  <si>
    <t>UTILIDAD OP. DESPUÉS DE IMPUESTOS</t>
  </si>
  <si>
    <t>Inversiones en capital de trabajo</t>
  </si>
  <si>
    <t>FLUJO DE CAJA ECONÓMICO</t>
  </si>
  <si>
    <t>Valor Terminal</t>
  </si>
  <si>
    <t>Flujo de caja económico + Valor terminal</t>
  </si>
  <si>
    <t>Valora</t>
  </si>
  <si>
    <t>BVL</t>
  </si>
  <si>
    <t>Kallpa</t>
  </si>
  <si>
    <t>Valor Financiero del Flujo Económico</t>
  </si>
  <si>
    <t>Pasivo</t>
  </si>
  <si>
    <t>Valor del patrimonio</t>
  </si>
  <si>
    <t>Valor por acción</t>
  </si>
  <si>
    <t>MÉTODO INTEGRADO</t>
  </si>
  <si>
    <t>Flujo de caja operativo</t>
  </si>
  <si>
    <t>Flujo de caja económico + Valor Terminal</t>
  </si>
  <si>
    <t>Método por conceptos</t>
  </si>
  <si>
    <t>dProyección/dt</t>
  </si>
  <si>
    <t>d2Proyección/dt2</t>
  </si>
  <si>
    <t>Tasa de Crecimiento</t>
  </si>
  <si>
    <t>Relación Ingresos - Otras variables</t>
  </si>
  <si>
    <t>Costos de Ventas</t>
  </si>
  <si>
    <t>Gastos de ventas</t>
  </si>
  <si>
    <t>Método Integrado</t>
  </si>
  <si>
    <t>Soles</t>
  </si>
  <si>
    <t>Moneda (Estados Financieros)</t>
  </si>
  <si>
    <t>Periodo (años)</t>
  </si>
  <si>
    <t>Horizonte del proyecto (en años)</t>
  </si>
  <si>
    <t>Devaluación</t>
  </si>
  <si>
    <t>4. Valorización con WACC(CAPITALIZACIÓN DE MERCADO)</t>
  </si>
  <si>
    <t>3. Valorización con WACC(VALOR CONTABLE)</t>
  </si>
  <si>
    <t>CPPC</t>
  </si>
  <si>
    <t>3. Valorización con WACC (VALOR CONTABLE)</t>
  </si>
  <si>
    <r>
      <t>Riesgo de negocio financiero (φ</t>
    </r>
    <r>
      <rPr>
        <vertAlign val="subscript"/>
        <sz val="9"/>
        <rFont val="Calibri"/>
        <family val="2"/>
      </rPr>
      <t>f</t>
    </r>
    <r>
      <rPr>
        <sz val="9"/>
        <rFont val="Calibri"/>
        <family val="2"/>
      </rPr>
      <t>)</t>
    </r>
  </si>
  <si>
    <r>
      <t>Riesgo de negocio económico (φ</t>
    </r>
    <r>
      <rPr>
        <vertAlign val="subscript"/>
        <sz val="9"/>
        <rFont val="Calibri"/>
        <family val="2"/>
      </rPr>
      <t>e</t>
    </r>
    <r>
      <rPr>
        <sz val="9"/>
        <rFont val="Calibri"/>
        <family val="2"/>
      </rPr>
      <t>)</t>
    </r>
  </si>
  <si>
    <t>WACC (Capitalización de Mercado) - Método por conceptos</t>
  </si>
  <si>
    <t>WACC (Capitalización de Mercado) - Método integrado</t>
  </si>
  <si>
    <t>Variación del CAPEX</t>
  </si>
  <si>
    <t>Acciones</t>
  </si>
  <si>
    <t>Ajuste</t>
  </si>
  <si>
    <t>WACC</t>
  </si>
  <si>
    <t>1. Evolución del Be</t>
  </si>
  <si>
    <t>Rm Promedio</t>
  </si>
  <si>
    <t>Rf Promedio</t>
  </si>
  <si>
    <t>Rf Spot</t>
  </si>
  <si>
    <t>Mercado Desarrollado</t>
  </si>
  <si>
    <t>Mercado Emergente</t>
  </si>
  <si>
    <t>Empresa</t>
  </si>
  <si>
    <t>2. Formación de las tasas</t>
  </si>
  <si>
    <t>Mercado desarrollado</t>
  </si>
  <si>
    <t>Ke</t>
  </si>
  <si>
    <t>Kd</t>
  </si>
  <si>
    <t>Rf</t>
  </si>
  <si>
    <t>Riesgo de negocio</t>
  </si>
  <si>
    <t>Riesgo económico de negocio</t>
  </si>
  <si>
    <t>Mercado emergente</t>
  </si>
  <si>
    <t>3. Formación del CPPC</t>
  </si>
  <si>
    <t>Var D/C</t>
  </si>
  <si>
    <t>%D</t>
  </si>
  <si>
    <t>%C</t>
  </si>
  <si>
    <t>Be</t>
  </si>
  <si>
    <t>Kd(1-t)</t>
  </si>
  <si>
    <t>4. Estructura de Capital</t>
  </si>
  <si>
    <t>M. Desarrollado</t>
  </si>
  <si>
    <t>M. Emergente</t>
  </si>
  <si>
    <t>*MD: Mercado Desarrollado</t>
  </si>
  <si>
    <t>**ME: Mercado Emergente</t>
  </si>
  <si>
    <t>5. Tasas de la empresa</t>
  </si>
  <si>
    <t>6. Reporte Sectorial</t>
  </si>
  <si>
    <t>7. Comparación Sectorial de Mi Empresa</t>
  </si>
  <si>
    <t>Empresa (Dólares)</t>
  </si>
  <si>
    <t>Empresa (Moneda Nacional)</t>
  </si>
  <si>
    <t>Empresa - Dólares</t>
  </si>
  <si>
    <t>Columna1</t>
  </si>
  <si>
    <t>Columna2</t>
  </si>
  <si>
    <t>Industria</t>
  </si>
  <si>
    <t>Tasa libre</t>
  </si>
  <si>
    <t>Año del bono</t>
  </si>
  <si>
    <t>Pais</t>
  </si>
  <si>
    <t>Tasa</t>
  </si>
  <si>
    <t>Tabla3</t>
  </si>
  <si>
    <t>Prima de Mercado (Rm - Rf)</t>
  </si>
  <si>
    <t>Tasa Libre de Riesgo (Rf)</t>
  </si>
  <si>
    <t>Parámetros del cálculo</t>
  </si>
  <si>
    <t>Parámetros del sector</t>
  </si>
  <si>
    <t>Parámetros del Costo de Capital Financiero</t>
  </si>
  <si>
    <t>Parámetros del Costo de Capital Económico</t>
  </si>
  <si>
    <t>Beta Apalancado (Be)</t>
  </si>
  <si>
    <t>Beta Desapalancado (Boa)</t>
  </si>
  <si>
    <t>Porcentaje de Deuda (%D)</t>
  </si>
  <si>
    <t>Impuestos del Sector (t)</t>
  </si>
  <si>
    <t>Parámetros del Costo de Deuda</t>
  </si>
  <si>
    <t>Spread de la Deuda</t>
  </si>
  <si>
    <t>Costo de Deuda (Kd)</t>
  </si>
  <si>
    <t>Costo de Deuda Después de Impuestos Kd(1-t)</t>
  </si>
  <si>
    <t>Parámetros del CPPC</t>
  </si>
  <si>
    <t>Parámetros del País Seleccionado</t>
  </si>
  <si>
    <t>Riesgo País</t>
  </si>
  <si>
    <t xml:space="preserve">Tasa Impositiva </t>
  </si>
  <si>
    <t>Parámetros de la Estructura del Financiamiento</t>
  </si>
  <si>
    <t>Parámetros Generales</t>
  </si>
  <si>
    <t>Costo de Deuda de su Empresa</t>
  </si>
  <si>
    <t>Estructura de Financiamiento de su Inversión</t>
  </si>
  <si>
    <t>Columna3</t>
  </si>
  <si>
    <t>Costo de Deuda (Mercado Emergente)</t>
  </si>
  <si>
    <t>Costo de Deuda del Sector</t>
  </si>
  <si>
    <t>Prima de la Empresa</t>
  </si>
  <si>
    <t>Costo de Deuda de la Empresa</t>
  </si>
  <si>
    <t>Porcentaje de Deuda de la Empresa (%D)</t>
  </si>
  <si>
    <t>Porcentaje de Capital de la Empresa (%C)</t>
  </si>
  <si>
    <t>Parámetros del Costo Financiero</t>
  </si>
  <si>
    <t>Costo de Capital Económico (Koa) - M. Desarrollado</t>
  </si>
  <si>
    <t>Empresa (ME)</t>
  </si>
  <si>
    <t>Columna4</t>
  </si>
  <si>
    <t>Columna5</t>
  </si>
  <si>
    <t>Empresa (MN)</t>
  </si>
  <si>
    <t>Código</t>
  </si>
  <si>
    <t>NA</t>
  </si>
  <si>
    <t>Países</t>
  </si>
  <si>
    <t>Empresa </t>
  </si>
  <si>
    <t>ID</t>
  </si>
  <si>
    <t>N. de acciones</t>
  </si>
  <si>
    <t>AENZA S.A.A.</t>
  </si>
  <si>
    <t>AENZAC1</t>
  </si>
  <si>
    <t>ALICORP S.A.A.</t>
  </si>
  <si>
    <t>ALICORC1</t>
  </si>
  <si>
    <t>A.F.P. INTEGRA S.A.</t>
  </si>
  <si>
    <t>INTEGRC1</t>
  </si>
  <si>
    <t>ADMINISTRADORA DEL COMERCIO S.A.</t>
  </si>
  <si>
    <t>ADCOMEC1</t>
  </si>
  <si>
    <t>AFP HABITAT S.A.</t>
  </si>
  <si>
    <t>HABITAC1</t>
  </si>
  <si>
    <t>AGRO INDUSTRIAL PARAMONGA S.A.A.</t>
  </si>
  <si>
    <t>PARAMOC1</t>
  </si>
  <si>
    <t>AGRO PUCALA S.A.A.</t>
  </si>
  <si>
    <t>PUCALAC1</t>
  </si>
  <si>
    <t>AGROINDUSTRIAL LAREDO S.A.A.</t>
  </si>
  <si>
    <t>LAREDOC1</t>
  </si>
  <si>
    <t>AGROINDUSTRIAS AIB S.A.</t>
  </si>
  <si>
    <t>AIBC1</t>
  </si>
  <si>
    <t>AGROINDUSTRIAS SAN JACINTO SOCIEDAD ANONIMA ABIERTA (AGROINDUSTRIAS SAN JACINTO S.A.A.)</t>
  </si>
  <si>
    <t>SNJACIC1</t>
  </si>
  <si>
    <t>AGROKASA HOLDINGS S.A.</t>
  </si>
  <si>
    <t>AGROKAC1</t>
  </si>
  <si>
    <t>AGRÍCOLA CAYALTÍ S.A.A.</t>
  </si>
  <si>
    <t>CAYALTC1</t>
  </si>
  <si>
    <t>AI INVERSIONES PALO ALTO S.A.</t>
  </si>
  <si>
    <t>PALOALC1</t>
  </si>
  <si>
    <t>ALFIN BANCO S.A.</t>
  </si>
  <si>
    <t>ALFINAC1</t>
  </si>
  <si>
    <t>ALTA COPPER CORP. (antes Candente Copper Corp.)</t>
  </si>
  <si>
    <t>ATCU</t>
  </si>
  <si>
    <t>ALTURAS MINERALS CORP.</t>
  </si>
  <si>
    <t>ALT</t>
  </si>
  <si>
    <t>ANDINO INVESTMENT HOLDING S.A.A.</t>
  </si>
  <si>
    <t>AIHC1</t>
  </si>
  <si>
    <t>AUSTRAL GROUP S.A.A.</t>
  </si>
  <si>
    <t>AUSTRAC1</t>
  </si>
  <si>
    <t>AVLA PERÚ COMPAÑÍA DE SEGUROS S.A.</t>
  </si>
  <si>
    <t>AVLASGC1</t>
  </si>
  <si>
    <t>AZZARO TRADING S.A.</t>
  </si>
  <si>
    <t>AZZAROC1</t>
  </si>
  <si>
    <t>BANCO BBVA PERU</t>
  </si>
  <si>
    <t>BBVAC1</t>
  </si>
  <si>
    <t>BANCO BCI PERU S.A.</t>
  </si>
  <si>
    <t>BCIPEC1</t>
  </si>
  <si>
    <t>BANCO DE COMERCIO</t>
  </si>
  <si>
    <t>BANCOMC1</t>
  </si>
  <si>
    <t>BANCO DE CREDITO DEL PERU</t>
  </si>
  <si>
    <t>CREDITC1</t>
  </si>
  <si>
    <t>BANCO FALABELLA PERU S.A.</t>
  </si>
  <si>
    <t>BANFALC1</t>
  </si>
  <si>
    <t>BANCO GNB PERÚ S.A.</t>
  </si>
  <si>
    <t>GNBC1</t>
  </si>
  <si>
    <t>BANCO INTERAMERICANO DE FINANZAS S.A. - BANBIF</t>
  </si>
  <si>
    <t>BIFC1</t>
  </si>
  <si>
    <t>BANCO INTERNACIONAL DEL PERU S.A.A. - INTERBANK</t>
  </si>
  <si>
    <t>INTERBC1</t>
  </si>
  <si>
    <t>BANCO PICHINCHA</t>
  </si>
  <si>
    <t>BPICHC1</t>
  </si>
  <si>
    <t>BANCO RIPLEY PERÚ S.A.</t>
  </si>
  <si>
    <t>BRIPLEC1</t>
  </si>
  <si>
    <t>BANCO SANTANDER PERÚ S.A.</t>
  </si>
  <si>
    <t>SANC1</t>
  </si>
  <si>
    <t>BANK OF CHINA (PERU) S.A.</t>
  </si>
  <si>
    <t>BOCPEC1</t>
  </si>
  <si>
    <t>BAYER S.A.</t>
  </si>
  <si>
    <t>BAYERI1</t>
  </si>
  <si>
    <t>BEAR CREEK MINING CORPORATION</t>
  </si>
  <si>
    <t>BCM</t>
  </si>
  <si>
    <t>BNP PARIBAS CARDIF S.A. COMPAÑIA DE SEGUROS Y REASEGUROS</t>
  </si>
  <si>
    <t>CARDIFC1</t>
  </si>
  <si>
    <t>BOLSA DE VALORES DE LIMA S.A.</t>
  </si>
  <si>
    <t>BVLC1</t>
  </si>
  <si>
    <t>CAJA MUNICIPAL DE AHORRO Y CREDITO DE AREQUIPA S.A.</t>
  </si>
  <si>
    <t>CMAQPC1</t>
  </si>
  <si>
    <t>CAJA RURAL DE AHORRO Y CREDITO LOS ANDES S.A.</t>
  </si>
  <si>
    <t>CRANDEC1</t>
  </si>
  <si>
    <t>CARTAVIO SOCIEDAD ANONIMA ABIERTA (CARTAVIO S.A.A.)</t>
  </si>
  <si>
    <t>CARTAVC1</t>
  </si>
  <si>
    <t>CASA GRANDE SOCIEDAD ANONIMA ABIERTA (CASA GRANDE S.A.A.)</t>
  </si>
  <si>
    <t>CASAGRC1</t>
  </si>
  <si>
    <t>CASTROVIRREYNA COMPAÑIA MINERA S.A. - EN LIQUIDACION</t>
  </si>
  <si>
    <t>CASTROC1</t>
  </si>
  <si>
    <t>CAVALI S.A. I.C.L.V.</t>
  </si>
  <si>
    <t>CAVALIC1</t>
  </si>
  <si>
    <t>CEMENTOS PACASMAYO S.A.A.</t>
  </si>
  <si>
    <t>CPACASC1</t>
  </si>
  <si>
    <t>CENTRAL AZUCARERA CHUCARAPI PAMPA BLANCA S.A.</t>
  </si>
  <si>
    <t>CHUCARC1</t>
  </si>
  <si>
    <t>CERVECERIA SAN JUAN S.A.</t>
  </si>
  <si>
    <t>SNJUANC1</t>
  </si>
  <si>
    <t>CHUBB PERU S.A. COMPAÑIA DE SEGUROS Y REASEGUROS</t>
  </si>
  <si>
    <t>CHUBSGC1</t>
  </si>
  <si>
    <t>CINEPLEX S.A.</t>
  </si>
  <si>
    <t>CINEPAC1</t>
  </si>
  <si>
    <t>CITIBANK DEL PERU S.A. - CITIBANK PERU</t>
  </si>
  <si>
    <t>CITIBKC1</t>
  </si>
  <si>
    <t>COLEGIOS PERUANOS S.A.</t>
  </si>
  <si>
    <t>COLPERC1</t>
  </si>
  <si>
    <t>COMPARTAMOS FINANCIERA S.A.</t>
  </si>
  <si>
    <t>COMPFC1</t>
  </si>
  <si>
    <t>COMPAÑÍA DE MINAS BUENAVENTURA S.A.A.</t>
  </si>
  <si>
    <t>BUENAVC1</t>
  </si>
  <si>
    <t>COMPAÑÍA MINERA PODEROSA S.A.</t>
  </si>
  <si>
    <t>PODERC1</t>
  </si>
  <si>
    <t>COMPAÑÍA MINERA SAN IGNACIO DE MOROCOCHA S.A.A.</t>
  </si>
  <si>
    <t>MOROCOC1</t>
  </si>
  <si>
    <t>COMPAÑÍA MINERA SANTA LUISA S.A.</t>
  </si>
  <si>
    <t>LUISAI1</t>
  </si>
  <si>
    <t>COMPAÑÍA UNIVERSAL TEXTIL S.A. - EN LIQUIDACIÓN</t>
  </si>
  <si>
    <t>UNITEXC1</t>
  </si>
  <si>
    <t>CONSORCIO CEMENTERO DEL SUR S.A. - CONCESUR S.A.</t>
  </si>
  <si>
    <t>CONCESI1</t>
  </si>
  <si>
    <t>CONSORCIO INDUSTRIAL DE AREQUIPA S.A.</t>
  </si>
  <si>
    <t>CIAREQI1</t>
  </si>
  <si>
    <t>CORPORACION ACEROS AREQUIPA S.A.</t>
  </si>
  <si>
    <t>CORAREC1</t>
  </si>
  <si>
    <t>CORPORACION CERVESUR S.A.A.</t>
  </si>
  <si>
    <t>COCESUC1</t>
  </si>
  <si>
    <t>CORPORACION FINANCIERA DE DESARROLLO S.A. - COFIDE</t>
  </si>
  <si>
    <t>COFIDCC1</t>
  </si>
  <si>
    <t>CRECER SEGUROS S.A. COMPAÑIA DE SEGUROS</t>
  </si>
  <si>
    <t>CRECERC1</t>
  </si>
  <si>
    <t>CREDICORP CAPITAL PERÚ S.A.A.</t>
  </si>
  <si>
    <t>CRECAPC1</t>
  </si>
  <si>
    <t>CREDICORP LTD.</t>
  </si>
  <si>
    <t>BAP</t>
  </si>
  <si>
    <t>CREDISCOTIA FINANCIERA S.A.</t>
  </si>
  <si>
    <t>CSCOTIC1</t>
  </si>
  <si>
    <t>CREDITEX S.A.A.</t>
  </si>
  <si>
    <t>CRETEXC1</t>
  </si>
  <si>
    <t>DESARROLLOS SIGLO XXI S.A.A.</t>
  </si>
  <si>
    <t>DESXXIC1</t>
  </si>
  <si>
    <t>DIVISO GRUPO FINANCIERO S.A.</t>
  </si>
  <si>
    <t>DIVIC1</t>
  </si>
  <si>
    <t>DUNAS ENERGÍA S.A.A.</t>
  </si>
  <si>
    <t>DUNENC1</t>
  </si>
  <si>
    <t>ELECTRO DUNAS S.A.A.</t>
  </si>
  <si>
    <t>EDUNASC1</t>
  </si>
  <si>
    <t>ELECTRO PUNO S.A.A.</t>
  </si>
  <si>
    <t>EPUNOBC1</t>
  </si>
  <si>
    <t>ELECTRO SUR ESTE S.A.A.</t>
  </si>
  <si>
    <t>ESUREBC1</t>
  </si>
  <si>
    <t>ELEMENT 29 RESOURCES INC.</t>
  </si>
  <si>
    <t>ECU</t>
  </si>
  <si>
    <t>EMP. REG. DE SERVICIO PUBLICO DE ELECTRICIDAD ELECTRONORTE MEDIO S.A.- HIDRANDINA</t>
  </si>
  <si>
    <t>HIDRA2C1</t>
  </si>
  <si>
    <t>EMPRESA AGRARIA AZUCARERA ANDAHUASI S.A.A.</t>
  </si>
  <si>
    <t>ANDAHUC1</t>
  </si>
  <si>
    <t>EMPRESA AGRARIA CHIQUITOY S.A. - EN REESTRUCTURACION</t>
  </si>
  <si>
    <t>CHIQUIC1</t>
  </si>
  <si>
    <t>EMPRESA AGRICOLA GANADERA SALAMANCA S.A.</t>
  </si>
  <si>
    <t>GANSALC1</t>
  </si>
  <si>
    <t>EMPRESA AGRICOLA LA UNION S.A.</t>
  </si>
  <si>
    <t>AUNIONC1</t>
  </si>
  <si>
    <t>EMPRESA AGRICOLA SAN JUAN S.A.</t>
  </si>
  <si>
    <t>ASJUANC1</t>
  </si>
  <si>
    <t>EMPRESA AGRICOLA SINTUCO S.A.</t>
  </si>
  <si>
    <t>SINTUC1</t>
  </si>
  <si>
    <t>EMPRESA AGROINDUSTRIAL POMALCA S.A.A.</t>
  </si>
  <si>
    <t>POMALCC1</t>
  </si>
  <si>
    <t>EMPRESA AGROINDUSTRIAL TUMAN S.A.A.</t>
  </si>
  <si>
    <t>TUMANC1</t>
  </si>
  <si>
    <t>EMPRESA AZUCARERA "EL INGENIO" S.A.</t>
  </si>
  <si>
    <t>INGENIC1</t>
  </si>
  <si>
    <t>EMPRESA DE GENERACION ELECTRICA SAN GABAN S.A.</t>
  </si>
  <si>
    <t>SANGABC1</t>
  </si>
  <si>
    <t>EMPRESA DE GENERACIÓN ELÉCTRICA DEL SUR S.A. - EGESUR</t>
  </si>
  <si>
    <t>EGESUBC1</t>
  </si>
  <si>
    <t>EMPRESA EDITORA EL COMERCIO S.A.</t>
  </si>
  <si>
    <t>ELCOMEI1</t>
  </si>
  <si>
    <t>EMPRESA ELECTRICIDAD DEL PERU - ELECTROPERU S.A.</t>
  </si>
  <si>
    <t>ELECPBC1</t>
  </si>
  <si>
    <t>EMPRESA REGIONAL DE SERVICIO PUBLICO DE ELECTRICIDAD - ELECTROSUR S.A.</t>
  </si>
  <si>
    <t>ELESUDC1</t>
  </si>
  <si>
    <t>EMPRESA SIDERURGICA DEL PERU S.A.A.</t>
  </si>
  <si>
    <t>SIDERC1</t>
  </si>
  <si>
    <t>ENEL DISTRIBUCIÓN PERÚ S.A.A.</t>
  </si>
  <si>
    <t>ENDISPC1</t>
  </si>
  <si>
    <t>ENEL GENERACIÓN PERÚ S.A.A.</t>
  </si>
  <si>
    <t>ENGEPEC1</t>
  </si>
  <si>
    <t>ENEL GENERACIÓN PIURA S.A.</t>
  </si>
  <si>
    <t>EGEPIBC1</t>
  </si>
  <si>
    <t>ENERGÍA DEL PACÍFICO S.A.</t>
  </si>
  <si>
    <t>ENPACIC1</t>
  </si>
  <si>
    <t>ENGIE ENERGIA PERU S.A</t>
  </si>
  <si>
    <t>ENGIEC1</t>
  </si>
  <si>
    <t>EXPERTIA TRAVEL S.A.</t>
  </si>
  <si>
    <t>EXPERTC1</t>
  </si>
  <si>
    <t>FABRICA NACIONAL DE ACUMULADORES ETNA S.A.</t>
  </si>
  <si>
    <t>ETNAI1</t>
  </si>
  <si>
    <t>FABRICA PERUANA ETERNIT S.A.</t>
  </si>
  <si>
    <t>ETERNII1</t>
  </si>
  <si>
    <t>FALABELLA PERÚ S.A.A.</t>
  </si>
  <si>
    <t>FALABEC1</t>
  </si>
  <si>
    <t>FERREYCORP S.A.A.</t>
  </si>
  <si>
    <t>FERREYC1</t>
  </si>
  <si>
    <t>FILAMENTOS INDUSTRIALES S.A.</t>
  </si>
  <si>
    <t>FILAMEI1</t>
  </si>
  <si>
    <t>FINANCIERA CONFIANZA S.A.A.</t>
  </si>
  <si>
    <t>FCONFIC1</t>
  </si>
  <si>
    <t>FINANCIERA CREDINKA S.A.</t>
  </si>
  <si>
    <t>FCREDIC1</t>
  </si>
  <si>
    <t>FINANCIERA EFECTIVA S.A.</t>
  </si>
  <si>
    <t>EFECTIC1</t>
  </si>
  <si>
    <t>FINANCIERA OH! S.A.</t>
  </si>
  <si>
    <t>FINOHC1</t>
  </si>
  <si>
    <t>FINANCIERA PROEMPRESA S.A.</t>
  </si>
  <si>
    <t>FPROEMC1</t>
  </si>
  <si>
    <t>FINANCIERA QAPAQ S.A.</t>
  </si>
  <si>
    <t>QAPAQC1</t>
  </si>
  <si>
    <t>FINANCIERA TFC S.A. - EN LIQUIDACIÓN</t>
  </si>
  <si>
    <t>FINTFCC1</t>
  </si>
  <si>
    <t>FOSFATOS DEL PACÍFICO S.A. - FOSPAC S.A.</t>
  </si>
  <si>
    <t>FOSPACC1</t>
  </si>
  <si>
    <t>FOSSAL S.A.A.</t>
  </si>
  <si>
    <t>FOSSALC1</t>
  </si>
  <si>
    <t>FUTURA CONSORCIO INMOBILIARIO S.A.</t>
  </si>
  <si>
    <t>FUTURAC1</t>
  </si>
  <si>
    <t>GR HOLDING S.A.</t>
  </si>
  <si>
    <t>GRHOLDC1</t>
  </si>
  <si>
    <t>GRUPO BVL S.A.A.</t>
  </si>
  <si>
    <t>GBVLAC1</t>
  </si>
  <si>
    <t>HERMES TRANSPORTES BLINDADOS S.A.</t>
  </si>
  <si>
    <t>HERMESC1</t>
  </si>
  <si>
    <t>HIDROSTAL S.A.</t>
  </si>
  <si>
    <t>HIDROSI1</t>
  </si>
  <si>
    <t>ICBC PERÚ BANK S.A.</t>
  </si>
  <si>
    <t>ICBCC1</t>
  </si>
  <si>
    <t>INCA RAIL S.A.</t>
  </si>
  <si>
    <t>INCRAIC1</t>
  </si>
  <si>
    <t>INDECO S.A.</t>
  </si>
  <si>
    <t>INDECOI1</t>
  </si>
  <si>
    <t>INDUSTRIA TEXTIL PIURA S.A.</t>
  </si>
  <si>
    <t>PIURAC1</t>
  </si>
  <si>
    <t>INDUSTRIAS ELECTRO QUIMICAS S.A. - IEQSA</t>
  </si>
  <si>
    <t>IEQSAI1</t>
  </si>
  <si>
    <t>INMOBILIARIA IDE S.A.</t>
  </si>
  <si>
    <t>IIDEC1</t>
  </si>
  <si>
    <t>INMOBILIARIA SIC S.A.</t>
  </si>
  <si>
    <t>ISICC1</t>
  </si>
  <si>
    <t>INRETAIL PERÚ CORP.</t>
  </si>
  <si>
    <t>INRETC1</t>
  </si>
  <si>
    <t>INSUR S.A. COMPAÑÍA DE SEGUROS</t>
  </si>
  <si>
    <t>INSURC1</t>
  </si>
  <si>
    <t>INTERCORP FINANCIAL SERVICES INC.</t>
  </si>
  <si>
    <t>IFS</t>
  </si>
  <si>
    <t>INTERCORP PERU LTD.</t>
  </si>
  <si>
    <t>INTCOBC1</t>
  </si>
  <si>
    <t>INTERSEGURO COMPAÑÍA DE SEGUROS S.A.</t>
  </si>
  <si>
    <t>INTSEGC1</t>
  </si>
  <si>
    <t>INVERFAL PERÚ S.A.A.</t>
  </si>
  <si>
    <t>INVFALC1</t>
  </si>
  <si>
    <t>INVERSIONES CENTENARIO S.A.A.</t>
  </si>
  <si>
    <t>INVCENC1</t>
  </si>
  <si>
    <t>INVERSIONES CORPORATIVAS A1 S.A.</t>
  </si>
  <si>
    <t>INVCO2C1</t>
  </si>
  <si>
    <t>INVERSIONES EN TURISMO S.A. - INVERTUR</t>
  </si>
  <si>
    <t>INVERTC1</t>
  </si>
  <si>
    <t>J.P. MORGAN BANCO DE INVERSIÓN</t>
  </si>
  <si>
    <t>JPMORGC1</t>
  </si>
  <si>
    <t>LA POSITIVA SEGUROS Y REASEGUROS S.A.A.</t>
  </si>
  <si>
    <t>POSITIC1</t>
  </si>
  <si>
    <t>LA POSITIVA VIDA SEGUROS Y REASEGUROS S.A.</t>
  </si>
  <si>
    <t>POSITVC1</t>
  </si>
  <si>
    <t>LAIVE S.A.</t>
  </si>
  <si>
    <t>LAIVEBC1</t>
  </si>
  <si>
    <t>LECHE GLORIA S.A.</t>
  </si>
  <si>
    <t>GLORIAI1</t>
  </si>
  <si>
    <t>LIBERTY SEGUROS S.A.</t>
  </si>
  <si>
    <t>LIBSEGC1</t>
  </si>
  <si>
    <t>LIMA CAUCHO S.A. - EN LIQUIDACIÓN</t>
  </si>
  <si>
    <t>CAUCH2C1</t>
  </si>
  <si>
    <t>LOS PORTALES S.A.</t>
  </si>
  <si>
    <t>PORTAC1</t>
  </si>
  <si>
    <t>LUZ DEL SUR S.A.A.</t>
  </si>
  <si>
    <t>LUSURC1</t>
  </si>
  <si>
    <t>MANUFACTURA DE METALES Y ALUMINIO "RECORD" S.A.</t>
  </si>
  <si>
    <t>RECORDI1</t>
  </si>
  <si>
    <t>MAPFRE PERÚ COMPAÑÍA DE SEGUROS Y REASEGUROS</t>
  </si>
  <si>
    <t>MAPFSGC1</t>
  </si>
  <si>
    <t>MIBANCO BANCO DE LA MICRO EMPRESA S.A.</t>
  </si>
  <si>
    <t>MIBANC1</t>
  </si>
  <si>
    <t>MICHELL Y CIA. S.A.</t>
  </si>
  <si>
    <t>MICHEI1</t>
  </si>
  <si>
    <t>MINERA ANDINA DE EXPLORACIONES S.A.A.</t>
  </si>
  <si>
    <t>ANDEXAC1</t>
  </si>
  <si>
    <t>MINERA IRL LIMITED</t>
  </si>
  <si>
    <t>MIRL</t>
  </si>
  <si>
    <t>MINSUR S.A.</t>
  </si>
  <si>
    <t>MINSURI1</t>
  </si>
  <si>
    <t>MITSUI AUTO FINANCE PERÚ S.A.</t>
  </si>
  <si>
    <t>MITSUFC1</t>
  </si>
  <si>
    <t>NESSUS HOTELES PERÚ S.A.</t>
  </si>
  <si>
    <t>NESSUSC1</t>
  </si>
  <si>
    <t>NEXA RESOURCES ATACOCHA S.A.A.</t>
  </si>
  <si>
    <t>ATACOAC1</t>
  </si>
  <si>
    <t>NEXA RESOURCES PERU S.A.A.</t>
  </si>
  <si>
    <t>NEXAPEC1</t>
  </si>
  <si>
    <t>OHIO NATIONAL SEGUROS DE VIDA S.A.</t>
  </si>
  <si>
    <t>OHIOC1</t>
  </si>
  <si>
    <t>PACÍFICO COMPAÑÍA DE SEGUROS Y REASEGUROS</t>
  </si>
  <si>
    <t>PACIFIC1</t>
  </si>
  <si>
    <t>PANORO MINERALS LTD.</t>
  </si>
  <si>
    <t>PML</t>
  </si>
  <si>
    <t>PERU HOLDING DE TURISMO S.A.A.</t>
  </si>
  <si>
    <t>PHTBC1</t>
  </si>
  <si>
    <t>PERUANA DE ENERGIA S.A.A.</t>
  </si>
  <si>
    <t>PERENAC1</t>
  </si>
  <si>
    <t>PERUBAR S.A.</t>
  </si>
  <si>
    <t>PERUBAI1</t>
  </si>
  <si>
    <t>PESQUERA EXALMAR S.A.A.</t>
  </si>
  <si>
    <t>EXALMC1</t>
  </si>
  <si>
    <t>PETROLEOS DEL PERÚ - PETROPERU S.A.</t>
  </si>
  <si>
    <t>PETROBC1</t>
  </si>
  <si>
    <t>PPX MINING CORP.</t>
  </si>
  <si>
    <t>PPX</t>
  </si>
  <si>
    <t>PRIMA AFP S.A.</t>
  </si>
  <si>
    <t>PRIMAC1</t>
  </si>
  <si>
    <t>PROFUTURO A.F.P.</t>
  </si>
  <si>
    <t>PROFUTC1</t>
  </si>
  <si>
    <t>PROTECTA S.A. COMPAÑÍA DE SEGUROS</t>
  </si>
  <si>
    <t>PROTECC1</t>
  </si>
  <si>
    <t>PUCARA GOLD LIMITED</t>
  </si>
  <si>
    <t>TORO</t>
  </si>
  <si>
    <t>PVT PORTAFOLIO DE VALORES S.A.</t>
  </si>
  <si>
    <t>PVTBC1</t>
  </si>
  <si>
    <t>RED BICOLOR DE COMUNICACIONES S.A.A. - EN REESTRUCTURACIÓN</t>
  </si>
  <si>
    <t>RBCBC1</t>
  </si>
  <si>
    <t>RED VIAL 5 S.A.</t>
  </si>
  <si>
    <t>RVIA5BC1</t>
  </si>
  <si>
    <t>REGULUS RESOURCES INC.</t>
  </si>
  <si>
    <t>REG</t>
  </si>
  <si>
    <t>RIMAC SEGUROS Y REASEGUROS</t>
  </si>
  <si>
    <t>RIMSEGC1</t>
  </si>
  <si>
    <t>RIO2 LIMITED</t>
  </si>
  <si>
    <t>RIO</t>
  </si>
  <si>
    <t>SAGA FALABELLA S.A.</t>
  </si>
  <si>
    <t>SAGAC1</t>
  </si>
  <si>
    <t>SCOTIABANK PERU S.A.A.</t>
  </si>
  <si>
    <t>SCOTIAC1</t>
  </si>
  <si>
    <t>SECREX COMPAÑIA DE SEGUROS DE CREDITO Y GARANTIAS S.A.</t>
  </si>
  <si>
    <t>SECREXC1</t>
  </si>
  <si>
    <t>SERVICIO DE AGUA POTABLE Y ALCANTARILLADO DE LIMA - SEDAPAL</t>
  </si>
  <si>
    <t>SEDAPBC1</t>
  </si>
  <si>
    <t>SHOUGANG GENERACION ELECTRICA S.A.A.</t>
  </si>
  <si>
    <t>SHOUGEC1</t>
  </si>
  <si>
    <t>SHOUGANG HIERRO PERU S.A.A.</t>
  </si>
  <si>
    <t>SHPC1</t>
  </si>
  <si>
    <t>SILVER MOUNTAIN RESOURCES INC.</t>
  </si>
  <si>
    <t>AGMR</t>
  </si>
  <si>
    <t>SOCIEDAD AGRICOLA FANUPE VICHAYAL S.A.</t>
  </si>
  <si>
    <t>FANUPEC1</t>
  </si>
  <si>
    <t>SOCIEDAD ELECTRICA DEL SUR OESTE S.A. - SEAL</t>
  </si>
  <si>
    <t>SEALDC1</t>
  </si>
  <si>
    <t>SOCIEDAD MINERA CERRO VERDE S.A.A.</t>
  </si>
  <si>
    <t>CVERDEC1</t>
  </si>
  <si>
    <t>SOCIEDAD MINERA CORONA S.A.</t>
  </si>
  <si>
    <t>MINCORC1</t>
  </si>
  <si>
    <t>SOCIEDAD MINERA EL BROCAL S.A.A.</t>
  </si>
  <si>
    <t>BROCALC1</t>
  </si>
  <si>
    <t>SOLUCION EMPRESA ADMINISTRADORA HIPOTECARIA S.A.</t>
  </si>
  <si>
    <t>SOLUCIC1</t>
  </si>
  <si>
    <t>SOUTHERN COPPER CORPORATION</t>
  </si>
  <si>
    <t>SCCO</t>
  </si>
  <si>
    <t>SOUTHERN PERU COPPER CORPORATION - SUCURSAL DEL PERU</t>
  </si>
  <si>
    <t>SPCCPI1</t>
  </si>
  <si>
    <t>TC SIGLO 21 S.A.A.</t>
  </si>
  <si>
    <t>TELCAAC1</t>
  </si>
  <si>
    <t>TELEFONICA DEL PERU S.A.A.</t>
  </si>
  <si>
    <t>TELEFBC1</t>
  </si>
  <si>
    <t>TEXTIL SAN CRISTOBAL S.A. - EN LIQUIDACIÓN</t>
  </si>
  <si>
    <t>SNCRISC1</t>
  </si>
  <si>
    <t>TINKA RESOURCES LIMITED</t>
  </si>
  <si>
    <t>TK</t>
  </si>
  <si>
    <t>TOTAL SERVICIOS FINANCIEROS EMPRESA DE CREDITOS</t>
  </si>
  <si>
    <t>TOTALSC1</t>
  </si>
  <si>
    <t>TRADI S.A.</t>
  </si>
  <si>
    <t>TRADIC1</t>
  </si>
  <si>
    <t>UNACEM CORP S.A.A.</t>
  </si>
  <si>
    <t>UNACEMC1</t>
  </si>
  <si>
    <t xml:space="preserve">UNION DE CERVECERIAS PERUANAS BACKUS Y JOHNSTON S.A.A. </t>
  </si>
  <si>
    <t>BACKUAC1</t>
  </si>
  <si>
    <t>VIVIR SEGUROS COMPAÑÍA DE SEGUROS DE VIDA S.A.</t>
  </si>
  <si>
    <t>VIVSEGC1</t>
  </si>
  <si>
    <t>VOLCAN COMPAÑIA MINERA S.A.A.</t>
  </si>
  <si>
    <t>VOLCAAC1</t>
  </si>
  <si>
    <t>VOLVO FINANCIAL SERVICES EMPRESA DE CREDITOS S.A.</t>
  </si>
  <si>
    <t>VFSECAC1</t>
  </si>
  <si>
    <t xml:space="preserve">Devaluación </t>
  </si>
  <si>
    <t>Capitalización_Bursátil</t>
  </si>
  <si>
    <t>Valor_por_accion</t>
  </si>
  <si>
    <t>Porcentaje deuda</t>
  </si>
  <si>
    <t>Porcentaje capital</t>
  </si>
  <si>
    <t>Deuda</t>
  </si>
  <si>
    <t>Empresa Dolares</t>
  </si>
  <si>
    <t>Empresa Soles</t>
  </si>
  <si>
    <t>Tabla7</t>
  </si>
  <si>
    <t>Kd(1-T)</t>
  </si>
  <si>
    <t>D/C</t>
  </si>
  <si>
    <t>Columna6</t>
  </si>
  <si>
    <t>$$KMZGY$$</t>
  </si>
  <si>
    <t>$$KYZA9$$</t>
  </si>
  <si>
    <t>$$7TZYU$$</t>
  </si>
  <si>
    <t>$$WPBYC$$</t>
  </si>
  <si>
    <t>$$NPQ3H$$</t>
  </si>
  <si>
    <t>$$GH7RV$$</t>
  </si>
  <si>
    <t>$$XI3SQ$$</t>
  </si>
  <si>
    <t>$$HTJR8$$</t>
  </si>
  <si>
    <t>$$5AKK4$$</t>
  </si>
  <si>
    <t>$$AAMKD$$</t>
  </si>
  <si>
    <t>$$MJUYH$$</t>
  </si>
  <si>
    <t>$$FLEMN$$</t>
  </si>
  <si>
    <t>$$E0C1K$$</t>
  </si>
  <si>
    <t>$$YXOFA$$</t>
  </si>
  <si>
    <t>$$MHNTZ$$</t>
  </si>
  <si>
    <t>$$B5JVC$$</t>
  </si>
  <si>
    <t>$$V9NJF$$</t>
  </si>
  <si>
    <t>$$IE7QQ$$</t>
  </si>
  <si>
    <t>Primer año historico</t>
  </si>
  <si>
    <t>Empresa concepto</t>
  </si>
  <si>
    <t>Patrimonio concepto</t>
  </si>
  <si>
    <t>Acciones concepto</t>
  </si>
  <si>
    <t>Empresa integrado</t>
  </si>
  <si>
    <t>Patrimonio integrado</t>
  </si>
  <si>
    <t>Acciones integrado</t>
  </si>
  <si>
    <t>Ultimo año historico</t>
  </si>
  <si>
    <t>Tasa de crecimiento de largo plazo</t>
  </si>
  <si>
    <t>Costo de Capital CPPC/WACC</t>
  </si>
  <si>
    <t>Tasa de crecimiento de los ingresos</t>
  </si>
  <si>
    <t>Valor del patrimonio concepto sensibilidad</t>
  </si>
  <si>
    <t>Valor por acción concepto sensibilidad</t>
  </si>
  <si>
    <t>Valor del patrimonio integrado sensibilidad</t>
  </si>
  <si>
    <t>Valor financiero concepto</t>
  </si>
  <si>
    <t>Valor financiero integrado</t>
  </si>
  <si>
    <t>Valor financiero concepto sensibilidad</t>
  </si>
  <si>
    <t>Valor financiero integrado sensibilidad</t>
  </si>
  <si>
    <t>$$FVBGH$$</t>
  </si>
  <si>
    <t>$$SWXSD$$</t>
  </si>
  <si>
    <t>$$KIJUN$$</t>
  </si>
  <si>
    <t>$$PQOSJ$$</t>
  </si>
  <si>
    <t>$$LOKIH$$</t>
  </si>
  <si>
    <t>$$NHGTF$$</t>
  </si>
  <si>
    <t>$$NHGTC$$</t>
  </si>
  <si>
    <t>Valor de la empresa</t>
  </si>
  <si>
    <t>Valor de la deuda</t>
  </si>
  <si>
    <t>Precio por acción</t>
  </si>
  <si>
    <t>Gastos por venta</t>
  </si>
  <si>
    <t>Metodo por conceptos</t>
  </si>
  <si>
    <t>Metodo Integrado</t>
  </si>
  <si>
    <t>DÓLARES</t>
  </si>
  <si>
    <t>Publicidad</t>
  </si>
  <si>
    <t>Aeroespacial/ Defensa</t>
  </si>
  <si>
    <t>Transporte aéreo</t>
  </si>
  <si>
    <t>Confección de ropa</t>
  </si>
  <si>
    <t>Automóviles y Camiones</t>
  </si>
  <si>
    <t>Partes de Automóviles</t>
  </si>
  <si>
    <t>Bebida alcohólicas</t>
  </si>
  <si>
    <t>Bebidas sin alcohol</t>
  </si>
  <si>
    <t>Radiofusión</t>
  </si>
  <si>
    <t>Corretaje e inversión bancaria</t>
  </si>
  <si>
    <t>Materiales de construcción</t>
  </si>
  <si>
    <t>Servicios para empresas y consumidores</t>
  </si>
  <si>
    <t>Televisión por cable</t>
  </si>
  <si>
    <t>Químico (Básico)</t>
  </si>
  <si>
    <t>Químico (Diversificado)</t>
  </si>
  <si>
    <t>Químico (Especialidad)</t>
  </si>
  <si>
    <t>Carbón y energía relacionada</t>
  </si>
  <si>
    <t>Servicios informáticos</t>
  </si>
  <si>
    <t>Computadoras/Periféricos</t>
  </si>
  <si>
    <t>Suministros de construcción</t>
  </si>
  <si>
    <t>Diversificado</t>
  </si>
  <si>
    <t>Drogas (Biotecnología)</t>
  </si>
  <si>
    <t>Drogas (Farmacéutica)</t>
  </si>
  <si>
    <t>Educación</t>
  </si>
  <si>
    <t>Equipamiento eléctrico</t>
  </si>
  <si>
    <t>Electrónica (Consumo y Oficina)</t>
  </si>
  <si>
    <t>Electrónica (General)</t>
  </si>
  <si>
    <t>Ingeniería/Construcción</t>
  </si>
  <si>
    <t>Entretenimiento</t>
  </si>
  <si>
    <t>Servicios ambientales y de residuos</t>
  </si>
  <si>
    <t>Agricultura</t>
  </si>
  <si>
    <t>Procesamiento de alimentos</t>
  </si>
  <si>
    <t>Mayoristas de alimentos</t>
  </si>
  <si>
    <t>Muebles y Decoración del hogar</t>
  </si>
  <si>
    <t>Energía verde y renovable</t>
  </si>
  <si>
    <t>Productos de atención médica</t>
  </si>
  <si>
    <t>Servicios de apoyo médico</t>
  </si>
  <si>
    <t>Información y tecnología de atención médica</t>
  </si>
  <si>
    <t>Construcción de viviendas</t>
  </si>
  <si>
    <t>Hospitales/Instalaciones de atención médica</t>
  </si>
  <si>
    <t>Hotel/Juegos de azar</t>
  </si>
  <si>
    <t>Productos del hogar</t>
  </si>
  <si>
    <t>Servicios de información</t>
  </si>
  <si>
    <t>Seguros (Generales)</t>
  </si>
  <si>
    <t>Seguros de vida</t>
  </si>
  <si>
    <t>Seguros de Prop/Cas.</t>
  </si>
  <si>
    <t>Inversiones y Gestión de activos</t>
  </si>
  <si>
    <t>Maquinaria</t>
  </si>
  <si>
    <t>Metales y minería</t>
  </si>
  <si>
    <t>Equipo y servicios de oficina</t>
  </si>
  <si>
    <t>Petróleo/Gas (integrado)</t>
  </si>
  <si>
    <t>Petróleo/Gas (producción y exploración)</t>
  </si>
  <si>
    <t>Distribución de petróleo y gas</t>
  </si>
  <si>
    <t>Servicios/equipo de campo petrolero</t>
  </si>
  <si>
    <t>Envases y contenedores</t>
  </si>
  <si>
    <t>Papel/Productos forestales</t>
  </si>
  <si>
    <t>Energía eléctrica</t>
  </si>
  <si>
    <t>Metales preciosos</t>
  </si>
  <si>
    <t>Publicación/Periódicos</t>
  </si>
  <si>
    <t>Fideicomiso de bienes raíces</t>
  </si>
  <si>
    <t>Bienes raíces (Desarrollo)</t>
  </si>
  <si>
    <t>Bienes raíces (General/Diversificado)</t>
  </si>
  <si>
    <t>Bienes raíces (Operaciones y servicios)</t>
  </si>
  <si>
    <t>Recreación</t>
  </si>
  <si>
    <t>Reaseguro</t>
  </si>
  <si>
    <t>Restaurante/Comedor</t>
  </si>
  <si>
    <t>Minoristas (Automotriz)</t>
  </si>
  <si>
    <t>Minoristas (Materiales de construcción)</t>
  </si>
  <si>
    <t>Minoristas (Distribuidores)</t>
  </si>
  <si>
    <t>Minoristas (General)</t>
  </si>
  <si>
    <t>Minoristas (Comestibles y alimentos)</t>
  </si>
  <si>
    <t>Minoristas (En línea)</t>
  </si>
  <si>
    <t>Minoristas (Líneas Especiales)</t>
  </si>
  <si>
    <t>Caucho y neumáticos</t>
  </si>
  <si>
    <t>Semiconductores</t>
  </si>
  <si>
    <t>Equipos semiconductores</t>
  </si>
  <si>
    <t>Construcción naval y marina</t>
  </si>
  <si>
    <t>Zapatos</t>
  </si>
  <si>
    <t>Software (Sistema y aplicación)</t>
  </si>
  <si>
    <t>Acero</t>
  </si>
  <si>
    <t>Telecomunicaciones (Inalámbrico)</t>
  </si>
  <si>
    <t>Equipamiento de telecomunicaciones</t>
  </si>
  <si>
    <t>Servicios de telecomunicaciones</t>
  </si>
  <si>
    <t>Tabaco</t>
  </si>
  <si>
    <t>Transporte</t>
  </si>
  <si>
    <t>Transporte (Ferrocarriles)</t>
  </si>
  <si>
    <t>Transporte de carga por Carretera</t>
  </si>
  <si>
    <t>Servicios Públicos (No incluye Servicios de Agua</t>
  </si>
  <si>
    <t>Servicios Público de Agua Potable</t>
  </si>
  <si>
    <t>Mercado Total</t>
  </si>
  <si>
    <t>Mercado Total (sin el sector financiero)</t>
  </si>
  <si>
    <t>Software (Entretenimiento)</t>
  </si>
  <si>
    <t>Valor Financiero del  Patrimonio</t>
  </si>
  <si>
    <t>Valor Contable del patrimonio</t>
  </si>
  <si>
    <t>2017;3289719;;;;3289719;3826276;;1865624;1198090;;;3826276;7115995;;;;2823965;;;;1391745;4215710;2900285;;;;2900285;7115995;;;2017;6949265;-5042402;1906863;-633605;164314;-487579;-42607;743072;;;;;;;;;;;;;;;;;;;;;;;;;;;;;;;;;;;;;;;;</t>
  </si>
  <si>
    <t>3289719;;;;3289719;3826276;;1865624;1198090;;;3826276;7115995;;;;2823965;;;;1391745;4215710;2900285;;;;2900285;7115995</t>
  </si>
  <si>
    <t>4103986;;;;4103986;4955240;;2537852;1361126;;;4955240;9059226;;;;3084554;;;;2729104;5813658;3245568;;;;3245568;9059226</t>
  </si>
  <si>
    <t>4490817;;;;4490817;6751464;;3323015;1540298;;;6751464;11242281;;;;3462553;;;;4321222;7783775;3458506;;;;3458506;11242281</t>
  </si>
  <si>
    <t>4618768;;;;4618768;7031343;;3410774;1801309;;;7031343;11650111;558545;;;3604331;3515304;;;4364956;7969287;3680824;;;;3680824;11650111</t>
  </si>
  <si>
    <t>6509850;;;;6509850;6898453;;3343589;1973854;;;6898453;13408303;639174;;;4645551;4676131;;;5437375;10082926;3325377;;;;3325377;13408303</t>
  </si>
  <si>
    <t>6949265;-5042402;1906863;-633605;164314;-487579;-42607;743072;;;;;;</t>
  </si>
  <si>
    <t>8288702;-6244012;2044690;-681336;202775;-603139;26059;786274;;;;;;</t>
  </si>
  <si>
    <t>9872187;-7420013;2452174;-801905;298028;-651838;-49856;948575;;;;;;</t>
  </si>
  <si>
    <t>10131767;-7712254;2419513;-862157;286071;-688428;-75085;793843;;;;;;</t>
  </si>
  <si>
    <t>12227663;-9831454;2396209;-786246;232476;-732928;39531;916566;;-337756;;;;</t>
  </si>
  <si>
    <t>Entrada EE.RR.</t>
  </si>
  <si>
    <t>Entrada EE.FF.</t>
  </si>
  <si>
    <t>$$M2MZA$$</t>
  </si>
  <si>
    <t>Spread debt</t>
  </si>
  <si>
    <t>Spread Debt</t>
  </si>
  <si>
    <t>$$FGBGB$$</t>
  </si>
  <si>
    <t>$$ASD256$$</t>
  </si>
  <si>
    <t>Conceptos</t>
  </si>
  <si>
    <t>Integrado</t>
  </si>
  <si>
    <t>Desarrollado</t>
  </si>
  <si>
    <t>Emergente</t>
  </si>
  <si>
    <t>$$KMZGZ$$</t>
  </si>
  <si>
    <t>$$KMZGX$$</t>
  </si>
  <si>
    <t>$$KMZGH$$</t>
  </si>
  <si>
    <t>$$7TZYV$$</t>
  </si>
  <si>
    <t>$$FGBGC$$</t>
  </si>
  <si>
    <t>$$FGBGD$$</t>
  </si>
  <si>
    <t>$$FGBGE$$</t>
  </si>
  <si>
    <t>$$WPBYD$$</t>
  </si>
  <si>
    <t>$$WPBYE$$</t>
  </si>
  <si>
    <t>$$WPBYF$$</t>
  </si>
  <si>
    <t>$$WPBYG$$</t>
  </si>
  <si>
    <t>$$HG8KI$$</t>
  </si>
  <si>
    <t>$$HG8KJ$$</t>
  </si>
  <si>
    <t>$$HG8KK$$</t>
  </si>
  <si>
    <t>$$GH7RU$$</t>
  </si>
  <si>
    <t>$$AAMKE$$</t>
  </si>
  <si>
    <t>$$AAMKF$$</t>
  </si>
  <si>
    <t>$$5AKK5$$</t>
  </si>
  <si>
    <t>$$HTJR9$$</t>
  </si>
  <si>
    <t>$$M2MZB$$</t>
  </si>
  <si>
    <t>$$M2MZC$$</t>
  </si>
  <si>
    <t>$$M2MZD$$</t>
  </si>
  <si>
    <t>$$XI3SO$$</t>
  </si>
  <si>
    <t>$$XI3SR$$</t>
  </si>
  <si>
    <t>$$XI3SS$$</t>
  </si>
  <si>
    <t>$$XI3ST$$</t>
  </si>
  <si>
    <t>$$KIJUG$$</t>
  </si>
  <si>
    <t>$$KIJUJ$$</t>
  </si>
  <si>
    <t>$$KIJUY$$</t>
  </si>
  <si>
    <t>$$KIJUT$$</t>
  </si>
  <si>
    <t>$$MJUYJ$$</t>
  </si>
  <si>
    <t>$$MJUYR$$</t>
  </si>
  <si>
    <t>$$MJUYT$$</t>
  </si>
  <si>
    <t>$$MJU45$$</t>
  </si>
  <si>
    <t>$$MJU46$$</t>
  </si>
  <si>
    <t>$$MJU47$$</t>
  </si>
  <si>
    <t>$$MJU48$$</t>
  </si>
  <si>
    <t>$$MJUYB$$</t>
  </si>
  <si>
    <t>$$TEST5$$</t>
  </si>
  <si>
    <t>$$TEST6$$</t>
  </si>
  <si>
    <t>$$TEST4$$</t>
  </si>
  <si>
    <t>$$TEST3$$</t>
  </si>
  <si>
    <t>$$MJU1$$</t>
  </si>
  <si>
    <t>$$MJU2$$</t>
  </si>
  <si>
    <t>$$MJU3$$</t>
  </si>
  <si>
    <t>$$MJU4$$</t>
  </si>
  <si>
    <t>$$MJUY$$</t>
  </si>
  <si>
    <t>$$MJU5$$</t>
  </si>
  <si>
    <t>$$MJU6$$</t>
  </si>
  <si>
    <t>$$MJU7$$</t>
  </si>
  <si>
    <t>$$MJU8$$</t>
  </si>
  <si>
    <t>$$IE7QH$$</t>
  </si>
  <si>
    <t>$$YXOFT$$</t>
  </si>
  <si>
    <t>$$MJUT$$</t>
  </si>
  <si>
    <t>$$E0C1L$$</t>
  </si>
  <si>
    <t>$$B5JVD$$</t>
  </si>
  <si>
    <t>$$MHNTX$$</t>
  </si>
  <si>
    <t>$$MHNTY$$</t>
  </si>
  <si>
    <t>$$MJUR$$</t>
  </si>
  <si>
    <t>$$MJUYG$$</t>
  </si>
  <si>
    <t>$$RUDYF$$</t>
  </si>
  <si>
    <t>$$RUDYG$$</t>
  </si>
  <si>
    <t>$$RUDYH$$</t>
  </si>
  <si>
    <t>$$RUDYI$$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</si>
</sst>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S/&quot;\ #,##0.00;[Red]\-&quot;S/&quot;\ #,##0.00"/>
    <numFmt numFmtId="43" formatCode="_-* #,##0.00_-;\-* #,##0.00_-;_-* &quot;-&quot;??_-;_-@_-"/>
    <numFmt numFmtId="164" formatCode="0.00000000%"/>
    <numFmt numFmtId="165" formatCode="0.0000"/>
    <numFmt numFmtId="166" formatCode="0.000"/>
    <numFmt numFmtId="167" formatCode="0.000%"/>
    <numFmt numFmtId="168" formatCode="#,##0.00_ ;\-#,##0.00\ "/>
    <numFmt numFmtId="169" formatCode="0.0%"/>
    <numFmt numFmtId="170" formatCode="_-* #,##0_-;\-* #,##0_-;_-* &quot;-&quot;??_-;_-@_-"/>
    <numFmt numFmtId="171" formatCode="#,##0_ ;\-#,##0\ "/>
    <numFmt numFmtId="172" formatCode="_-* #,##0.000_-;\-* #,##0.000_-;_-* &quot;-&quot;??_-;_-@_-"/>
    <numFmt numFmtId="173" formatCode="0.000000%"/>
    <numFmt numFmtId="174" formatCode="0.00000%"/>
    <numFmt numFmtId="175" formatCode="&quot;S/&quot;#,##0"/>
    <numFmt numFmtId="176" formatCode="#,##0.0000000_ ;\-#,##0.0000000\ "/>
    <numFmt numFmtId="177" formatCode="_ * #,##0.00_ ;_ * \-#,##0.00_ ;_ * &quot;-&quot;??_ ;_ @_ "/>
    <numFmt numFmtId="178" formatCode="[$$-2C0A]\ #,##0;[$$-2C0A]\ \-#,##0"/>
    <numFmt numFmtId="179" formatCode="##\ ##0.00"/>
    <numFmt numFmtId="180" formatCode="0.0000%"/>
  </numFmts>
  <fonts count="16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Bahnschrift"/>
      <family val="2"/>
    </font>
    <font>
      <sz val="11"/>
      <color rgb="FF000000"/>
      <name val="Bahnschrift"/>
      <family val="2"/>
    </font>
    <font>
      <sz val="10"/>
      <color rgb="FF000000"/>
      <name val="Bahnschrift"/>
      <family val="2"/>
    </font>
    <font>
      <sz val="11"/>
      <color rgb="FFFFFFFF"/>
      <name val="Bahnschrift"/>
      <family val="2"/>
    </font>
    <font>
      <b/>
      <sz val="10"/>
      <color rgb="FFFFFFFF"/>
      <name val="Bahnschrift"/>
      <family val="2"/>
    </font>
    <font>
      <b/>
      <sz val="9"/>
      <color rgb="FF2A2A2A"/>
      <name val="Arial"/>
      <family val="2"/>
    </font>
    <font>
      <b/>
      <i/>
      <sz val="9"/>
      <color rgb="FF000000"/>
      <name val="Geneva"/>
    </font>
    <font>
      <b/>
      <sz val="9"/>
      <color rgb="FF000000"/>
      <name val="Geneva"/>
    </font>
    <font>
      <b/>
      <sz val="11"/>
      <color rgb="FFFFFFFF"/>
      <name val="Calibri"/>
      <family val="2"/>
    </font>
    <font>
      <b/>
      <i/>
      <sz val="10"/>
      <color rgb="FF00257E"/>
      <name val="Arial"/>
      <family val="2"/>
    </font>
    <font>
      <sz val="10"/>
      <color rgb="FF333333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color rgb="FF002060"/>
      <name val="Calibri"/>
      <family val="2"/>
    </font>
    <font>
      <b/>
      <sz val="11"/>
      <color rgb="FF0E5672"/>
      <name val="Arial Rounded MT Bold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Geneva"/>
      <family val="2"/>
      <charset val="1"/>
    </font>
    <font>
      <b/>
      <sz val="9"/>
      <name val="Geneva"/>
      <family val="2"/>
      <charset val="1"/>
    </font>
    <font>
      <sz val="13"/>
      <color rgb="FF393B3E"/>
      <name val="Source Sans Pro"/>
      <family val="2"/>
    </font>
    <font>
      <sz val="8"/>
      <name val="Calibri"/>
      <family val="2"/>
    </font>
    <font>
      <sz val="11"/>
      <color rgb="FF393B3E"/>
      <name val="Source Sans Pro"/>
      <family val="2"/>
    </font>
    <font>
      <sz val="12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000000"/>
      <name val="Calibri"/>
      <family val="2"/>
    </font>
    <font>
      <sz val="9"/>
      <color rgb="FF2A2A2A"/>
      <name val="Arial"/>
      <family val="2"/>
    </font>
    <font>
      <sz val="9"/>
      <color rgb="FFFF0000"/>
      <name val="Geneva"/>
      <family val="2"/>
      <charset val="1"/>
    </font>
    <font>
      <sz val="9"/>
      <name val="Calibri"/>
      <family val="2"/>
    </font>
    <font>
      <b/>
      <sz val="10"/>
      <color rgb="FF0070C0"/>
      <name val="Calibri"/>
      <family val="2"/>
    </font>
    <font>
      <vertAlign val="subscript"/>
      <sz val="9"/>
      <name val="Calibri"/>
      <family val="2"/>
    </font>
    <font>
      <b/>
      <sz val="9"/>
      <name val="Calibri"/>
      <family val="2"/>
    </font>
    <font>
      <b/>
      <sz val="11"/>
      <color theme="7" tint="-0.249977111117893"/>
      <name val="Calibri"/>
      <family val="2"/>
    </font>
    <font>
      <b/>
      <sz val="11"/>
      <color theme="9"/>
      <name val="Calibri"/>
      <family val="2"/>
    </font>
    <font>
      <b/>
      <sz val="11"/>
      <color theme="4"/>
      <name val="Calibri"/>
      <family val="2"/>
    </font>
    <font>
      <sz val="11"/>
      <color theme="7"/>
      <name val="Calibri"/>
      <family val="2"/>
      <scheme val="minor"/>
    </font>
    <font>
      <sz val="11"/>
      <color theme="7"/>
      <name val="Calibri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2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rgb="FF000000"/>
      <name val="Geneva"/>
    </font>
    <font>
      <b/>
      <sz val="8"/>
      <name val="Arial"/>
      <family val="2"/>
    </font>
    <font>
      <b/>
      <i/>
      <sz val="9"/>
      <name val="Geneva"/>
    </font>
    <font>
      <b/>
      <sz val="10"/>
      <name val="Verdana"/>
      <family val="2"/>
    </font>
    <font>
      <b/>
      <sz val="9"/>
      <color indexed="81"/>
      <name val="Tahoma"/>
      <family val="2"/>
    </font>
    <font>
      <sz val="8"/>
      <name val="Calibri"/>
      <family val="2"/>
    </font>
  </fonts>
  <fills count="80">
    <fill>
      <patternFill patternType="none"/>
    </fill>
    <fill>
      <patternFill patternType="gray125"/>
    </fill>
    <fill>
      <patternFill patternType="solid">
        <fgColor rgb="FFD3F5F6"/>
        <bgColor rgb="FFFFFFFF"/>
      </patternFill>
    </fill>
    <fill>
      <patternFill patternType="solid">
        <fgColor rgb="FFD3E6F3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D7D7D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CF305"/>
        <bgColor rgb="FF000000"/>
      </patternFill>
    </fill>
    <fill>
      <patternFill patternType="solid">
        <fgColor rgb="FF002060"/>
        <bgColor rgb="FF002060"/>
      </patternFill>
    </fill>
    <fill>
      <patternFill patternType="solid">
        <fgColor rgb="FFFFFFCC"/>
        <bgColor rgb="FFFFFFCC"/>
      </patternFill>
    </fill>
    <fill>
      <patternFill patternType="solid">
        <fgColor rgb="FF1CADE4"/>
        <bgColor rgb="FF1CADE4"/>
      </patternFill>
    </fill>
    <fill>
      <patternFill patternType="solid">
        <fgColor rgb="FFD1EEF9"/>
        <bgColor rgb="FFD1EEF9"/>
      </patternFill>
    </fill>
    <fill>
      <patternFill patternType="solid">
        <fgColor rgb="FFFFFFFF"/>
        <bgColor rgb="FFFFFFFF"/>
      </patternFill>
    </fill>
    <fill>
      <patternFill patternType="solid">
        <fgColor rgb="FFD8E7DC"/>
        <bgColor rgb="FFFFFFFF"/>
      </patternFill>
    </fill>
    <fill>
      <patternFill patternType="solid">
        <fgColor rgb="FF134163"/>
        <bgColor rgb="FFFFFFFF"/>
      </patternFill>
    </fill>
    <fill>
      <patternFill patternType="solid">
        <fgColor rgb="FFDFECEB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DF1F9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rgb="FFA4DEF4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AEDFB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DF5FD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1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CDEE"/>
      </left>
      <right style="thin">
        <color rgb="FF76CDEE"/>
      </right>
      <top style="thin">
        <color rgb="FF76CDEE"/>
      </top>
      <bottom/>
      <diagonal/>
    </border>
    <border>
      <left style="thin">
        <color rgb="FF76CDEE"/>
      </left>
      <right style="thin">
        <color rgb="FF76CDEE"/>
      </right>
      <top style="thin">
        <color rgb="FF76CDEE"/>
      </top>
      <bottom style="thin">
        <color rgb="FF76CD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6CDEE"/>
      </left>
      <right/>
      <top style="medium">
        <color rgb="FF000000"/>
      </top>
      <bottom/>
      <diagonal/>
    </border>
    <border>
      <left style="medium">
        <color rgb="FF134163"/>
      </left>
      <right style="medium">
        <color rgb="FF134163"/>
      </right>
      <top style="medium">
        <color rgb="FF134163"/>
      </top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 style="medium">
        <color rgb="FF215D4B"/>
      </top>
      <bottom style="medium">
        <color rgb="FF215D4B"/>
      </bottom>
      <diagonal/>
    </border>
    <border>
      <left style="medium">
        <color rgb="FF134163"/>
      </left>
      <right style="medium">
        <color rgb="FF134163"/>
      </right>
      <top/>
      <bottom style="medium">
        <color rgb="FF134163"/>
      </bottom>
      <diagonal/>
    </border>
    <border>
      <left style="medium">
        <color rgb="FF215D4B"/>
      </left>
      <right style="medium">
        <color rgb="FF215D4B"/>
      </right>
      <top/>
      <bottom style="medium">
        <color rgb="FF215D4B"/>
      </bottom>
      <diagonal/>
    </border>
    <border>
      <left style="thin">
        <color rgb="FF76CDEE"/>
      </left>
      <right style="thin">
        <color rgb="FF76CDEE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E3E3E3"/>
      </top>
      <bottom style="medium">
        <color rgb="FFE3E3E3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76CDEE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ECCF3"/>
      </left>
      <right style="thin">
        <color rgb="FF5ECCF3"/>
      </right>
      <top style="thin">
        <color rgb="FF5ECCF3"/>
      </top>
      <bottom style="thin">
        <color rgb="FF5ECC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B050"/>
      </left>
      <right/>
      <top/>
      <bottom/>
      <diagonal/>
    </border>
    <border>
      <left/>
      <right/>
      <top style="thin">
        <color rgb="FF00B050"/>
      </top>
      <bottom/>
      <diagonal/>
    </border>
    <border>
      <left style="thin">
        <color theme="9"/>
      </left>
      <right/>
      <top/>
      <bottom/>
      <diagonal/>
    </border>
    <border>
      <left/>
      <right/>
      <top style="thin">
        <color theme="9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9"/>
      </top>
      <bottom/>
      <diagonal/>
    </border>
    <border>
      <left/>
      <right/>
      <top style="thin">
        <color theme="0"/>
      </top>
      <bottom style="thin">
        <color theme="9"/>
      </bottom>
      <diagonal/>
    </border>
    <border>
      <left style="thin">
        <color theme="9"/>
      </left>
      <right/>
      <top style="thin">
        <color theme="0"/>
      </top>
      <bottom/>
      <diagonal/>
    </border>
    <border>
      <left style="thin">
        <color theme="9"/>
      </left>
      <right/>
      <top style="thin">
        <color theme="0"/>
      </top>
      <bottom style="thin">
        <color theme="9"/>
      </bottom>
      <diagonal/>
    </border>
    <border>
      <left style="thin">
        <color theme="0"/>
      </left>
      <right/>
      <top style="thin">
        <color theme="9"/>
      </top>
      <bottom style="thin">
        <color theme="9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 style="thin">
        <color rgb="FF00B050"/>
      </right>
      <top/>
      <bottom/>
      <diagonal/>
    </border>
    <border>
      <left/>
      <right/>
      <top style="thin">
        <color theme="0"/>
      </top>
      <bottom style="thin">
        <color rgb="FF00B050"/>
      </bottom>
      <diagonal/>
    </border>
    <border>
      <left style="thin">
        <color theme="0"/>
      </left>
      <right/>
      <top style="thin">
        <color rgb="FF00B050"/>
      </top>
      <bottom/>
      <diagonal/>
    </border>
    <border>
      <left style="thin">
        <color theme="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5274">
    <xf numFmtId="0" fontId="0" fillId="0" borderId="0"/>
    <xf numFmtId="0" fontId="99" fillId="0" borderId="0" applyNumberFormat="0" applyFill="0" applyBorder="0" applyAlignment="0" applyProtection="0"/>
    <xf numFmtId="0" fontId="100" fillId="0" borderId="15" applyNumberFormat="0" applyFill="0" applyAlignment="0" applyProtection="0"/>
    <xf numFmtId="0" fontId="101" fillId="0" borderId="16" applyNumberFormat="0" applyFill="0" applyAlignment="0" applyProtection="0"/>
    <xf numFmtId="0" fontId="102" fillId="0" borderId="17" applyNumberFormat="0" applyFill="0" applyAlignment="0" applyProtection="0"/>
    <xf numFmtId="0" fontId="102" fillId="0" borderId="0" applyNumberFormat="0" applyFill="0" applyBorder="0" applyAlignment="0" applyProtection="0"/>
    <xf numFmtId="0" fontId="103" fillId="18" borderId="0" applyNumberFormat="0" applyBorder="0" applyAlignment="0" applyProtection="0"/>
    <xf numFmtId="0" fontId="104" fillId="19" borderId="0" applyNumberFormat="0" applyBorder="0" applyAlignment="0" applyProtection="0"/>
    <xf numFmtId="0" fontId="105" fillId="20" borderId="0" applyNumberFormat="0" applyBorder="0" applyAlignment="0" applyProtection="0"/>
    <xf numFmtId="0" fontId="106" fillId="21" borderId="18" applyNumberFormat="0" applyAlignment="0" applyProtection="0"/>
    <xf numFmtId="0" fontId="107" fillId="22" borderId="19" applyNumberFormat="0" applyAlignment="0" applyProtection="0"/>
    <xf numFmtId="0" fontId="108" fillId="22" borderId="18" applyNumberFormat="0" applyAlignment="0" applyProtection="0"/>
    <xf numFmtId="0" fontId="109" fillId="0" borderId="20" applyNumberFormat="0" applyFill="0" applyAlignment="0" applyProtection="0"/>
    <xf numFmtId="0" fontId="110" fillId="23" borderId="21" applyNumberFormat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23" applyNumberFormat="0" applyFill="0" applyAlignment="0" applyProtection="0"/>
    <xf numFmtId="0" fontId="114" fillId="25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8" borderId="0" applyNumberFormat="0" applyBorder="0" applyAlignment="0" applyProtection="0"/>
    <xf numFmtId="0" fontId="114" fillId="29" borderId="0" applyNumberFormat="0" applyBorder="0" applyAlignment="0" applyProtection="0"/>
    <xf numFmtId="0" fontId="79" fillId="30" borderId="0" applyNumberFormat="0" applyBorder="0" applyAlignment="0" applyProtection="0"/>
    <xf numFmtId="0" fontId="79" fillId="31" borderId="0" applyNumberFormat="0" applyBorder="0" applyAlignment="0" applyProtection="0"/>
    <xf numFmtId="0" fontId="79" fillId="32" borderId="0" applyNumberFormat="0" applyBorder="0" applyAlignment="0" applyProtection="0"/>
    <xf numFmtId="0" fontId="114" fillId="33" borderId="0" applyNumberFormat="0" applyBorder="0" applyAlignment="0" applyProtection="0"/>
    <xf numFmtId="0" fontId="79" fillId="34" borderId="0" applyNumberFormat="0" applyBorder="0" applyAlignment="0" applyProtection="0"/>
    <xf numFmtId="0" fontId="79" fillId="35" borderId="0" applyNumberFormat="0" applyBorder="0" applyAlignment="0" applyProtection="0"/>
    <xf numFmtId="0" fontId="79" fillId="36" borderId="0" applyNumberFormat="0" applyBorder="0" applyAlignment="0" applyProtection="0"/>
    <xf numFmtId="0" fontId="114" fillId="37" borderId="0" applyNumberFormat="0" applyBorder="0" applyAlignment="0" applyProtection="0"/>
    <xf numFmtId="0" fontId="79" fillId="38" borderId="0" applyNumberFormat="0" applyBorder="0" applyAlignment="0" applyProtection="0"/>
    <xf numFmtId="0" fontId="79" fillId="39" borderId="0" applyNumberFormat="0" applyBorder="0" applyAlignment="0" applyProtection="0"/>
    <xf numFmtId="0" fontId="79" fillId="40" borderId="0" applyNumberFormat="0" applyBorder="0" applyAlignment="0" applyProtection="0"/>
    <xf numFmtId="0" fontId="114" fillId="41" borderId="0" applyNumberFormat="0" applyBorder="0" applyAlignment="0" applyProtection="0"/>
    <xf numFmtId="0" fontId="79" fillId="42" borderId="0" applyNumberFormat="0" applyBorder="0" applyAlignment="0" applyProtection="0"/>
    <xf numFmtId="0" fontId="79" fillId="43" borderId="0" applyNumberFormat="0" applyBorder="0" applyAlignment="0" applyProtection="0"/>
    <xf numFmtId="0" fontId="79" fillId="44" borderId="0" applyNumberFormat="0" applyBorder="0" applyAlignment="0" applyProtection="0"/>
    <xf numFmtId="0" fontId="114" fillId="45" borderId="0" applyNumberFormat="0" applyBorder="0" applyAlignment="0" applyProtection="0"/>
    <xf numFmtId="0" fontId="79" fillId="46" borderId="0" applyNumberFormat="0" applyBorder="0" applyAlignment="0" applyProtection="0"/>
    <xf numFmtId="0" fontId="79" fillId="47" borderId="0" applyNumberFormat="0" applyBorder="0" applyAlignment="0" applyProtection="0"/>
    <xf numFmtId="0" fontId="79" fillId="48" borderId="0" applyNumberFormat="0" applyBorder="0" applyAlignment="0" applyProtection="0"/>
    <xf numFmtId="0" fontId="79" fillId="0" borderId="0"/>
    <xf numFmtId="0" fontId="79" fillId="24" borderId="22" applyNumberFormat="0" applyFont="0" applyAlignment="0" applyProtection="0"/>
    <xf numFmtId="0" fontId="78" fillId="0" borderId="0"/>
    <xf numFmtId="0" fontId="78" fillId="24" borderId="22" applyNumberFormat="0" applyFont="0" applyAlignment="0" applyProtection="0"/>
    <xf numFmtId="0" fontId="78" fillId="26" borderId="0" applyNumberFormat="0" applyBorder="0" applyAlignment="0" applyProtection="0"/>
    <xf numFmtId="0" fontId="78" fillId="27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8" fillId="31" borderId="0" applyNumberFormat="0" applyBorder="0" applyAlignment="0" applyProtection="0"/>
    <xf numFmtId="0" fontId="78" fillId="32" borderId="0" applyNumberFormat="0" applyBorder="0" applyAlignment="0" applyProtection="0"/>
    <xf numFmtId="0" fontId="78" fillId="34" borderId="0" applyNumberFormat="0" applyBorder="0" applyAlignment="0" applyProtection="0"/>
    <xf numFmtId="0" fontId="78" fillId="35" borderId="0" applyNumberFormat="0" applyBorder="0" applyAlignment="0" applyProtection="0"/>
    <xf numFmtId="0" fontId="78" fillId="36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8" fillId="46" borderId="0" applyNumberFormat="0" applyBorder="0" applyAlignment="0" applyProtection="0"/>
    <xf numFmtId="0" fontId="78" fillId="47" borderId="0" applyNumberFormat="0" applyBorder="0" applyAlignment="0" applyProtection="0"/>
    <xf numFmtId="0" fontId="78" fillId="48" borderId="0" applyNumberFormat="0" applyBorder="0" applyAlignment="0" applyProtection="0"/>
    <xf numFmtId="0" fontId="77" fillId="0" borderId="0"/>
    <xf numFmtId="0" fontId="77" fillId="24" borderId="22" applyNumberFormat="0" applyFont="0" applyAlignment="0" applyProtection="0"/>
    <xf numFmtId="0" fontId="77" fillId="26" borderId="0" applyNumberFormat="0" applyBorder="0" applyAlignment="0" applyProtection="0"/>
    <xf numFmtId="0" fontId="77" fillId="27" borderId="0" applyNumberFormat="0" applyBorder="0" applyAlignment="0" applyProtection="0"/>
    <xf numFmtId="0" fontId="77" fillId="28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77" fillId="38" borderId="0" applyNumberFormat="0" applyBorder="0" applyAlignment="0" applyProtection="0"/>
    <xf numFmtId="0" fontId="77" fillId="39" borderId="0" applyNumberFormat="0" applyBorder="0" applyAlignment="0" applyProtection="0"/>
    <xf numFmtId="0" fontId="77" fillId="40" borderId="0" applyNumberFormat="0" applyBorder="0" applyAlignment="0" applyProtection="0"/>
    <xf numFmtId="0" fontId="77" fillId="42" borderId="0" applyNumberFormat="0" applyBorder="0" applyAlignment="0" applyProtection="0"/>
    <xf numFmtId="0" fontId="77" fillId="43" borderId="0" applyNumberFormat="0" applyBorder="0" applyAlignment="0" applyProtection="0"/>
    <xf numFmtId="0" fontId="77" fillId="44" borderId="0" applyNumberFormat="0" applyBorder="0" applyAlignment="0" applyProtection="0"/>
    <xf numFmtId="0" fontId="77" fillId="46" borderId="0" applyNumberFormat="0" applyBorder="0" applyAlignment="0" applyProtection="0"/>
    <xf numFmtId="0" fontId="77" fillId="47" borderId="0" applyNumberFormat="0" applyBorder="0" applyAlignment="0" applyProtection="0"/>
    <xf numFmtId="0" fontId="77" fillId="48" borderId="0" applyNumberFormat="0" applyBorder="0" applyAlignment="0" applyProtection="0"/>
    <xf numFmtId="9" fontId="116" fillId="0" borderId="0" applyFont="0" applyFill="0" applyBorder="0" applyAlignment="0" applyProtection="0"/>
    <xf numFmtId="0" fontId="76" fillId="0" borderId="0"/>
    <xf numFmtId="0" fontId="76" fillId="24" borderId="22" applyNumberFormat="0" applyFont="0" applyAlignment="0" applyProtection="0"/>
    <xf numFmtId="0" fontId="76" fillId="26" borderId="0" applyNumberFormat="0" applyBorder="0" applyAlignment="0" applyProtection="0"/>
    <xf numFmtId="0" fontId="76" fillId="27" borderId="0" applyNumberFormat="0" applyBorder="0" applyAlignment="0" applyProtection="0"/>
    <xf numFmtId="0" fontId="76" fillId="28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6" fillId="38" borderId="0" applyNumberFormat="0" applyBorder="0" applyAlignment="0" applyProtection="0"/>
    <xf numFmtId="0" fontId="76" fillId="39" borderId="0" applyNumberFormat="0" applyBorder="0" applyAlignment="0" applyProtection="0"/>
    <xf numFmtId="0" fontId="76" fillId="40" borderId="0" applyNumberFormat="0" applyBorder="0" applyAlignment="0" applyProtection="0"/>
    <xf numFmtId="0" fontId="76" fillId="42" borderId="0" applyNumberFormat="0" applyBorder="0" applyAlignment="0" applyProtection="0"/>
    <xf numFmtId="0" fontId="76" fillId="43" borderId="0" applyNumberFormat="0" applyBorder="0" applyAlignment="0" applyProtection="0"/>
    <xf numFmtId="0" fontId="76" fillId="44" borderId="0" applyNumberFormat="0" applyBorder="0" applyAlignment="0" applyProtection="0"/>
    <xf numFmtId="0" fontId="76" fillId="46" borderId="0" applyNumberFormat="0" applyBorder="0" applyAlignment="0" applyProtection="0"/>
    <xf numFmtId="0" fontId="76" fillId="47" borderId="0" applyNumberFormat="0" applyBorder="0" applyAlignment="0" applyProtection="0"/>
    <xf numFmtId="0" fontId="76" fillId="48" borderId="0" applyNumberFormat="0" applyBorder="0" applyAlignment="0" applyProtection="0"/>
    <xf numFmtId="0" fontId="75" fillId="0" borderId="0"/>
    <xf numFmtId="0" fontId="75" fillId="24" borderId="22" applyNumberFormat="0" applyFont="0" applyAlignment="0" applyProtection="0"/>
    <xf numFmtId="0" fontId="75" fillId="26" borderId="0" applyNumberFormat="0" applyBorder="0" applyAlignment="0" applyProtection="0"/>
    <xf numFmtId="0" fontId="75" fillId="27" borderId="0" applyNumberFormat="0" applyBorder="0" applyAlignment="0" applyProtection="0"/>
    <xf numFmtId="0" fontId="75" fillId="28" borderId="0" applyNumberFormat="0" applyBorder="0" applyAlignment="0" applyProtection="0"/>
    <xf numFmtId="0" fontId="75" fillId="30" borderId="0" applyNumberFormat="0" applyBorder="0" applyAlignment="0" applyProtection="0"/>
    <xf numFmtId="0" fontId="75" fillId="31" borderId="0" applyNumberFormat="0" applyBorder="0" applyAlignment="0" applyProtection="0"/>
    <xf numFmtId="0" fontId="75" fillId="32" borderId="0" applyNumberFormat="0" applyBorder="0" applyAlignment="0" applyProtection="0"/>
    <xf numFmtId="0" fontId="75" fillId="34" borderId="0" applyNumberFormat="0" applyBorder="0" applyAlignment="0" applyProtection="0"/>
    <xf numFmtId="0" fontId="75" fillId="35" borderId="0" applyNumberFormat="0" applyBorder="0" applyAlignment="0" applyProtection="0"/>
    <xf numFmtId="0" fontId="75" fillId="36" borderId="0" applyNumberFormat="0" applyBorder="0" applyAlignment="0" applyProtection="0"/>
    <xf numFmtId="0" fontId="75" fillId="38" borderId="0" applyNumberFormat="0" applyBorder="0" applyAlignment="0" applyProtection="0"/>
    <xf numFmtId="0" fontId="75" fillId="39" borderId="0" applyNumberFormat="0" applyBorder="0" applyAlignment="0" applyProtection="0"/>
    <xf numFmtId="0" fontId="75" fillId="40" borderId="0" applyNumberFormat="0" applyBorder="0" applyAlignment="0" applyProtection="0"/>
    <xf numFmtId="0" fontId="75" fillId="42" borderId="0" applyNumberFormat="0" applyBorder="0" applyAlignment="0" applyProtection="0"/>
    <xf numFmtId="0" fontId="75" fillId="43" borderId="0" applyNumberFormat="0" applyBorder="0" applyAlignment="0" applyProtection="0"/>
    <xf numFmtId="0" fontId="75" fillId="44" borderId="0" applyNumberFormat="0" applyBorder="0" applyAlignment="0" applyProtection="0"/>
    <xf numFmtId="0" fontId="75" fillId="46" borderId="0" applyNumberFormat="0" applyBorder="0" applyAlignment="0" applyProtection="0"/>
    <xf numFmtId="0" fontId="75" fillId="47" borderId="0" applyNumberFormat="0" applyBorder="0" applyAlignment="0" applyProtection="0"/>
    <xf numFmtId="0" fontId="75" fillId="48" borderId="0" applyNumberFormat="0" applyBorder="0" applyAlignment="0" applyProtection="0"/>
    <xf numFmtId="0" fontId="74" fillId="0" borderId="0"/>
    <xf numFmtId="0" fontId="74" fillId="24" borderId="22" applyNumberFormat="0" applyFont="0" applyAlignment="0" applyProtection="0"/>
    <xf numFmtId="0" fontId="74" fillId="26" borderId="0" applyNumberFormat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30" borderId="0" applyNumberFormat="0" applyBorder="0" applyAlignment="0" applyProtection="0"/>
    <xf numFmtId="0" fontId="74" fillId="31" borderId="0" applyNumberFormat="0" applyBorder="0" applyAlignment="0" applyProtection="0"/>
    <xf numFmtId="0" fontId="74" fillId="32" borderId="0" applyNumberFormat="0" applyBorder="0" applyAlignment="0" applyProtection="0"/>
    <xf numFmtId="0" fontId="74" fillId="34" borderId="0" applyNumberFormat="0" applyBorder="0" applyAlignment="0" applyProtection="0"/>
    <xf numFmtId="0" fontId="74" fillId="35" borderId="0" applyNumberFormat="0" applyBorder="0" applyAlignment="0" applyProtection="0"/>
    <xf numFmtId="0" fontId="74" fillId="36" borderId="0" applyNumberFormat="0" applyBorder="0" applyAlignment="0" applyProtection="0"/>
    <xf numFmtId="0" fontId="74" fillId="38" borderId="0" applyNumberFormat="0" applyBorder="0" applyAlignment="0" applyProtection="0"/>
    <xf numFmtId="0" fontId="74" fillId="39" borderId="0" applyNumberFormat="0" applyBorder="0" applyAlignment="0" applyProtection="0"/>
    <xf numFmtId="0" fontId="74" fillId="40" borderId="0" applyNumberFormat="0" applyBorder="0" applyAlignment="0" applyProtection="0"/>
    <xf numFmtId="0" fontId="74" fillId="42" borderId="0" applyNumberFormat="0" applyBorder="0" applyAlignment="0" applyProtection="0"/>
    <xf numFmtId="0" fontId="74" fillId="43" borderId="0" applyNumberFormat="0" applyBorder="0" applyAlignment="0" applyProtection="0"/>
    <xf numFmtId="0" fontId="74" fillId="44" borderId="0" applyNumberFormat="0" applyBorder="0" applyAlignment="0" applyProtection="0"/>
    <xf numFmtId="0" fontId="74" fillId="46" borderId="0" applyNumberFormat="0" applyBorder="0" applyAlignment="0" applyProtection="0"/>
    <xf numFmtId="0" fontId="74" fillId="47" borderId="0" applyNumberFormat="0" applyBorder="0" applyAlignment="0" applyProtection="0"/>
    <xf numFmtId="0" fontId="74" fillId="48" borderId="0" applyNumberFormat="0" applyBorder="0" applyAlignment="0" applyProtection="0"/>
    <xf numFmtId="0" fontId="73" fillId="0" borderId="0"/>
    <xf numFmtId="0" fontId="73" fillId="24" borderId="22" applyNumberFormat="0" applyFont="0" applyAlignment="0" applyProtection="0"/>
    <xf numFmtId="0" fontId="7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73" fillId="34" borderId="0" applyNumberFormat="0" applyBorder="0" applyAlignment="0" applyProtection="0"/>
    <xf numFmtId="0" fontId="73" fillId="35" borderId="0" applyNumberFormat="0" applyBorder="0" applyAlignment="0" applyProtection="0"/>
    <xf numFmtId="0" fontId="73" fillId="36" borderId="0" applyNumberFormat="0" applyBorder="0" applyAlignment="0" applyProtection="0"/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73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73" fillId="46" borderId="0" applyNumberFormat="0" applyBorder="0" applyAlignment="0" applyProtection="0"/>
    <xf numFmtId="0" fontId="73" fillId="47" borderId="0" applyNumberFormat="0" applyBorder="0" applyAlignment="0" applyProtection="0"/>
    <xf numFmtId="0" fontId="73" fillId="48" borderId="0" applyNumberFormat="0" applyBorder="0" applyAlignment="0" applyProtection="0"/>
    <xf numFmtId="0" fontId="72" fillId="0" borderId="0"/>
    <xf numFmtId="0" fontId="72" fillId="24" borderId="22" applyNumberFormat="0" applyFont="0" applyAlignment="0" applyProtection="0"/>
    <xf numFmtId="0" fontId="72" fillId="26" borderId="0" applyNumberFormat="0" applyBorder="0" applyAlignment="0" applyProtection="0"/>
    <xf numFmtId="0" fontId="72" fillId="27" borderId="0" applyNumberFormat="0" applyBorder="0" applyAlignment="0" applyProtection="0"/>
    <xf numFmtId="0" fontId="72" fillId="28" borderId="0" applyNumberFormat="0" applyBorder="0" applyAlignment="0" applyProtection="0"/>
    <xf numFmtId="0" fontId="72" fillId="30" borderId="0" applyNumberFormat="0" applyBorder="0" applyAlignment="0" applyProtection="0"/>
    <xf numFmtId="0" fontId="72" fillId="31" borderId="0" applyNumberFormat="0" applyBorder="0" applyAlignment="0" applyProtection="0"/>
    <xf numFmtId="0" fontId="72" fillId="32" borderId="0" applyNumberFormat="0" applyBorder="0" applyAlignment="0" applyProtection="0"/>
    <xf numFmtId="0" fontId="72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72" fillId="38" borderId="0" applyNumberFormat="0" applyBorder="0" applyAlignment="0" applyProtection="0"/>
    <xf numFmtId="0" fontId="72" fillId="39" borderId="0" applyNumberFormat="0" applyBorder="0" applyAlignment="0" applyProtection="0"/>
    <xf numFmtId="0" fontId="72" fillId="40" borderId="0" applyNumberFormat="0" applyBorder="0" applyAlignment="0" applyProtection="0"/>
    <xf numFmtId="0" fontId="72" fillId="42" borderId="0" applyNumberFormat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72" fillId="46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71" fillId="0" borderId="0"/>
    <xf numFmtId="0" fontId="71" fillId="24" borderId="22" applyNumberFormat="0" applyFont="0" applyAlignment="0" applyProtection="0"/>
    <xf numFmtId="0" fontId="71" fillId="26" borderId="0" applyNumberFormat="0" applyBorder="0" applyAlignment="0" applyProtection="0"/>
    <xf numFmtId="0" fontId="7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30" borderId="0" applyNumberFormat="0" applyBorder="0" applyAlignment="0" applyProtection="0"/>
    <xf numFmtId="0" fontId="71" fillId="31" borderId="0" applyNumberFormat="0" applyBorder="0" applyAlignment="0" applyProtection="0"/>
    <xf numFmtId="0" fontId="71" fillId="32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71" fillId="38" borderId="0" applyNumberFormat="0" applyBorder="0" applyAlignment="0" applyProtection="0"/>
    <xf numFmtId="0" fontId="71" fillId="39" borderId="0" applyNumberFormat="0" applyBorder="0" applyAlignment="0" applyProtection="0"/>
    <xf numFmtId="0" fontId="71" fillId="40" borderId="0" applyNumberFormat="0" applyBorder="0" applyAlignment="0" applyProtection="0"/>
    <xf numFmtId="0" fontId="71" fillId="42" borderId="0" applyNumberFormat="0" applyBorder="0" applyAlignment="0" applyProtection="0"/>
    <xf numFmtId="0" fontId="71" fillId="43" borderId="0" applyNumberFormat="0" applyBorder="0" applyAlignment="0" applyProtection="0"/>
    <xf numFmtId="0" fontId="71" fillId="44" borderId="0" applyNumberFormat="0" applyBorder="0" applyAlignment="0" applyProtection="0"/>
    <xf numFmtId="0" fontId="71" fillId="46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70" fillId="0" borderId="0"/>
    <xf numFmtId="0" fontId="70" fillId="24" borderId="22" applyNumberFormat="0" applyFont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30" borderId="0" applyNumberFormat="0" applyBorder="0" applyAlignment="0" applyProtection="0"/>
    <xf numFmtId="0" fontId="70" fillId="31" borderId="0" applyNumberFormat="0" applyBorder="0" applyAlignment="0" applyProtection="0"/>
    <xf numFmtId="0" fontId="70" fillId="32" borderId="0" applyNumberFormat="0" applyBorder="0" applyAlignment="0" applyProtection="0"/>
    <xf numFmtId="0" fontId="70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70" fillId="42" borderId="0" applyNumberFormat="0" applyBorder="0" applyAlignment="0" applyProtection="0"/>
    <xf numFmtId="0" fontId="70" fillId="43" borderId="0" applyNumberFormat="0" applyBorder="0" applyAlignment="0" applyProtection="0"/>
    <xf numFmtId="0" fontId="70" fillId="44" borderId="0" applyNumberFormat="0" applyBorder="0" applyAlignment="0" applyProtection="0"/>
    <xf numFmtId="0" fontId="70" fillId="46" borderId="0" applyNumberFormat="0" applyBorder="0" applyAlignment="0" applyProtection="0"/>
    <xf numFmtId="0" fontId="70" fillId="47" borderId="0" applyNumberFormat="0" applyBorder="0" applyAlignment="0" applyProtection="0"/>
    <xf numFmtId="0" fontId="70" fillId="48" borderId="0" applyNumberFormat="0" applyBorder="0" applyAlignment="0" applyProtection="0"/>
    <xf numFmtId="0" fontId="69" fillId="0" borderId="0"/>
    <xf numFmtId="0" fontId="69" fillId="24" borderId="22" applyNumberFormat="0" applyFont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4" borderId="0" applyNumberFormat="0" applyBorder="0" applyAlignment="0" applyProtection="0"/>
    <xf numFmtId="0" fontId="6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8" borderId="0" applyNumberFormat="0" applyBorder="0" applyAlignment="0" applyProtection="0"/>
    <xf numFmtId="0" fontId="68" fillId="0" borderId="0"/>
    <xf numFmtId="0" fontId="68" fillId="24" borderId="22" applyNumberFormat="0" applyFont="0" applyAlignment="0" applyProtection="0"/>
    <xf numFmtId="0" fontId="68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68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6" borderId="0" applyNumberFormat="0" applyBorder="0" applyAlignment="0" applyProtection="0"/>
    <xf numFmtId="0" fontId="68" fillId="38" borderId="0" applyNumberFormat="0" applyBorder="0" applyAlignment="0" applyProtection="0"/>
    <xf numFmtId="0" fontId="68" fillId="39" borderId="0" applyNumberFormat="0" applyBorder="0" applyAlignment="0" applyProtection="0"/>
    <xf numFmtId="0" fontId="68" fillId="40" borderId="0" applyNumberFormat="0" applyBorder="0" applyAlignment="0" applyProtection="0"/>
    <xf numFmtId="0" fontId="68" fillId="42" borderId="0" applyNumberFormat="0" applyBorder="0" applyAlignment="0" applyProtection="0"/>
    <xf numFmtId="0" fontId="68" fillId="43" borderId="0" applyNumberFormat="0" applyBorder="0" applyAlignment="0" applyProtection="0"/>
    <xf numFmtId="0" fontId="68" fillId="44" borderId="0" applyNumberFormat="0" applyBorder="0" applyAlignment="0" applyProtection="0"/>
    <xf numFmtId="0" fontId="68" fillId="46" borderId="0" applyNumberFormat="0" applyBorder="0" applyAlignment="0" applyProtection="0"/>
    <xf numFmtId="0" fontId="68" fillId="47" borderId="0" applyNumberFormat="0" applyBorder="0" applyAlignment="0" applyProtection="0"/>
    <xf numFmtId="0" fontId="68" fillId="48" borderId="0" applyNumberFormat="0" applyBorder="0" applyAlignment="0" applyProtection="0"/>
    <xf numFmtId="0" fontId="67" fillId="0" borderId="0"/>
    <xf numFmtId="0" fontId="67" fillId="24" borderId="22" applyNumberFormat="0" applyFont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0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8" borderId="0" applyNumberFormat="0" applyBorder="0" applyAlignment="0" applyProtection="0"/>
    <xf numFmtId="0" fontId="67" fillId="39" borderId="0" applyNumberFormat="0" applyBorder="0" applyAlignment="0" applyProtection="0"/>
    <xf numFmtId="0" fontId="67" fillId="40" borderId="0" applyNumberFormat="0" applyBorder="0" applyAlignment="0" applyProtection="0"/>
    <xf numFmtId="0" fontId="67" fillId="42" borderId="0" applyNumberFormat="0" applyBorder="0" applyAlignment="0" applyProtection="0"/>
    <xf numFmtId="0" fontId="67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6" borderId="0" applyNumberFormat="0" applyBorder="0" applyAlignment="0" applyProtection="0"/>
    <xf numFmtId="0" fontId="67" fillId="47" borderId="0" applyNumberFormat="0" applyBorder="0" applyAlignment="0" applyProtection="0"/>
    <xf numFmtId="0" fontId="67" fillId="48" borderId="0" applyNumberFormat="0" applyBorder="0" applyAlignment="0" applyProtection="0"/>
    <xf numFmtId="0" fontId="66" fillId="0" borderId="0"/>
    <xf numFmtId="0" fontId="66" fillId="24" borderId="22" applyNumberFormat="0" applyFont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6" fillId="28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66" fillId="38" borderId="0" applyNumberFormat="0" applyBorder="0" applyAlignment="0" applyProtection="0"/>
    <xf numFmtId="0" fontId="66" fillId="39" borderId="0" applyNumberFormat="0" applyBorder="0" applyAlignment="0" applyProtection="0"/>
    <xf numFmtId="0" fontId="66" fillId="40" borderId="0" applyNumberFormat="0" applyBorder="0" applyAlignment="0" applyProtection="0"/>
    <xf numFmtId="0" fontId="66" fillId="42" borderId="0" applyNumberFormat="0" applyBorder="0" applyAlignment="0" applyProtection="0"/>
    <xf numFmtId="0" fontId="66" fillId="43" borderId="0" applyNumberFormat="0" applyBorder="0" applyAlignment="0" applyProtection="0"/>
    <xf numFmtId="0" fontId="66" fillId="44" borderId="0" applyNumberFormat="0" applyBorder="0" applyAlignment="0" applyProtection="0"/>
    <xf numFmtId="0" fontId="66" fillId="46" borderId="0" applyNumberFormat="0" applyBorder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5" fillId="0" borderId="0"/>
    <xf numFmtId="0" fontId="65" fillId="24" borderId="22" applyNumberFormat="0" applyFont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28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6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65" fillId="40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64" fillId="0" borderId="0"/>
    <xf numFmtId="0" fontId="64" fillId="24" borderId="22" applyNumberFormat="0" applyFont="0" applyAlignment="0" applyProtection="0"/>
    <xf numFmtId="0" fontId="64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64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64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64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64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64" fillId="46" borderId="0" applyNumberFormat="0" applyBorder="0" applyAlignment="0" applyProtection="0"/>
    <xf numFmtId="0" fontId="64" fillId="47" borderId="0" applyNumberFormat="0" applyBorder="0" applyAlignment="0" applyProtection="0"/>
    <xf numFmtId="0" fontId="64" fillId="48" borderId="0" applyNumberFormat="0" applyBorder="0" applyAlignment="0" applyProtection="0"/>
    <xf numFmtId="0" fontId="63" fillId="0" borderId="0"/>
    <xf numFmtId="0" fontId="63" fillId="24" borderId="22" applyNumberFormat="0" applyFont="0" applyAlignment="0" applyProtection="0"/>
    <xf numFmtId="0" fontId="63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8" borderId="0" applyNumberFormat="0" applyBorder="0" applyAlignment="0" applyProtection="0"/>
    <xf numFmtId="0" fontId="63" fillId="30" borderId="0" applyNumberFormat="0" applyBorder="0" applyAlignment="0" applyProtection="0"/>
    <xf numFmtId="0" fontId="63" fillId="31" borderId="0" applyNumberFormat="0" applyBorder="0" applyAlignment="0" applyProtection="0"/>
    <xf numFmtId="0" fontId="63" fillId="32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8" borderId="0" applyNumberFormat="0" applyBorder="0" applyAlignment="0" applyProtection="0"/>
    <xf numFmtId="0" fontId="63" fillId="39" borderId="0" applyNumberFormat="0" applyBorder="0" applyAlignment="0" applyProtection="0"/>
    <xf numFmtId="0" fontId="63" fillId="40" borderId="0" applyNumberFormat="0" applyBorder="0" applyAlignment="0" applyProtection="0"/>
    <xf numFmtId="0" fontId="63" fillId="42" borderId="0" applyNumberFormat="0" applyBorder="0" applyAlignment="0" applyProtection="0"/>
    <xf numFmtId="0" fontId="63" fillId="43" borderId="0" applyNumberFormat="0" applyBorder="0" applyAlignment="0" applyProtection="0"/>
    <xf numFmtId="0" fontId="63" fillId="44" borderId="0" applyNumberFormat="0" applyBorder="0" applyAlignment="0" applyProtection="0"/>
    <xf numFmtId="0" fontId="63" fillId="46" borderId="0" applyNumberFormat="0" applyBorder="0" applyAlignment="0" applyProtection="0"/>
    <xf numFmtId="0" fontId="63" fillId="47" borderId="0" applyNumberFormat="0" applyBorder="0" applyAlignment="0" applyProtection="0"/>
    <xf numFmtId="0" fontId="63" fillId="48" borderId="0" applyNumberFormat="0" applyBorder="0" applyAlignment="0" applyProtection="0"/>
    <xf numFmtId="0" fontId="62" fillId="0" borderId="0"/>
    <xf numFmtId="0" fontId="62" fillId="24" borderId="22" applyNumberFormat="0" applyFont="0" applyAlignment="0" applyProtection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30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4" borderId="0" applyNumberFormat="0" applyBorder="0" applyAlignment="0" applyProtection="0"/>
    <xf numFmtId="0" fontId="62" fillId="35" borderId="0" applyNumberFormat="0" applyBorder="0" applyAlignment="0" applyProtection="0"/>
    <xf numFmtId="0" fontId="62" fillId="36" borderId="0" applyNumberFormat="0" applyBorder="0" applyAlignment="0" applyProtection="0"/>
    <xf numFmtId="0" fontId="62" fillId="38" borderId="0" applyNumberFormat="0" applyBorder="0" applyAlignment="0" applyProtection="0"/>
    <xf numFmtId="0" fontId="62" fillId="39" borderId="0" applyNumberFormat="0" applyBorder="0" applyAlignment="0" applyProtection="0"/>
    <xf numFmtId="0" fontId="62" fillId="40" borderId="0" applyNumberFormat="0" applyBorder="0" applyAlignment="0" applyProtection="0"/>
    <xf numFmtId="0" fontId="62" fillId="42" borderId="0" applyNumberFormat="0" applyBorder="0" applyAlignment="0" applyProtection="0"/>
    <xf numFmtId="0" fontId="62" fillId="43" borderId="0" applyNumberFormat="0" applyBorder="0" applyAlignment="0" applyProtection="0"/>
    <xf numFmtId="0" fontId="62" fillId="44" borderId="0" applyNumberFormat="0" applyBorder="0" applyAlignment="0" applyProtection="0"/>
    <xf numFmtId="0" fontId="62" fillId="46" borderId="0" applyNumberFormat="0" applyBorder="0" applyAlignment="0" applyProtection="0"/>
    <xf numFmtId="0" fontId="62" fillId="47" borderId="0" applyNumberFormat="0" applyBorder="0" applyAlignment="0" applyProtection="0"/>
    <xf numFmtId="0" fontId="62" fillId="48" borderId="0" applyNumberFormat="0" applyBorder="0" applyAlignment="0" applyProtection="0"/>
    <xf numFmtId="0" fontId="61" fillId="0" borderId="0"/>
    <xf numFmtId="0" fontId="61" fillId="24" borderId="22" applyNumberFormat="0" applyFont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61" fillId="28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0" fillId="0" borderId="0"/>
    <xf numFmtId="0" fontId="60" fillId="24" borderId="22" applyNumberFormat="0" applyFont="0" applyAlignment="0" applyProtection="0"/>
    <xf numFmtId="0" fontId="60" fillId="26" borderId="0" applyNumberFormat="0" applyBorder="0" applyAlignment="0" applyProtection="0"/>
    <xf numFmtId="0" fontId="60" fillId="27" borderId="0" applyNumberFormat="0" applyBorder="0" applyAlignment="0" applyProtection="0"/>
    <xf numFmtId="0" fontId="60" fillId="28" borderId="0" applyNumberFormat="0" applyBorder="0" applyAlignment="0" applyProtection="0"/>
    <xf numFmtId="0" fontId="60" fillId="30" borderId="0" applyNumberFormat="0" applyBorder="0" applyAlignment="0" applyProtection="0"/>
    <xf numFmtId="0" fontId="60" fillId="31" borderId="0" applyNumberFormat="0" applyBorder="0" applyAlignment="0" applyProtection="0"/>
    <xf numFmtId="0" fontId="60" fillId="32" borderId="0" applyNumberFormat="0" applyBorder="0" applyAlignment="0" applyProtection="0"/>
    <xf numFmtId="0" fontId="60" fillId="34" borderId="0" applyNumberFormat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44" borderId="0" applyNumberFormat="0" applyBorder="0" applyAlignment="0" applyProtection="0"/>
    <xf numFmtId="0" fontId="60" fillId="46" borderId="0" applyNumberFormat="0" applyBorder="0" applyAlignment="0" applyProtection="0"/>
    <xf numFmtId="0" fontId="60" fillId="47" borderId="0" applyNumberFormat="0" applyBorder="0" applyAlignment="0" applyProtection="0"/>
    <xf numFmtId="0" fontId="60" fillId="48" borderId="0" applyNumberFormat="0" applyBorder="0" applyAlignment="0" applyProtection="0"/>
    <xf numFmtId="0" fontId="59" fillId="0" borderId="0"/>
    <xf numFmtId="0" fontId="59" fillId="24" borderId="22" applyNumberFormat="0" applyFont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59" fillId="28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9" fillId="38" borderId="0" applyNumberFormat="0" applyBorder="0" applyAlignment="0" applyProtection="0"/>
    <xf numFmtId="0" fontId="59" fillId="39" borderId="0" applyNumberFormat="0" applyBorder="0" applyAlignment="0" applyProtection="0"/>
    <xf numFmtId="0" fontId="59" fillId="40" borderId="0" applyNumberFormat="0" applyBorder="0" applyAlignment="0" applyProtection="0"/>
    <xf numFmtId="0" fontId="59" fillId="42" borderId="0" applyNumberFormat="0" applyBorder="0" applyAlignment="0" applyProtection="0"/>
    <xf numFmtId="0" fontId="59" fillId="43" borderId="0" applyNumberFormat="0" applyBorder="0" applyAlignment="0" applyProtection="0"/>
    <xf numFmtId="0" fontId="59" fillId="44" borderId="0" applyNumberFormat="0" applyBorder="0" applyAlignment="0" applyProtection="0"/>
    <xf numFmtId="0" fontId="59" fillId="46" borderId="0" applyNumberFormat="0" applyBorder="0" applyAlignment="0" applyProtection="0"/>
    <xf numFmtId="0" fontId="59" fillId="47" borderId="0" applyNumberFormat="0" applyBorder="0" applyAlignment="0" applyProtection="0"/>
    <xf numFmtId="0" fontId="59" fillId="48" borderId="0" applyNumberFormat="0" applyBorder="0" applyAlignment="0" applyProtection="0"/>
    <xf numFmtId="0" fontId="58" fillId="0" borderId="0"/>
    <xf numFmtId="0" fontId="58" fillId="24" borderId="22" applyNumberFormat="0" applyFont="0" applyAlignment="0" applyProtection="0"/>
    <xf numFmtId="0" fontId="58" fillId="26" borderId="0" applyNumberFormat="0" applyBorder="0" applyAlignment="0" applyProtection="0"/>
    <xf numFmtId="0" fontId="58" fillId="27" borderId="0" applyNumberFormat="0" applyBorder="0" applyAlignment="0" applyProtection="0"/>
    <xf numFmtId="0" fontId="58" fillId="28" borderId="0" applyNumberFormat="0" applyBorder="0" applyAlignment="0" applyProtection="0"/>
    <xf numFmtId="0" fontId="58" fillId="30" borderId="0" applyNumberFormat="0" applyBorder="0" applyAlignment="0" applyProtection="0"/>
    <xf numFmtId="0" fontId="58" fillId="31" borderId="0" applyNumberFormat="0" applyBorder="0" applyAlignment="0" applyProtection="0"/>
    <xf numFmtId="0" fontId="58" fillId="32" borderId="0" applyNumberFormat="0" applyBorder="0" applyAlignment="0" applyProtection="0"/>
    <xf numFmtId="0" fontId="58" fillId="34" borderId="0" applyNumberFormat="0" applyBorder="0" applyAlignment="0" applyProtection="0"/>
    <xf numFmtId="0" fontId="58" fillId="35" borderId="0" applyNumberFormat="0" applyBorder="0" applyAlignment="0" applyProtection="0"/>
    <xf numFmtId="0" fontId="58" fillId="36" borderId="0" applyNumberFormat="0" applyBorder="0" applyAlignment="0" applyProtection="0"/>
    <xf numFmtId="0" fontId="58" fillId="38" borderId="0" applyNumberFormat="0" applyBorder="0" applyAlignment="0" applyProtection="0"/>
    <xf numFmtId="0" fontId="58" fillId="39" borderId="0" applyNumberFormat="0" applyBorder="0" applyAlignment="0" applyProtection="0"/>
    <xf numFmtId="0" fontId="58" fillId="40" borderId="0" applyNumberFormat="0" applyBorder="0" applyAlignment="0" applyProtection="0"/>
    <xf numFmtId="0" fontId="58" fillId="42" borderId="0" applyNumberFormat="0" applyBorder="0" applyAlignment="0" applyProtection="0"/>
    <xf numFmtId="0" fontId="58" fillId="43" borderId="0" applyNumberFormat="0" applyBorder="0" applyAlignment="0" applyProtection="0"/>
    <xf numFmtId="0" fontId="58" fillId="44" borderId="0" applyNumberFormat="0" applyBorder="0" applyAlignment="0" applyProtection="0"/>
    <xf numFmtId="0" fontId="58" fillId="46" borderId="0" applyNumberFormat="0" applyBorder="0" applyAlignment="0" applyProtection="0"/>
    <xf numFmtId="0" fontId="58" fillId="47" borderId="0" applyNumberFormat="0" applyBorder="0" applyAlignment="0" applyProtection="0"/>
    <xf numFmtId="0" fontId="58" fillId="48" borderId="0" applyNumberFormat="0" applyBorder="0" applyAlignment="0" applyProtection="0"/>
    <xf numFmtId="0" fontId="57" fillId="0" borderId="0"/>
    <xf numFmtId="0" fontId="57" fillId="24" borderId="22" applyNumberFormat="0" applyFont="0" applyAlignment="0" applyProtection="0"/>
    <xf numFmtId="0" fontId="57" fillId="26" borderId="0" applyNumberFormat="0" applyBorder="0" applyAlignment="0" applyProtection="0"/>
    <xf numFmtId="0" fontId="57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32" borderId="0" applyNumberFormat="0" applyBorder="0" applyAlignment="0" applyProtection="0"/>
    <xf numFmtId="0" fontId="57" fillId="34" borderId="0" applyNumberFormat="0" applyBorder="0" applyAlignment="0" applyProtection="0"/>
    <xf numFmtId="0" fontId="57" fillId="35" borderId="0" applyNumberFormat="0" applyBorder="0" applyAlignment="0" applyProtection="0"/>
    <xf numFmtId="0" fontId="57" fillId="36" borderId="0" applyNumberFormat="0" applyBorder="0" applyAlignment="0" applyProtection="0"/>
    <xf numFmtId="0" fontId="57" fillId="38" borderId="0" applyNumberFormat="0" applyBorder="0" applyAlignment="0" applyProtection="0"/>
    <xf numFmtId="0" fontId="57" fillId="39" borderId="0" applyNumberFormat="0" applyBorder="0" applyAlignment="0" applyProtection="0"/>
    <xf numFmtId="0" fontId="57" fillId="40" borderId="0" applyNumberFormat="0" applyBorder="0" applyAlignment="0" applyProtection="0"/>
    <xf numFmtId="0" fontId="57" fillId="42" borderId="0" applyNumberFormat="0" applyBorder="0" applyAlignment="0" applyProtection="0"/>
    <xf numFmtId="0" fontId="57" fillId="43" borderId="0" applyNumberFormat="0" applyBorder="0" applyAlignment="0" applyProtection="0"/>
    <xf numFmtId="0" fontId="57" fillId="44" borderId="0" applyNumberFormat="0" applyBorder="0" applyAlignment="0" applyProtection="0"/>
    <xf numFmtId="0" fontId="57" fillId="46" borderId="0" applyNumberFormat="0" applyBorder="0" applyAlignment="0" applyProtection="0"/>
    <xf numFmtId="0" fontId="57" fillId="47" borderId="0" applyNumberFormat="0" applyBorder="0" applyAlignment="0" applyProtection="0"/>
    <xf numFmtId="0" fontId="57" fillId="48" borderId="0" applyNumberFormat="0" applyBorder="0" applyAlignment="0" applyProtection="0"/>
    <xf numFmtId="0" fontId="56" fillId="0" borderId="0"/>
    <xf numFmtId="0" fontId="56" fillId="24" borderId="22" applyNumberFormat="0" applyFont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56" fillId="28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6" fillId="38" borderId="0" applyNumberFormat="0" applyBorder="0" applyAlignment="0" applyProtection="0"/>
    <xf numFmtId="0" fontId="56" fillId="39" borderId="0" applyNumberFormat="0" applyBorder="0" applyAlignment="0" applyProtection="0"/>
    <xf numFmtId="0" fontId="56" fillId="40" borderId="0" applyNumberFormat="0" applyBorder="0" applyAlignment="0" applyProtection="0"/>
    <xf numFmtId="0" fontId="56" fillId="42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6" borderId="0" applyNumberFormat="0" applyBorder="0" applyAlignment="0" applyProtection="0"/>
    <xf numFmtId="0" fontId="56" fillId="47" borderId="0" applyNumberFormat="0" applyBorder="0" applyAlignment="0" applyProtection="0"/>
    <xf numFmtId="0" fontId="56" fillId="48" borderId="0" applyNumberFormat="0" applyBorder="0" applyAlignment="0" applyProtection="0"/>
    <xf numFmtId="0" fontId="55" fillId="0" borderId="0"/>
    <xf numFmtId="0" fontId="55" fillId="24" borderId="22" applyNumberFormat="0" applyFont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5" fillId="38" borderId="0" applyNumberFormat="0" applyBorder="0" applyAlignment="0" applyProtection="0"/>
    <xf numFmtId="0" fontId="55" fillId="39" borderId="0" applyNumberFormat="0" applyBorder="0" applyAlignment="0" applyProtection="0"/>
    <xf numFmtId="0" fontId="55" fillId="40" borderId="0" applyNumberFormat="0" applyBorder="0" applyAlignment="0" applyProtection="0"/>
    <xf numFmtId="0" fontId="55" fillId="42" borderId="0" applyNumberFormat="0" applyBorder="0" applyAlignment="0" applyProtection="0"/>
    <xf numFmtId="0" fontId="55" fillId="43" borderId="0" applyNumberFormat="0" applyBorder="0" applyAlignment="0" applyProtection="0"/>
    <xf numFmtId="0" fontId="55" fillId="44" borderId="0" applyNumberFormat="0" applyBorder="0" applyAlignment="0" applyProtection="0"/>
    <xf numFmtId="0" fontId="55" fillId="46" borderId="0" applyNumberFormat="0" applyBorder="0" applyAlignment="0" applyProtection="0"/>
    <xf numFmtId="0" fontId="55" fillId="47" borderId="0" applyNumberFormat="0" applyBorder="0" applyAlignment="0" applyProtection="0"/>
    <xf numFmtId="0" fontId="55" fillId="48" borderId="0" applyNumberFormat="0" applyBorder="0" applyAlignment="0" applyProtection="0"/>
    <xf numFmtId="0" fontId="54" fillId="0" borderId="0"/>
    <xf numFmtId="0" fontId="54" fillId="24" borderId="22" applyNumberFormat="0" applyFont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54" fillId="38" borderId="0" applyNumberFormat="0" applyBorder="0" applyAlignment="0" applyProtection="0"/>
    <xf numFmtId="0" fontId="54" fillId="39" borderId="0" applyNumberFormat="0" applyBorder="0" applyAlignment="0" applyProtection="0"/>
    <xf numFmtId="0" fontId="54" fillId="40" borderId="0" applyNumberFormat="0" applyBorder="0" applyAlignment="0" applyProtection="0"/>
    <xf numFmtId="0" fontId="54" fillId="42" borderId="0" applyNumberFormat="0" applyBorder="0" applyAlignment="0" applyProtection="0"/>
    <xf numFmtId="0" fontId="54" fillId="43" borderId="0" applyNumberFormat="0" applyBorder="0" applyAlignment="0" applyProtection="0"/>
    <xf numFmtId="0" fontId="54" fillId="44" borderId="0" applyNumberFormat="0" applyBorder="0" applyAlignment="0" applyProtection="0"/>
    <xf numFmtId="0" fontId="54" fillId="46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3" fillId="0" borderId="0"/>
    <xf numFmtId="0" fontId="53" fillId="24" borderId="22" applyNumberFormat="0" applyFont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53" fillId="38" borderId="0" applyNumberFormat="0" applyBorder="0" applyAlignment="0" applyProtection="0"/>
    <xf numFmtId="0" fontId="53" fillId="39" borderId="0" applyNumberFormat="0" applyBorder="0" applyAlignment="0" applyProtection="0"/>
    <xf numFmtId="0" fontId="53" fillId="40" borderId="0" applyNumberFormat="0" applyBorder="0" applyAlignment="0" applyProtection="0"/>
    <xf numFmtId="0" fontId="53" fillId="42" borderId="0" applyNumberFormat="0" applyBorder="0" applyAlignment="0" applyProtection="0"/>
    <xf numFmtId="0" fontId="53" fillId="43" borderId="0" applyNumberFormat="0" applyBorder="0" applyAlignment="0" applyProtection="0"/>
    <xf numFmtId="0" fontId="53" fillId="44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8" borderId="0" applyNumberFormat="0" applyBorder="0" applyAlignment="0" applyProtection="0"/>
    <xf numFmtId="0" fontId="52" fillId="0" borderId="0"/>
    <xf numFmtId="0" fontId="52" fillId="24" borderId="22" applyNumberFormat="0" applyFont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1" fillId="0" borderId="0"/>
    <xf numFmtId="0" fontId="51" fillId="24" borderId="22" applyNumberFormat="0" applyFont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1" fillId="3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4" borderId="0" applyNumberFormat="0" applyBorder="0" applyAlignment="0" applyProtection="0"/>
    <xf numFmtId="0" fontId="5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50" fillId="0" borderId="0"/>
    <xf numFmtId="0" fontId="50" fillId="24" borderId="22" applyNumberFormat="0" applyFont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30" borderId="0" applyNumberFormat="0" applyBorder="0" applyAlignment="0" applyProtection="0"/>
    <xf numFmtId="0" fontId="50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4" borderId="0" applyNumberFormat="0" applyBorder="0" applyAlignment="0" applyProtection="0"/>
    <xf numFmtId="0" fontId="50" fillId="35" borderId="0" applyNumberFormat="0" applyBorder="0" applyAlignment="0" applyProtection="0"/>
    <xf numFmtId="0" fontId="50" fillId="36" borderId="0" applyNumberFormat="0" applyBorder="0" applyAlignment="0" applyProtection="0"/>
    <xf numFmtId="0" fontId="50" fillId="38" borderId="0" applyNumberFormat="0" applyBorder="0" applyAlignment="0" applyProtection="0"/>
    <xf numFmtId="0" fontId="50" fillId="39" borderId="0" applyNumberFormat="0" applyBorder="0" applyAlignment="0" applyProtection="0"/>
    <xf numFmtId="0" fontId="50" fillId="40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49" fillId="0" borderId="0"/>
    <xf numFmtId="0" fontId="49" fillId="24" borderId="22" applyNumberFormat="0" applyFont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48" fillId="0" borderId="0"/>
    <xf numFmtId="0" fontId="48" fillId="24" borderId="22" applyNumberFormat="0" applyFont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48" fillId="32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6" borderId="0" applyNumberFormat="0" applyBorder="0" applyAlignment="0" applyProtection="0"/>
    <xf numFmtId="0" fontId="48" fillId="47" borderId="0" applyNumberFormat="0" applyBorder="0" applyAlignment="0" applyProtection="0"/>
    <xf numFmtId="0" fontId="48" fillId="48" borderId="0" applyNumberFormat="0" applyBorder="0" applyAlignment="0" applyProtection="0"/>
    <xf numFmtId="0" fontId="47" fillId="0" borderId="0"/>
    <xf numFmtId="0" fontId="47" fillId="24" borderId="22" applyNumberFormat="0" applyFont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6" borderId="0" applyNumberFormat="0" applyBorder="0" applyAlignment="0" applyProtection="0"/>
    <xf numFmtId="0" fontId="47" fillId="38" borderId="0" applyNumberFormat="0" applyBorder="0" applyAlignment="0" applyProtection="0"/>
    <xf numFmtId="0" fontId="47" fillId="39" borderId="0" applyNumberFormat="0" applyBorder="0" applyAlignment="0" applyProtection="0"/>
    <xf numFmtId="0" fontId="47" fillId="40" borderId="0" applyNumberFormat="0" applyBorder="0" applyAlignment="0" applyProtection="0"/>
    <xf numFmtId="0" fontId="47" fillId="42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8" borderId="0" applyNumberFormat="0" applyBorder="0" applyAlignment="0" applyProtection="0"/>
    <xf numFmtId="0" fontId="46" fillId="0" borderId="0"/>
    <xf numFmtId="0" fontId="46" fillId="24" borderId="22" applyNumberFormat="0" applyFont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6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4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5" fillId="0" borderId="0"/>
    <xf numFmtId="0" fontId="45" fillId="24" borderId="22" applyNumberFormat="0" applyFont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4" borderId="0" applyNumberFormat="0" applyBorder="0" applyAlignment="0" applyProtection="0"/>
    <xf numFmtId="0" fontId="45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4" fillId="0" borderId="0"/>
    <xf numFmtId="0" fontId="44" fillId="24" borderId="22" applyNumberFormat="0" applyFont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3" fillId="0" borderId="0"/>
    <xf numFmtId="0" fontId="43" fillId="24" borderId="22" applyNumberFormat="0" applyFont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2" fillId="0" borderId="0"/>
    <xf numFmtId="0" fontId="42" fillId="24" borderId="22" applyNumberFormat="0" applyFont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1" fillId="0" borderId="0"/>
    <xf numFmtId="0" fontId="41" fillId="24" borderId="22" applyNumberFormat="0" applyFont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0" fillId="0" borderId="0"/>
    <xf numFmtId="0" fontId="40" fillId="24" borderId="22" applyNumberFormat="0" applyFont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39" fillId="0" borderId="0"/>
    <xf numFmtId="0" fontId="39" fillId="24" borderId="22" applyNumberFormat="0" applyFont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8" fillId="0" borderId="0"/>
    <xf numFmtId="0" fontId="38" fillId="24" borderId="22" applyNumberFormat="0" applyFont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4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7" fillId="0" borderId="0"/>
    <xf numFmtId="0" fontId="37" fillId="24" borderId="22" applyNumberFormat="0" applyFont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6" fillId="0" borderId="0"/>
    <xf numFmtId="0" fontId="36" fillId="24" borderId="22" applyNumberFormat="0" applyFont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4" borderId="0" applyNumberFormat="0" applyBorder="0" applyAlignment="0" applyProtection="0"/>
    <xf numFmtId="0" fontId="36" fillId="35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35" fillId="0" borderId="0"/>
    <xf numFmtId="0" fontId="35" fillId="24" borderId="22" applyNumberFormat="0" applyFont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4" borderId="0" applyNumberFormat="0" applyBorder="0" applyAlignment="0" applyProtection="0"/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6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4" fillId="0" borderId="0"/>
    <xf numFmtId="0" fontId="34" fillId="24" borderId="22" applyNumberFormat="0" applyFont="0" applyAlignment="0" applyProtection="0"/>
    <xf numFmtId="0" fontId="3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3" fillId="0" borderId="0"/>
    <xf numFmtId="0" fontId="33" fillId="24" borderId="22" applyNumberFormat="0" applyFont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2" fillId="0" borderId="0"/>
    <xf numFmtId="0" fontId="32" fillId="24" borderId="22" applyNumberFormat="0" applyFont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1" fillId="0" borderId="0"/>
    <xf numFmtId="0" fontId="31" fillId="24" borderId="22" applyNumberFormat="0" applyFont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0" fillId="0" borderId="0"/>
    <xf numFmtId="0" fontId="30" fillId="24" borderId="22" applyNumberFormat="0" applyFont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29" fillId="0" borderId="0"/>
    <xf numFmtId="0" fontId="29" fillId="24" borderId="22" applyNumberFormat="0" applyFont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28" fillId="0" borderId="0"/>
    <xf numFmtId="0" fontId="28" fillId="24" borderId="22" applyNumberFormat="0" applyFont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7" fillId="0" borderId="0"/>
    <xf numFmtId="0" fontId="27" fillId="24" borderId="22" applyNumberFormat="0" applyFont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6" fillId="0" borderId="0"/>
    <xf numFmtId="0" fontId="26" fillId="24" borderId="22" applyNumberFormat="0" applyFont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5" fillId="0" borderId="0"/>
    <xf numFmtId="0" fontId="25" fillId="24" borderId="22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4" fillId="0" borderId="0"/>
    <xf numFmtId="0" fontId="24" fillId="24" borderId="22" applyNumberFormat="0" applyFont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3" fillId="0" borderId="0"/>
    <xf numFmtId="0" fontId="23" fillId="24" borderId="22" applyNumberFormat="0" applyFont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2" fillId="0" borderId="0"/>
    <xf numFmtId="0" fontId="22" fillId="24" borderId="22" applyNumberFormat="0" applyFont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1" fillId="0" borderId="0"/>
    <xf numFmtId="0" fontId="21" fillId="24" borderId="22" applyNumberFormat="0" applyFont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0" fillId="0" borderId="0"/>
    <xf numFmtId="0" fontId="20" fillId="24" borderId="22" applyNumberFormat="0" applyFont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19" fillId="0" borderId="0"/>
    <xf numFmtId="0" fontId="19" fillId="24" borderId="22" applyNumberFormat="0" applyFont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8" fillId="0" borderId="0"/>
    <xf numFmtId="0" fontId="18" fillId="24" borderId="22" applyNumberFormat="0" applyFont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7" fillId="0" borderId="0"/>
    <xf numFmtId="0" fontId="17" fillId="24" borderId="22" applyNumberFormat="0" applyFont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6" fillId="0" borderId="0"/>
    <xf numFmtId="0" fontId="16" fillId="24" borderId="22" applyNumberFormat="0" applyFont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5" fillId="0" borderId="0"/>
    <xf numFmtId="0" fontId="15" fillId="24" borderId="22" applyNumberFormat="0" applyFont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9" fontId="122" fillId="0" borderId="0" applyFont="0" applyFill="0" applyBorder="0" applyAlignment="0" applyProtection="0"/>
    <xf numFmtId="0" fontId="14" fillId="0" borderId="0"/>
    <xf numFmtId="0" fontId="12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6" fillId="0" borderId="0" applyFont="0" applyFill="0" applyBorder="0" applyAlignment="0" applyProtection="0"/>
    <xf numFmtId="0" fontId="115" fillId="0" borderId="0"/>
    <xf numFmtId="0" fontId="11" fillId="0" borderId="0"/>
    <xf numFmtId="9" fontId="115" fillId="0" borderId="0" applyFont="0" applyFill="0" applyBorder="0" applyAlignment="0" applyProtection="0"/>
    <xf numFmtId="0" fontId="2" fillId="0" borderId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24" fillId="0" borderId="0" applyFont="0" applyFill="0" applyBorder="0" applyAlignment="0" applyProtection="0"/>
    <xf numFmtId="178" fontId="124" fillId="0" borderId="0"/>
    <xf numFmtId="9" fontId="2" fillId="0" borderId="0" applyFont="0" applyFill="0" applyBorder="0" applyAlignment="0" applyProtection="0"/>
    <xf numFmtId="9" fontId="124" fillId="0" borderId="0" applyFont="0" applyFill="0" applyBorder="0" applyAlignment="0" applyProtection="0"/>
    <xf numFmtId="177" fontId="160" fillId="0" borderId="0">
      <alignment horizontal="right" vertical="center"/>
    </xf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115" fillId="0" borderId="0"/>
    <xf numFmtId="0" fontId="2" fillId="0" borderId="0"/>
    <xf numFmtId="0" fontId="2" fillId="24" borderId="22" applyNumberFormat="0" applyFont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9" fontId="115" fillId="0" borderId="0" applyFont="0" applyFill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0" fontId="2" fillId="24" borderId="22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2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1" fillId="0" borderId="0"/>
    <xf numFmtId="0" fontId="1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0" fontId="1" fillId="24" borderId="22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1" fillId="0" borderId="0"/>
  </cellStyleXfs>
  <cellXfs count="813">
    <xf numFmtId="0" fontId="0" fillId="0" borderId="0" xfId="0"/>
    <xf numFmtId="0" fontId="80" fillId="2" borderId="1" xfId="0" applyFont="1" applyFill="1" applyBorder="1"/>
    <xf numFmtId="164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0" fontId="81" fillId="0" borderId="1" xfId="0" applyFont="1" applyBorder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8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8" fontId="0" fillId="0" borderId="1" xfId="0" applyNumberFormat="1" applyBorder="1" applyAlignment="1">
      <alignment horizontal="right"/>
    </xf>
    <xf numFmtId="8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4" borderId="1" xfId="0" applyNumberFormat="1" applyFill="1" applyBorder="1" applyAlignment="1">
      <alignment horizontal="right"/>
    </xf>
    <xf numFmtId="164" fontId="83" fillId="0" borderId="2" xfId="0" applyNumberFormat="1" applyFont="1" applyBorder="1" applyAlignment="1">
      <alignment horizont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6" fillId="0" borderId="0" xfId="0" applyFont="1" applyAlignment="1">
      <alignment horizontal="center" vertical="center" wrapText="1"/>
    </xf>
    <xf numFmtId="10" fontId="0" fillId="0" borderId="0" xfId="0" applyNumberFormat="1"/>
    <xf numFmtId="0" fontId="80" fillId="6" borderId="1" xfId="0" applyFont="1" applyFill="1" applyBorder="1" applyAlignment="1">
      <alignment horizontal="center"/>
    </xf>
    <xf numFmtId="0" fontId="87" fillId="0" borderId="3" xfId="0" applyFont="1" applyBorder="1" applyAlignment="1">
      <alignment horizontal="center" vertical="center" wrapText="1"/>
    </xf>
    <xf numFmtId="0" fontId="89" fillId="8" borderId="0" xfId="0" applyFont="1" applyFill="1" applyAlignment="1">
      <alignment horizontal="center"/>
    </xf>
    <xf numFmtId="10" fontId="0" fillId="9" borderId="1" xfId="0" applyNumberFormat="1" applyFill="1" applyBorder="1"/>
    <xf numFmtId="0" fontId="89" fillId="10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6" xfId="0" applyFill="1" applyBorder="1"/>
    <xf numFmtId="0" fontId="0" fillId="11" borderId="6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90" fillId="12" borderId="3" xfId="0" applyFont="1" applyFill="1" applyBorder="1" applyAlignment="1">
      <alignment horizontal="center"/>
    </xf>
    <xf numFmtId="49" fontId="91" fillId="12" borderId="3" xfId="0" applyNumberFormat="1" applyFont="1" applyFill="1" applyBorder="1"/>
    <xf numFmtId="10" fontId="91" fillId="12" borderId="3" xfId="0" applyNumberFormat="1" applyFont="1" applyFill="1" applyBorder="1" applyAlignment="1">
      <alignment horizontal="center"/>
    </xf>
    <xf numFmtId="10" fontId="91" fillId="12" borderId="8" xfId="0" applyNumberFormat="1" applyFont="1" applyFill="1" applyBorder="1" applyAlignment="1">
      <alignment horizontal="center"/>
    </xf>
    <xf numFmtId="49" fontId="82" fillId="13" borderId="9" xfId="0" applyNumberFormat="1" applyFont="1" applyFill="1" applyBorder="1" applyAlignment="1">
      <alignment horizontal="center"/>
    </xf>
    <xf numFmtId="0" fontId="92" fillId="0" borderId="0" xfId="0" applyFont="1" applyAlignment="1">
      <alignment horizontal="right"/>
    </xf>
    <xf numFmtId="0" fontId="92" fillId="0" borderId="0" xfId="0" applyFont="1"/>
    <xf numFmtId="0" fontId="93" fillId="0" borderId="0" xfId="0" applyFont="1" applyAlignment="1">
      <alignment horizontal="left"/>
    </xf>
    <xf numFmtId="0" fontId="93" fillId="0" borderId="0" xfId="0" applyFont="1" applyAlignment="1">
      <alignment horizontal="right"/>
    </xf>
    <xf numFmtId="0" fontId="93" fillId="0" borderId="0" xfId="0" applyFont="1"/>
    <xf numFmtId="0" fontId="94" fillId="0" borderId="0" xfId="0" applyFont="1"/>
    <xf numFmtId="10" fontId="93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10" fontId="93" fillId="0" borderId="1" xfId="0" applyNumberFormat="1" applyFont="1" applyBorder="1"/>
    <xf numFmtId="2" fontId="93" fillId="0" borderId="1" xfId="0" applyNumberFormat="1" applyFont="1" applyBorder="1"/>
    <xf numFmtId="10" fontId="93" fillId="0" borderId="1" xfId="0" applyNumberFormat="1" applyFont="1" applyBorder="1" applyAlignment="1">
      <alignment horizontal="center"/>
    </xf>
    <xf numFmtId="0" fontId="92" fillId="0" borderId="0" xfId="0" applyFont="1" applyAlignment="1">
      <alignment horizontal="center"/>
    </xf>
    <xf numFmtId="10" fontId="93" fillId="0" borderId="0" xfId="0" applyNumberFormat="1" applyFont="1" applyAlignment="1">
      <alignment horizontal="center"/>
    </xf>
    <xf numFmtId="2" fontId="93" fillId="0" borderId="0" xfId="0" applyNumberFormat="1" applyFont="1" applyAlignment="1">
      <alignment horizontal="center"/>
    </xf>
    <xf numFmtId="0" fontId="93" fillId="0" borderId="0" xfId="0" applyFont="1" applyAlignment="1">
      <alignment horizontal="center"/>
    </xf>
    <xf numFmtId="10" fontId="93" fillId="0" borderId="0" xfId="0" applyNumberFormat="1" applyFont="1"/>
    <xf numFmtId="10" fontId="93" fillId="12" borderId="1" xfId="0" applyNumberFormat="1" applyFont="1" applyFill="1" applyBorder="1"/>
    <xf numFmtId="167" fontId="0" fillId="0" borderId="0" xfId="0" applyNumberFormat="1"/>
    <xf numFmtId="165" fontId="93" fillId="0" borderId="1" xfId="0" applyNumberFormat="1" applyFont="1" applyBorder="1"/>
    <xf numFmtId="165" fontId="93" fillId="0" borderId="1" xfId="0" applyNumberFormat="1" applyFont="1" applyBorder="1" applyAlignment="1">
      <alignment horizontal="right"/>
    </xf>
    <xf numFmtId="0" fontId="0" fillId="11" borderId="7" xfId="0" applyFill="1" applyBorder="1"/>
    <xf numFmtId="0" fontId="0" fillId="12" borderId="0" xfId="0" applyFill="1"/>
    <xf numFmtId="0" fontId="85" fillId="14" borderId="10" xfId="0" applyFont="1" applyFill="1" applyBorder="1" applyAlignment="1">
      <alignment horizontal="center"/>
    </xf>
    <xf numFmtId="0" fontId="95" fillId="15" borderId="11" xfId="0" applyFont="1" applyFill="1" applyBorder="1" applyAlignment="1">
      <alignment horizontal="center" vertical="center"/>
    </xf>
    <xf numFmtId="0" fontId="85" fillId="14" borderId="12" xfId="0" applyFont="1" applyFill="1" applyBorder="1" applyAlignment="1">
      <alignment horizontal="center"/>
    </xf>
    <xf numFmtId="0" fontId="95" fillId="15" borderId="13" xfId="0" applyFont="1" applyFill="1" applyBorder="1" applyAlignment="1">
      <alignment horizontal="center" vertical="center"/>
    </xf>
    <xf numFmtId="0" fontId="93" fillId="12" borderId="0" xfId="0" applyFont="1" applyFill="1"/>
    <xf numFmtId="0" fontId="82" fillId="12" borderId="0" xfId="0" applyFont="1" applyFill="1"/>
    <xf numFmtId="0" fontId="84" fillId="14" borderId="10" xfId="0" applyFon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94" fillId="12" borderId="0" xfId="0" applyFont="1" applyFill="1"/>
    <xf numFmtId="0" fontId="95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0" xfId="0" applyNumberFormat="1"/>
    <xf numFmtId="0" fontId="0" fillId="0" borderId="14" xfId="0" applyBorder="1"/>
    <xf numFmtId="0" fontId="0" fillId="11" borderId="14" xfId="0" applyFill="1" applyBorder="1"/>
    <xf numFmtId="0" fontId="0" fillId="0" borderId="7" xfId="0" applyBorder="1" applyAlignment="1">
      <alignment horizontal="center"/>
    </xf>
    <xf numFmtId="0" fontId="0" fillId="16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16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" fontId="0" fillId="0" borderId="0" xfId="0" applyNumberFormat="1"/>
    <xf numFmtId="168" fontId="0" fillId="0" borderId="1" xfId="0" applyNumberFormat="1" applyBorder="1" applyAlignment="1">
      <alignment vertical="center"/>
    </xf>
    <xf numFmtId="0" fontId="86" fillId="5" borderId="8" xfId="0" applyFont="1" applyFill="1" applyBorder="1" applyAlignment="1">
      <alignment horizontal="center" vertical="center" wrapText="1"/>
    </xf>
    <xf numFmtId="0" fontId="86" fillId="5" borderId="24" xfId="0" applyFont="1" applyFill="1" applyBorder="1" applyAlignment="1">
      <alignment horizontal="center" vertical="center" wrapText="1"/>
    </xf>
    <xf numFmtId="2" fontId="86" fillId="5" borderId="24" xfId="0" applyNumberFormat="1" applyFont="1" applyFill="1" applyBorder="1" applyAlignment="1">
      <alignment horizontal="center" vertical="center" wrapText="1"/>
    </xf>
    <xf numFmtId="0" fontId="117" fillId="50" borderId="24" xfId="0" applyFont="1" applyFill="1" applyBorder="1"/>
    <xf numFmtId="2" fontId="117" fillId="50" borderId="24" xfId="0" applyNumberFormat="1" applyFont="1" applyFill="1" applyBorder="1"/>
    <xf numFmtId="10" fontId="0" fillId="50" borderId="24" xfId="0" applyNumberFormat="1" applyFill="1" applyBorder="1" applyAlignment="1">
      <alignment horizontal="center"/>
    </xf>
    <xf numFmtId="0" fontId="117" fillId="0" borderId="24" xfId="0" applyFont="1" applyBorder="1"/>
    <xf numFmtId="0" fontId="118" fillId="0" borderId="24" xfId="0" applyFont="1" applyBorder="1"/>
    <xf numFmtId="0" fontId="118" fillId="50" borderId="24" xfId="0" applyFont="1" applyFill="1" applyBorder="1"/>
    <xf numFmtId="0" fontId="115" fillId="0" borderId="0" xfId="0" applyFont="1"/>
    <xf numFmtId="0" fontId="115" fillId="0" borderId="6" xfId="0" applyFont="1" applyBorder="1"/>
    <xf numFmtId="0" fontId="119" fillId="0" borderId="0" xfId="0" applyFont="1" applyAlignment="1">
      <alignment horizontal="left" vertical="center" wrapText="1" indent="1"/>
    </xf>
    <xf numFmtId="0" fontId="115" fillId="11" borderId="6" xfId="0" applyFont="1" applyFill="1" applyBorder="1"/>
    <xf numFmtId="0" fontId="121" fillId="0" borderId="26" xfId="0" applyFont="1" applyBorder="1" applyAlignment="1">
      <alignment vertical="center" wrapText="1"/>
    </xf>
    <xf numFmtId="14" fontId="121" fillId="0" borderId="0" xfId="0" applyNumberFormat="1" applyFont="1" applyAlignment="1">
      <alignment vertical="center" wrapText="1"/>
    </xf>
    <xf numFmtId="0" fontId="121" fillId="0" borderId="0" xfId="0" applyFont="1" applyAlignment="1">
      <alignment vertical="center" wrapText="1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83" applyNumberFormat="1" applyFont="1"/>
    <xf numFmtId="14" fontId="0" fillId="0" borderId="0" xfId="0" applyNumberFormat="1"/>
    <xf numFmtId="14" fontId="115" fillId="0" borderId="0" xfId="0" applyNumberFormat="1" applyFont="1" applyAlignment="1">
      <alignment horizontal="center"/>
    </xf>
    <xf numFmtId="14" fontId="0" fillId="51" borderId="0" xfId="0" applyNumberFormat="1" applyFill="1"/>
    <xf numFmtId="43" fontId="0" fillId="0" borderId="27" xfId="0" applyNumberFormat="1" applyBorder="1"/>
    <xf numFmtId="0" fontId="117" fillId="0" borderId="0" xfId="0" applyFont="1"/>
    <xf numFmtId="0" fontId="117" fillId="0" borderId="24" xfId="0" applyFont="1" applyBorder="1" applyAlignment="1">
      <alignment horizontal="center"/>
    </xf>
    <xf numFmtId="0" fontId="117" fillId="49" borderId="24" xfId="0" applyFont="1" applyFill="1" applyBorder="1" applyAlignment="1">
      <alignment horizontal="center"/>
    </xf>
    <xf numFmtId="0" fontId="117" fillId="49" borderId="24" xfId="0" applyFont="1" applyFill="1" applyBorder="1"/>
    <xf numFmtId="10" fontId="117" fillId="49" borderId="24" xfId="83" applyNumberFormat="1" applyFont="1" applyFill="1" applyBorder="1" applyAlignment="1">
      <alignment horizontal="center"/>
    </xf>
    <xf numFmtId="0" fontId="117" fillId="7" borderId="25" xfId="0" applyFont="1" applyFill="1" applyBorder="1" applyAlignment="1">
      <alignment horizontal="center"/>
    </xf>
    <xf numFmtId="9" fontId="117" fillId="7" borderId="29" xfId="0" applyNumberFormat="1" applyFont="1" applyFill="1" applyBorder="1" applyAlignment="1">
      <alignment horizontal="center"/>
    </xf>
    <xf numFmtId="0" fontId="0" fillId="0" borderId="28" xfId="0" applyBorder="1"/>
    <xf numFmtId="2" fontId="0" fillId="0" borderId="1" xfId="0" applyNumberFormat="1" applyBorder="1" applyAlignment="1">
      <alignment horizontal="center" vertical="center"/>
    </xf>
    <xf numFmtId="0" fontId="88" fillId="52" borderId="8" xfId="0" applyFont="1" applyFill="1" applyBorder="1" applyAlignment="1">
      <alignment horizontal="center" vertical="center" wrapText="1"/>
    </xf>
    <xf numFmtId="14" fontId="89" fillId="10" borderId="0" xfId="0" applyNumberFormat="1" applyFont="1" applyFill="1" applyAlignment="1">
      <alignment horizontal="center"/>
    </xf>
    <xf numFmtId="14" fontId="0" fillId="11" borderId="30" xfId="0" applyNumberFormat="1" applyFill="1" applyBorder="1"/>
    <xf numFmtId="0" fontId="89" fillId="8" borderId="1" xfId="0" applyFont="1" applyFill="1" applyBorder="1" applyAlignment="1">
      <alignment horizontal="center"/>
    </xf>
    <xf numFmtId="169" fontId="0" fillId="0" borderId="1" xfId="0" applyNumberFormat="1" applyBorder="1"/>
    <xf numFmtId="10" fontId="93" fillId="53" borderId="1" xfId="0" applyNumberFormat="1" applyFont="1" applyFill="1" applyBorder="1"/>
    <xf numFmtId="10" fontId="93" fillId="53" borderId="0" xfId="0" applyNumberFormat="1" applyFont="1" applyFill="1"/>
    <xf numFmtId="9" fontId="0" fillId="53" borderId="0" xfId="0" applyNumberFormat="1" applyFill="1"/>
    <xf numFmtId="10" fontId="92" fillId="53" borderId="1" xfId="0" applyNumberFormat="1" applyFont="1" applyFill="1" applyBorder="1"/>
    <xf numFmtId="10" fontId="92" fillId="54" borderId="1" xfId="0" applyNumberFormat="1" applyFont="1" applyFill="1" applyBorder="1"/>
    <xf numFmtId="166" fontId="93" fillId="54" borderId="1" xfId="0" applyNumberFormat="1" applyFont="1" applyFill="1" applyBorder="1"/>
    <xf numFmtId="2" fontId="93" fillId="54" borderId="1" xfId="0" applyNumberFormat="1" applyFont="1" applyFill="1" applyBorder="1"/>
    <xf numFmtId="10" fontId="121" fillId="0" borderId="0" xfId="0" applyNumberFormat="1" applyFont="1" applyAlignment="1">
      <alignment vertical="center" wrapText="1"/>
    </xf>
    <xf numFmtId="0" fontId="123" fillId="0" borderId="0" xfId="1325" applyFont="1"/>
    <xf numFmtId="0" fontId="14" fillId="0" borderId="0" xfId="1325"/>
    <xf numFmtId="0" fontId="14" fillId="54" borderId="0" xfId="1325" applyFill="1"/>
    <xf numFmtId="0" fontId="14" fillId="55" borderId="0" xfId="1325" applyFill="1"/>
    <xf numFmtId="14" fontId="14" fillId="54" borderId="0" xfId="1325" applyNumberFormat="1" applyFill="1"/>
    <xf numFmtId="0" fontId="125" fillId="55" borderId="0" xfId="1326" applyFont="1" applyFill="1" applyAlignment="1">
      <alignment horizontal="left" vertical="center"/>
    </xf>
    <xf numFmtId="0" fontId="113" fillId="55" borderId="0" xfId="1325" applyFont="1" applyFill="1" applyAlignment="1">
      <alignment horizontal="center"/>
    </xf>
    <xf numFmtId="0" fontId="113" fillId="54" borderId="0" xfId="1325" applyFont="1" applyFill="1" applyAlignment="1">
      <alignment horizontal="center"/>
    </xf>
    <xf numFmtId="0" fontId="126" fillId="54" borderId="0" xfId="1325" applyFont="1" applyFill="1" applyAlignment="1">
      <alignment horizontal="left" vertical="center" wrapText="1"/>
    </xf>
    <xf numFmtId="170" fontId="0" fillId="54" borderId="0" xfId="1327" applyNumberFormat="1" applyFont="1" applyFill="1" applyBorder="1"/>
    <xf numFmtId="170" fontId="0" fillId="54" borderId="0" xfId="1327" applyNumberFormat="1" applyFont="1" applyFill="1"/>
    <xf numFmtId="0" fontId="126" fillId="55" borderId="0" xfId="1325" applyFont="1" applyFill="1" applyAlignment="1">
      <alignment horizontal="left" vertical="center" wrapText="1"/>
    </xf>
    <xf numFmtId="170" fontId="14" fillId="55" borderId="0" xfId="1327" applyNumberFormat="1" applyFont="1" applyFill="1" applyBorder="1"/>
    <xf numFmtId="170" fontId="14" fillId="55" borderId="0" xfId="1327" applyNumberFormat="1" applyFont="1" applyFill="1"/>
    <xf numFmtId="170" fontId="14" fillId="54" borderId="0" xfId="1327" applyNumberFormat="1" applyFont="1" applyFill="1" applyBorder="1"/>
    <xf numFmtId="170" fontId="14" fillId="54" borderId="0" xfId="1327" applyNumberFormat="1" applyFont="1" applyFill="1"/>
    <xf numFmtId="0" fontId="126" fillId="56" borderId="0" xfId="1325" applyFont="1" applyFill="1" applyAlignment="1">
      <alignment horizontal="left" vertical="center" wrapText="1"/>
    </xf>
    <xf numFmtId="170" fontId="14" fillId="56" borderId="0" xfId="1327" applyNumberFormat="1" applyFont="1" applyFill="1" applyBorder="1"/>
    <xf numFmtId="0" fontId="126" fillId="54" borderId="0" xfId="1325" applyFont="1" applyFill="1" applyAlignment="1">
      <alignment wrapText="1"/>
    </xf>
    <xf numFmtId="0" fontId="126" fillId="56" borderId="0" xfId="1325" applyFont="1" applyFill="1" applyAlignment="1">
      <alignment wrapText="1"/>
    </xf>
    <xf numFmtId="0" fontId="14" fillId="56" borderId="0" xfId="1325" applyFill="1"/>
    <xf numFmtId="0" fontId="127" fillId="0" borderId="31" xfId="1325" applyFont="1" applyBorder="1" applyAlignment="1">
      <alignment horizontal="center"/>
    </xf>
    <xf numFmtId="0" fontId="113" fillId="0" borderId="31" xfId="1325" applyFont="1" applyBorder="1"/>
    <xf numFmtId="1" fontId="113" fillId="0" borderId="31" xfId="1325" applyNumberFormat="1" applyFont="1" applyBorder="1"/>
    <xf numFmtId="1" fontId="14" fillId="0" borderId="0" xfId="1325" applyNumberFormat="1"/>
    <xf numFmtId="0" fontId="113" fillId="0" borderId="0" xfId="1325" applyFont="1"/>
    <xf numFmtId="1" fontId="123" fillId="0" borderId="0" xfId="1325" applyNumberFormat="1" applyFont="1"/>
    <xf numFmtId="3" fontId="14" fillId="0" borderId="0" xfId="1325" applyNumberFormat="1"/>
    <xf numFmtId="0" fontId="14" fillId="56" borderId="31" xfId="1325" applyFill="1" applyBorder="1"/>
    <xf numFmtId="3" fontId="14" fillId="56" borderId="31" xfId="1325" applyNumberFormat="1" applyFill="1" applyBorder="1"/>
    <xf numFmtId="3" fontId="14" fillId="56" borderId="0" xfId="1325" applyNumberFormat="1" applyFill="1"/>
    <xf numFmtId="3" fontId="14" fillId="54" borderId="0" xfId="1325" applyNumberFormat="1" applyFill="1"/>
    <xf numFmtId="0" fontId="14" fillId="55" borderId="31" xfId="1325" applyFill="1" applyBorder="1"/>
    <xf numFmtId="3" fontId="14" fillId="55" borderId="31" xfId="1325" applyNumberFormat="1" applyFill="1" applyBorder="1"/>
    <xf numFmtId="10" fontId="93" fillId="0" borderId="0" xfId="83" applyNumberFormat="1" applyFont="1" applyFill="1" applyBorder="1"/>
    <xf numFmtId="1" fontId="93" fillId="0" borderId="0" xfId="0" applyNumberFormat="1" applyFont="1"/>
    <xf numFmtId="10" fontId="93" fillId="0" borderId="0" xfId="83" applyNumberFormat="1" applyFont="1"/>
    <xf numFmtId="10" fontId="93" fillId="53" borderId="5" xfId="0" applyNumberFormat="1" applyFont="1" applyFill="1" applyBorder="1" applyAlignment="1">
      <alignment horizontal="center"/>
    </xf>
    <xf numFmtId="10" fontId="0" fillId="54" borderId="0" xfId="1328" applyNumberFormat="1" applyFont="1" applyFill="1"/>
    <xf numFmtId="2" fontId="14" fillId="54" borderId="0" xfId="1325" applyNumberFormat="1" applyFill="1"/>
    <xf numFmtId="0" fontId="110" fillId="57" borderId="0" xfId="1329" applyFont="1" applyFill="1"/>
    <xf numFmtId="0" fontId="110" fillId="57" borderId="32" xfId="1329" applyFont="1" applyFill="1" applyBorder="1"/>
    <xf numFmtId="0" fontId="129" fillId="55" borderId="0" xfId="1329" applyFont="1" applyFill="1"/>
    <xf numFmtId="0" fontId="122" fillId="55" borderId="0" xfId="1329" applyFont="1" applyFill="1"/>
    <xf numFmtId="0" fontId="122" fillId="55" borderId="32" xfId="1329" applyFont="1" applyFill="1" applyBorder="1"/>
    <xf numFmtId="0" fontId="131" fillId="55" borderId="33" xfId="1329" applyFont="1" applyFill="1" applyBorder="1"/>
    <xf numFmtId="0" fontId="131" fillId="55" borderId="34" xfId="1329" applyFont="1" applyFill="1" applyBorder="1"/>
    <xf numFmtId="0" fontId="131" fillId="55" borderId="35" xfId="1329" applyFont="1" applyFill="1" applyBorder="1"/>
    <xf numFmtId="0" fontId="131" fillId="55" borderId="36" xfId="1329" applyFont="1" applyFill="1" applyBorder="1"/>
    <xf numFmtId="0" fontId="13" fillId="0" borderId="0" xfId="1329"/>
    <xf numFmtId="0" fontId="131" fillId="54" borderId="0" xfId="1329" applyFont="1" applyFill="1"/>
    <xf numFmtId="0" fontId="131" fillId="55" borderId="37" xfId="1329" applyFont="1" applyFill="1" applyBorder="1"/>
    <xf numFmtId="0" fontId="131" fillId="55" borderId="38" xfId="1329" applyFont="1" applyFill="1" applyBorder="1"/>
    <xf numFmtId="0" fontId="131" fillId="55" borderId="39" xfId="1329" applyFont="1" applyFill="1" applyBorder="1"/>
    <xf numFmtId="0" fontId="131" fillId="55" borderId="40" xfId="1329" applyFont="1" applyFill="1" applyBorder="1"/>
    <xf numFmtId="0" fontId="13" fillId="54" borderId="33" xfId="1329" applyFill="1" applyBorder="1"/>
    <xf numFmtId="3" fontId="13" fillId="54" borderId="33" xfId="1329" applyNumberFormat="1" applyFill="1" applyBorder="1"/>
    <xf numFmtId="3" fontId="13" fillId="54" borderId="34" xfId="1329" applyNumberFormat="1" applyFill="1" applyBorder="1"/>
    <xf numFmtId="3" fontId="13" fillId="54" borderId="35" xfId="1329" applyNumberFormat="1" applyFill="1" applyBorder="1"/>
    <xf numFmtId="3" fontId="13" fillId="54" borderId="36" xfId="1329" applyNumberFormat="1" applyFill="1" applyBorder="1"/>
    <xf numFmtId="0" fontId="13" fillId="54" borderId="41" xfId="1329" applyFill="1" applyBorder="1"/>
    <xf numFmtId="3" fontId="13" fillId="54" borderId="41" xfId="1329" applyNumberFormat="1" applyFill="1" applyBorder="1"/>
    <xf numFmtId="3" fontId="13" fillId="54" borderId="0" xfId="1329" applyNumberFormat="1" applyFill="1"/>
    <xf numFmtId="3" fontId="13" fillId="54" borderId="32" xfId="1329" applyNumberFormat="1" applyFill="1" applyBorder="1"/>
    <xf numFmtId="0" fontId="13" fillId="54" borderId="0" xfId="1329" applyFill="1"/>
    <xf numFmtId="0" fontId="13" fillId="54" borderId="42" xfId="1329" applyFill="1" applyBorder="1"/>
    <xf numFmtId="3" fontId="13" fillId="54" borderId="42" xfId="1329" applyNumberFormat="1" applyFill="1" applyBorder="1"/>
    <xf numFmtId="10" fontId="0" fillId="54" borderId="41" xfId="1330" applyNumberFormat="1" applyFont="1" applyFill="1" applyBorder="1"/>
    <xf numFmtId="10" fontId="0" fillId="54" borderId="0" xfId="1330" applyNumberFormat="1" applyFont="1" applyFill="1" applyBorder="1"/>
    <xf numFmtId="10" fontId="0" fillId="54" borderId="32" xfId="1330" applyNumberFormat="1" applyFont="1" applyFill="1" applyBorder="1"/>
    <xf numFmtId="10" fontId="0" fillId="54" borderId="42" xfId="1330" applyNumberFormat="1" applyFont="1" applyFill="1" applyBorder="1"/>
    <xf numFmtId="0" fontId="13" fillId="58" borderId="43" xfId="1329" applyFill="1" applyBorder="1"/>
    <xf numFmtId="0" fontId="13" fillId="58" borderId="37" xfId="1329" applyFill="1" applyBorder="1"/>
    <xf numFmtId="0" fontId="13" fillId="58" borderId="38" xfId="1329" applyFill="1" applyBorder="1"/>
    <xf numFmtId="0" fontId="13" fillId="58" borderId="39" xfId="1329" applyFill="1" applyBorder="1"/>
    <xf numFmtId="3" fontId="13" fillId="58" borderId="38" xfId="1329" applyNumberFormat="1" applyFill="1" applyBorder="1"/>
    <xf numFmtId="3" fontId="13" fillId="58" borderId="40" xfId="1329" applyNumberFormat="1" applyFill="1" applyBorder="1"/>
    <xf numFmtId="0" fontId="13" fillId="0" borderId="32" xfId="1329" applyBorder="1"/>
    <xf numFmtId="10" fontId="13" fillId="0" borderId="0" xfId="1329" applyNumberFormat="1"/>
    <xf numFmtId="0" fontId="13" fillId="56" borderId="44" xfId="1329" applyFill="1" applyBorder="1" applyAlignment="1">
      <alignment horizontal="center"/>
    </xf>
    <xf numFmtId="0" fontId="13" fillId="56" borderId="45" xfId="1329" applyFill="1" applyBorder="1" applyAlignment="1">
      <alignment horizontal="center"/>
    </xf>
    <xf numFmtId="3" fontId="13" fillId="54" borderId="46" xfId="1329" applyNumberFormat="1" applyFill="1" applyBorder="1"/>
    <xf numFmtId="3" fontId="13" fillId="54" borderId="47" xfId="1329" applyNumberFormat="1" applyFill="1" applyBorder="1"/>
    <xf numFmtId="0" fontId="13" fillId="54" borderId="32" xfId="1329" applyFill="1" applyBorder="1"/>
    <xf numFmtId="0" fontId="13" fillId="56" borderId="49" xfId="1329" applyFill="1" applyBorder="1" applyAlignment="1">
      <alignment horizontal="center"/>
    </xf>
    <xf numFmtId="0" fontId="13" fillId="54" borderId="50" xfId="1329" applyFill="1" applyBorder="1"/>
    <xf numFmtId="3" fontId="13" fillId="54" borderId="50" xfId="1329" applyNumberFormat="1" applyFill="1" applyBorder="1"/>
    <xf numFmtId="0" fontId="13" fillId="54" borderId="51" xfId="1329" applyFill="1" applyBorder="1"/>
    <xf numFmtId="3" fontId="13" fillId="54" borderId="51" xfId="1329" applyNumberFormat="1" applyFill="1" applyBorder="1"/>
    <xf numFmtId="0" fontId="13" fillId="54" borderId="46" xfId="1329" applyFill="1" applyBorder="1"/>
    <xf numFmtId="0" fontId="13" fillId="54" borderId="52" xfId="1329" applyFill="1" applyBorder="1"/>
    <xf numFmtId="0" fontId="13" fillId="0" borderId="34" xfId="1329" applyBorder="1"/>
    <xf numFmtId="0" fontId="13" fillId="0" borderId="36" xfId="1329" applyBorder="1"/>
    <xf numFmtId="0" fontId="13" fillId="54" borderId="53" xfId="1329" applyFill="1" applyBorder="1"/>
    <xf numFmtId="10" fontId="0" fillId="0" borderId="0" xfId="1330" applyNumberFormat="1" applyFont="1"/>
    <xf numFmtId="10" fontId="0" fillId="0" borderId="32" xfId="1330" applyNumberFormat="1" applyFont="1" applyBorder="1"/>
    <xf numFmtId="3" fontId="13" fillId="0" borderId="0" xfId="1329" applyNumberFormat="1"/>
    <xf numFmtId="3" fontId="13" fillId="0" borderId="32" xfId="1329" applyNumberFormat="1" applyBorder="1"/>
    <xf numFmtId="0" fontId="111" fillId="0" borderId="0" xfId="1329" applyFont="1"/>
    <xf numFmtId="0" fontId="13" fillId="54" borderId="34" xfId="1329" applyFill="1" applyBorder="1"/>
    <xf numFmtId="0" fontId="13" fillId="54" borderId="36" xfId="1329" applyFill="1" applyBorder="1"/>
    <xf numFmtId="3" fontId="13" fillId="58" borderId="37" xfId="1329" applyNumberFormat="1" applyFill="1" applyBorder="1"/>
    <xf numFmtId="3" fontId="13" fillId="58" borderId="39" xfId="1329" applyNumberFormat="1" applyFill="1" applyBorder="1"/>
    <xf numFmtId="0" fontId="13" fillId="56" borderId="50" xfId="1329" applyFill="1" applyBorder="1" applyAlignment="1">
      <alignment horizontal="center"/>
    </xf>
    <xf numFmtId="10" fontId="0" fillId="54" borderId="46" xfId="1330" applyNumberFormat="1" applyFont="1" applyFill="1" applyBorder="1"/>
    <xf numFmtId="10" fontId="0" fillId="54" borderId="47" xfId="1330" applyNumberFormat="1" applyFont="1" applyFill="1" applyBorder="1"/>
    <xf numFmtId="10" fontId="13" fillId="54" borderId="50" xfId="1329" applyNumberFormat="1" applyFill="1" applyBorder="1"/>
    <xf numFmtId="10" fontId="13" fillId="54" borderId="51" xfId="1329" applyNumberFormat="1" applyFill="1" applyBorder="1"/>
    <xf numFmtId="10" fontId="13" fillId="54" borderId="46" xfId="1329" applyNumberFormat="1" applyFill="1" applyBorder="1"/>
    <xf numFmtId="0" fontId="131" fillId="55" borderId="41" xfId="1329" applyFont="1" applyFill="1" applyBorder="1"/>
    <xf numFmtId="0" fontId="131" fillId="55" borderId="0" xfId="1329" applyFont="1" applyFill="1"/>
    <xf numFmtId="0" fontId="131" fillId="55" borderId="32" xfId="1329" applyFont="1" applyFill="1" applyBorder="1"/>
    <xf numFmtId="0" fontId="113" fillId="54" borderId="0" xfId="1329" applyFont="1" applyFill="1"/>
    <xf numFmtId="0" fontId="113" fillId="0" borderId="0" xfId="1329" applyFont="1"/>
    <xf numFmtId="0" fontId="13" fillId="55" borderId="37" xfId="1329" applyFill="1" applyBorder="1"/>
    <xf numFmtId="0" fontId="13" fillId="55" borderId="38" xfId="1329" applyFill="1" applyBorder="1"/>
    <xf numFmtId="0" fontId="13" fillId="55" borderId="39" xfId="1329" applyFill="1" applyBorder="1"/>
    <xf numFmtId="0" fontId="13" fillId="0" borderId="52" xfId="1329" applyBorder="1"/>
    <xf numFmtId="3" fontId="132" fillId="0" borderId="33" xfId="1329" applyNumberFormat="1" applyFont="1" applyBorder="1"/>
    <xf numFmtId="3" fontId="132" fillId="0" borderId="34" xfId="1329" applyNumberFormat="1" applyFont="1" applyBorder="1"/>
    <xf numFmtId="3" fontId="132" fillId="0" borderId="35" xfId="1329" applyNumberFormat="1" applyFont="1" applyBorder="1"/>
    <xf numFmtId="3" fontId="132" fillId="0" borderId="36" xfId="1329" applyNumberFormat="1" applyFont="1" applyBorder="1"/>
    <xf numFmtId="0" fontId="13" fillId="0" borderId="53" xfId="1329" applyBorder="1"/>
    <xf numFmtId="3" fontId="132" fillId="0" borderId="41" xfId="1329" applyNumberFormat="1" applyFont="1" applyBorder="1"/>
    <xf numFmtId="3" fontId="132" fillId="0" borderId="0" xfId="1329" applyNumberFormat="1" applyFont="1"/>
    <xf numFmtId="3" fontId="132" fillId="0" borderId="32" xfId="1329" applyNumberFormat="1" applyFont="1" applyBorder="1"/>
    <xf numFmtId="3" fontId="132" fillId="0" borderId="42" xfId="1329" applyNumberFormat="1" applyFont="1" applyBorder="1"/>
    <xf numFmtId="0" fontId="13" fillId="58" borderId="53" xfId="1329" applyFill="1" applyBorder="1"/>
    <xf numFmtId="3" fontId="13" fillId="58" borderId="41" xfId="1329" applyNumberFormat="1" applyFill="1" applyBorder="1"/>
    <xf numFmtId="3" fontId="13" fillId="58" borderId="0" xfId="1329" applyNumberFormat="1" applyFill="1"/>
    <xf numFmtId="3" fontId="13" fillId="58" borderId="32" xfId="1329" applyNumberFormat="1" applyFill="1" applyBorder="1"/>
    <xf numFmtId="3" fontId="13" fillId="58" borderId="42" xfId="1329" applyNumberFormat="1" applyFill="1" applyBorder="1"/>
    <xf numFmtId="0" fontId="128" fillId="0" borderId="53" xfId="1329" applyFont="1" applyBorder="1"/>
    <xf numFmtId="0" fontId="13" fillId="0" borderId="41" xfId="1329" applyBorder="1"/>
    <xf numFmtId="0" fontId="13" fillId="58" borderId="41" xfId="1329" applyFill="1" applyBorder="1"/>
    <xf numFmtId="0" fontId="13" fillId="58" borderId="0" xfId="1329" applyFill="1"/>
    <xf numFmtId="0" fontId="13" fillId="58" borderId="32" xfId="1329" applyFill="1" applyBorder="1"/>
    <xf numFmtId="0" fontId="133" fillId="54" borderId="53" xfId="1329" applyFont="1" applyFill="1" applyBorder="1"/>
    <xf numFmtId="0" fontId="134" fillId="54" borderId="0" xfId="1329" applyFont="1" applyFill="1" applyAlignment="1">
      <alignment horizontal="center"/>
    </xf>
    <xf numFmtId="170" fontId="0" fillId="0" borderId="0" xfId="1331" applyNumberFormat="1" applyFont="1" applyFill="1"/>
    <xf numFmtId="0" fontId="13" fillId="55" borderId="0" xfId="1329" applyFill="1"/>
    <xf numFmtId="0" fontId="13" fillId="55" borderId="32" xfId="1329" applyFill="1" applyBorder="1"/>
    <xf numFmtId="3" fontId="13" fillId="55" borderId="0" xfId="1329" applyNumberFormat="1" applyFill="1"/>
    <xf numFmtId="170" fontId="0" fillId="55" borderId="0" xfId="1331" applyNumberFormat="1" applyFont="1" applyFill="1"/>
    <xf numFmtId="170" fontId="113" fillId="0" borderId="55" xfId="1329" applyNumberFormat="1" applyFont="1" applyBorder="1" applyAlignment="1">
      <alignment horizontal="center"/>
    </xf>
    <xf numFmtId="0" fontId="113" fillId="0" borderId="55" xfId="1329" applyFont="1" applyBorder="1" applyAlignment="1">
      <alignment horizontal="center"/>
    </xf>
    <xf numFmtId="0" fontId="113" fillId="0" borderId="56" xfId="1329" applyFont="1" applyBorder="1" applyAlignment="1">
      <alignment horizontal="center"/>
    </xf>
    <xf numFmtId="0" fontId="13" fillId="54" borderId="37" xfId="1329" applyFill="1" applyBorder="1"/>
    <xf numFmtId="0" fontId="13" fillId="54" borderId="38" xfId="1329" applyFill="1" applyBorder="1"/>
    <xf numFmtId="3" fontId="13" fillId="54" borderId="43" xfId="1329" applyNumberFormat="1" applyFill="1" applyBorder="1"/>
    <xf numFmtId="3" fontId="13" fillId="54" borderId="40" xfId="1329" applyNumberFormat="1" applyFill="1" applyBorder="1"/>
    <xf numFmtId="0" fontId="13" fillId="58" borderId="57" xfId="1329" applyFill="1" applyBorder="1"/>
    <xf numFmtId="0" fontId="13" fillId="58" borderId="58" xfId="1329" applyFill="1" applyBorder="1"/>
    <xf numFmtId="43" fontId="13" fillId="58" borderId="55" xfId="1329" applyNumberFormat="1" applyFill="1" applyBorder="1"/>
    <xf numFmtId="0" fontId="113" fillId="0" borderId="0" xfId="1329" applyFont="1" applyAlignment="1">
      <alignment vertical="center"/>
    </xf>
    <xf numFmtId="0" fontId="114" fillId="57" borderId="0" xfId="1329" applyFont="1" applyFill="1"/>
    <xf numFmtId="0" fontId="114" fillId="57" borderId="32" xfId="1329" applyFont="1" applyFill="1" applyBorder="1"/>
    <xf numFmtId="0" fontId="114" fillId="0" borderId="0" xfId="1329" applyFont="1"/>
    <xf numFmtId="0" fontId="114" fillId="0" borderId="32" xfId="1329" applyFont="1" applyBorder="1"/>
    <xf numFmtId="0" fontId="133" fillId="55" borderId="33" xfId="1329" applyFont="1" applyFill="1" applyBorder="1"/>
    <xf numFmtId="0" fontId="133" fillId="55" borderId="34" xfId="1329" applyFont="1" applyFill="1" applyBorder="1"/>
    <xf numFmtId="0" fontId="133" fillId="55" borderId="35" xfId="1329" applyFont="1" applyFill="1" applyBorder="1"/>
    <xf numFmtId="0" fontId="133" fillId="55" borderId="36" xfId="1329" applyFont="1" applyFill="1" applyBorder="1"/>
    <xf numFmtId="0" fontId="133" fillId="55" borderId="37" xfId="1329" applyFont="1" applyFill="1" applyBorder="1"/>
    <xf numFmtId="0" fontId="133" fillId="55" borderId="38" xfId="1329" applyFont="1" applyFill="1" applyBorder="1"/>
    <xf numFmtId="0" fontId="133" fillId="55" borderId="39" xfId="1329" applyFont="1" applyFill="1" applyBorder="1"/>
    <xf numFmtId="0" fontId="133" fillId="55" borderId="42" xfId="1329" applyFont="1" applyFill="1" applyBorder="1"/>
    <xf numFmtId="0" fontId="122" fillId="54" borderId="0" xfId="1329" applyFont="1" applyFill="1"/>
    <xf numFmtId="0" fontId="129" fillId="54" borderId="0" xfId="1329" applyFont="1" applyFill="1"/>
    <xf numFmtId="0" fontId="122" fillId="54" borderId="32" xfId="1329" applyFont="1" applyFill="1" applyBorder="1"/>
    <xf numFmtId="0" fontId="135" fillId="0" borderId="0" xfId="1329" applyFont="1" applyAlignment="1">
      <alignment horizontal="center"/>
    </xf>
    <xf numFmtId="0" fontId="13" fillId="54" borderId="35" xfId="1329" applyFill="1" applyBorder="1"/>
    <xf numFmtId="3" fontId="132" fillId="54" borderId="34" xfId="1329" applyNumberFormat="1" applyFont="1" applyFill="1" applyBorder="1"/>
    <xf numFmtId="3" fontId="132" fillId="54" borderId="36" xfId="1329" applyNumberFormat="1" applyFont="1" applyFill="1" applyBorder="1"/>
    <xf numFmtId="3" fontId="132" fillId="54" borderId="0" xfId="1329" applyNumberFormat="1" applyFont="1" applyFill="1"/>
    <xf numFmtId="3" fontId="132" fillId="54" borderId="42" xfId="1329" applyNumberFormat="1" applyFont="1" applyFill="1" applyBorder="1"/>
    <xf numFmtId="170" fontId="13" fillId="0" borderId="55" xfId="1329" applyNumberFormat="1" applyBorder="1" applyAlignment="1">
      <alignment horizontal="center"/>
    </xf>
    <xf numFmtId="0" fontId="13" fillId="0" borderId="55" xfId="1329" applyBorder="1" applyAlignment="1">
      <alignment horizontal="center"/>
    </xf>
    <xf numFmtId="4" fontId="13" fillId="58" borderId="55" xfId="1329" applyNumberFormat="1" applyFill="1" applyBorder="1"/>
    <xf numFmtId="0" fontId="113" fillId="59" borderId="0" xfId="1329" applyFont="1" applyFill="1" applyAlignment="1">
      <alignment horizontal="left" indent="1"/>
    </xf>
    <xf numFmtId="0" fontId="13" fillId="59" borderId="0" xfId="1329" applyFill="1"/>
    <xf numFmtId="0" fontId="132" fillId="55" borderId="60" xfId="1329" applyFont="1" applyFill="1" applyBorder="1"/>
    <xf numFmtId="0" fontId="132" fillId="55" borderId="62" xfId="1329" applyFont="1" applyFill="1" applyBorder="1"/>
    <xf numFmtId="0" fontId="13" fillId="0" borderId="63" xfId="1329" applyBorder="1"/>
    <xf numFmtId="10" fontId="0" fillId="0" borderId="0" xfId="1330" applyNumberFormat="1" applyFont="1" applyBorder="1"/>
    <xf numFmtId="10" fontId="0" fillId="0" borderId="64" xfId="1330" applyNumberFormat="1" applyFont="1" applyBorder="1"/>
    <xf numFmtId="0" fontId="13" fillId="0" borderId="61" xfId="1329" applyBorder="1"/>
    <xf numFmtId="0" fontId="13" fillId="0" borderId="62" xfId="1329" applyBorder="1"/>
    <xf numFmtId="10" fontId="13" fillId="0" borderId="62" xfId="1329" applyNumberFormat="1" applyBorder="1"/>
    <xf numFmtId="10" fontId="13" fillId="0" borderId="65" xfId="1329" applyNumberFormat="1" applyBorder="1"/>
    <xf numFmtId="0" fontId="13" fillId="0" borderId="59" xfId="1329" applyBorder="1"/>
    <xf numFmtId="0" fontId="13" fillId="0" borderId="60" xfId="1329" applyBorder="1"/>
    <xf numFmtId="10" fontId="0" fillId="0" borderId="60" xfId="1330" applyNumberFormat="1" applyFont="1" applyBorder="1"/>
    <xf numFmtId="10" fontId="0" fillId="0" borderId="66" xfId="1330" applyNumberFormat="1" applyFont="1" applyBorder="1"/>
    <xf numFmtId="3" fontId="13" fillId="0" borderId="62" xfId="1329" applyNumberFormat="1" applyBorder="1"/>
    <xf numFmtId="3" fontId="13" fillId="0" borderId="65" xfId="1329" applyNumberFormat="1" applyBorder="1"/>
    <xf numFmtId="0" fontId="134" fillId="55" borderId="67" xfId="1329" applyFont="1" applyFill="1" applyBorder="1"/>
    <xf numFmtId="0" fontId="134" fillId="55" borderId="68" xfId="1329" applyFont="1" applyFill="1" applyBorder="1"/>
    <xf numFmtId="10" fontId="13" fillId="54" borderId="69" xfId="1329" applyNumberFormat="1" applyFill="1" applyBorder="1"/>
    <xf numFmtId="0" fontId="132" fillId="55" borderId="70" xfId="1329" applyFont="1" applyFill="1" applyBorder="1"/>
    <xf numFmtId="0" fontId="132" fillId="55" borderId="66" xfId="1329" applyFont="1" applyFill="1" applyBorder="1"/>
    <xf numFmtId="0" fontId="132" fillId="55" borderId="71" xfId="1329" applyFont="1" applyFill="1" applyBorder="1"/>
    <xf numFmtId="0" fontId="132" fillId="55" borderId="65" xfId="1329" applyFont="1" applyFill="1" applyBorder="1"/>
    <xf numFmtId="10" fontId="13" fillId="54" borderId="60" xfId="1329" applyNumberFormat="1" applyFill="1" applyBorder="1"/>
    <xf numFmtId="0" fontId="13" fillId="0" borderId="70" xfId="1329" applyBorder="1"/>
    <xf numFmtId="10" fontId="13" fillId="0" borderId="60" xfId="1329" applyNumberFormat="1" applyBorder="1"/>
    <xf numFmtId="0" fontId="13" fillId="0" borderId="71" xfId="1329" applyBorder="1"/>
    <xf numFmtId="0" fontId="13" fillId="0" borderId="72" xfId="1329" applyBorder="1"/>
    <xf numFmtId="0" fontId="13" fillId="0" borderId="64" xfId="1329" applyBorder="1"/>
    <xf numFmtId="0" fontId="13" fillId="0" borderId="66" xfId="1329" applyBorder="1"/>
    <xf numFmtId="0" fontId="13" fillId="58" borderId="72" xfId="1329" applyFill="1" applyBorder="1"/>
    <xf numFmtId="0" fontId="13" fillId="58" borderId="64" xfId="1329" applyFill="1" applyBorder="1"/>
    <xf numFmtId="0" fontId="128" fillId="0" borderId="72" xfId="1329" applyFont="1" applyBorder="1"/>
    <xf numFmtId="0" fontId="133" fillId="54" borderId="72" xfId="1329" applyFont="1" applyFill="1" applyBorder="1"/>
    <xf numFmtId="0" fontId="13" fillId="58" borderId="71" xfId="1329" applyFill="1" applyBorder="1"/>
    <xf numFmtId="0" fontId="13" fillId="58" borderId="65" xfId="1329" applyFill="1" applyBorder="1"/>
    <xf numFmtId="0" fontId="13" fillId="54" borderId="70" xfId="1329" applyFill="1" applyBorder="1"/>
    <xf numFmtId="3" fontId="132" fillId="54" borderId="60" xfId="1329" applyNumberFormat="1" applyFont="1" applyFill="1" applyBorder="1"/>
    <xf numFmtId="3" fontId="132" fillId="54" borderId="66" xfId="1329" applyNumberFormat="1" applyFont="1" applyFill="1" applyBorder="1"/>
    <xf numFmtId="0" fontId="13" fillId="54" borderId="72" xfId="1329" applyFill="1" applyBorder="1"/>
    <xf numFmtId="3" fontId="132" fillId="54" borderId="64" xfId="1329" applyNumberFormat="1" applyFont="1" applyFill="1" applyBorder="1"/>
    <xf numFmtId="3" fontId="13" fillId="58" borderId="64" xfId="1329" applyNumberFormat="1" applyFill="1" applyBorder="1"/>
    <xf numFmtId="0" fontId="13" fillId="58" borderId="62" xfId="1329" applyFill="1" applyBorder="1"/>
    <xf numFmtId="3" fontId="13" fillId="58" borderId="62" xfId="1329" applyNumberFormat="1" applyFill="1" applyBorder="1"/>
    <xf numFmtId="3" fontId="13" fillId="58" borderId="65" xfId="1329" applyNumberFormat="1" applyFill="1" applyBorder="1"/>
    <xf numFmtId="170" fontId="0" fillId="54" borderId="0" xfId="1331" applyNumberFormat="1" applyFont="1" applyFill="1"/>
    <xf numFmtId="10" fontId="0" fillId="54" borderId="37" xfId="1330" applyNumberFormat="1" applyFont="1" applyFill="1" applyBorder="1"/>
    <xf numFmtId="10" fontId="0" fillId="54" borderId="38" xfId="1330" applyNumberFormat="1" applyFont="1" applyFill="1" applyBorder="1"/>
    <xf numFmtId="10" fontId="0" fillId="54" borderId="39" xfId="1330" applyNumberFormat="1" applyFont="1" applyFill="1" applyBorder="1"/>
    <xf numFmtId="0" fontId="133" fillId="55" borderId="0" xfId="1329" applyFont="1" applyFill="1"/>
    <xf numFmtId="0" fontId="92" fillId="0" borderId="32" xfId="0" applyFont="1" applyBorder="1"/>
    <xf numFmtId="0" fontId="93" fillId="0" borderId="32" xfId="0" applyFont="1" applyBorder="1"/>
    <xf numFmtId="0" fontId="93" fillId="0" borderId="32" xfId="0" applyFont="1" applyBorder="1" applyAlignment="1">
      <alignment horizontal="left"/>
    </xf>
    <xf numFmtId="0" fontId="92" fillId="0" borderId="32" xfId="0" applyFont="1" applyBorder="1" applyAlignment="1">
      <alignment horizontal="center"/>
    </xf>
    <xf numFmtId="10" fontId="93" fillId="53" borderId="1" xfId="0" applyNumberFormat="1" applyFont="1" applyFill="1" applyBorder="1" applyAlignment="1">
      <alignment horizontal="center"/>
    </xf>
    <xf numFmtId="10" fontId="14" fillId="54" borderId="0" xfId="83" applyNumberFormat="1" applyFont="1" applyFill="1"/>
    <xf numFmtId="10" fontId="13" fillId="0" borderId="0" xfId="83" applyNumberFormat="1" applyFont="1"/>
    <xf numFmtId="0" fontId="12" fillId="0" borderId="0" xfId="1325" applyFont="1"/>
    <xf numFmtId="170" fontId="14" fillId="0" borderId="0" xfId="1332" applyNumberFormat="1" applyFont="1"/>
    <xf numFmtId="0" fontId="128" fillId="54" borderId="0" xfId="1325" applyFont="1" applyFill="1"/>
    <xf numFmtId="4" fontId="13" fillId="58" borderId="56" xfId="1329" applyNumberFormat="1" applyFill="1" applyBorder="1"/>
    <xf numFmtId="0" fontId="115" fillId="0" borderId="0" xfId="1333"/>
    <xf numFmtId="0" fontId="80" fillId="0" borderId="0" xfId="1333" applyFont="1" applyAlignment="1">
      <alignment horizontal="center" vertical="center" wrapText="1"/>
    </xf>
    <xf numFmtId="0" fontId="11" fillId="0" borderId="0" xfId="1334" applyAlignment="1">
      <alignment horizontal="center" wrapText="1"/>
    </xf>
    <xf numFmtId="0" fontId="137" fillId="0" borderId="0" xfId="1333" applyFont="1" applyAlignment="1">
      <alignment vertical="top" wrapText="1"/>
    </xf>
    <xf numFmtId="10" fontId="137" fillId="0" borderId="0" xfId="1333" applyNumberFormat="1" applyFont="1" applyAlignment="1">
      <alignment vertical="top" wrapText="1"/>
    </xf>
    <xf numFmtId="15" fontId="14" fillId="54" borderId="0" xfId="1325" applyNumberFormat="1" applyFill="1"/>
    <xf numFmtId="10" fontId="93" fillId="54" borderId="1" xfId="0" applyNumberFormat="1" applyFont="1" applyFill="1" applyBorder="1"/>
    <xf numFmtId="170" fontId="14" fillId="54" borderId="0" xfId="1325" applyNumberFormat="1" applyFill="1"/>
    <xf numFmtId="170" fontId="14" fillId="54" borderId="0" xfId="83" applyNumberFormat="1" applyFont="1" applyFill="1"/>
    <xf numFmtId="3" fontId="0" fillId="54" borderId="43" xfId="0" applyNumberFormat="1" applyFill="1" applyBorder="1"/>
    <xf numFmtId="3" fontId="0" fillId="54" borderId="40" xfId="0" applyNumberFormat="1" applyFill="1" applyBorder="1"/>
    <xf numFmtId="4" fontId="0" fillId="58" borderId="55" xfId="0" applyNumberFormat="1" applyFill="1" applyBorder="1"/>
    <xf numFmtId="4" fontId="0" fillId="58" borderId="56" xfId="0" applyNumberFormat="1" applyFill="1" applyBorder="1"/>
    <xf numFmtId="170" fontId="13" fillId="0" borderId="0" xfId="1332" applyNumberFormat="1" applyFont="1"/>
    <xf numFmtId="170" fontId="13" fillId="0" borderId="64" xfId="1332" applyNumberFormat="1" applyFont="1" applyBorder="1"/>
    <xf numFmtId="0" fontId="138" fillId="50" borderId="24" xfId="0" applyFont="1" applyFill="1" applyBorder="1"/>
    <xf numFmtId="4" fontId="13" fillId="54" borderId="0" xfId="1329" applyNumberFormat="1" applyFill="1"/>
    <xf numFmtId="0" fontId="13" fillId="58" borderId="52" xfId="1329" applyFill="1" applyBorder="1"/>
    <xf numFmtId="0" fontId="13" fillId="58" borderId="33" xfId="1329" applyFill="1" applyBorder="1"/>
    <xf numFmtId="0" fontId="13" fillId="58" borderId="34" xfId="1329" applyFill="1" applyBorder="1"/>
    <xf numFmtId="0" fontId="13" fillId="58" borderId="35" xfId="1329" applyFill="1" applyBorder="1"/>
    <xf numFmtId="3" fontId="13" fillId="58" borderId="34" xfId="1329" applyNumberFormat="1" applyFill="1" applyBorder="1"/>
    <xf numFmtId="3" fontId="13" fillId="58" borderId="36" xfId="1329" applyNumberFormat="1" applyFill="1" applyBorder="1"/>
    <xf numFmtId="0" fontId="140" fillId="0" borderId="0" xfId="0" applyFont="1" applyAlignment="1">
      <alignment horizontal="left"/>
    </xf>
    <xf numFmtId="0" fontId="143" fillId="0" borderId="0" xfId="0" applyFont="1"/>
    <xf numFmtId="0" fontId="144" fillId="0" borderId="0" xfId="0" applyFont="1"/>
    <xf numFmtId="10" fontId="93" fillId="0" borderId="24" xfId="83" applyNumberFormat="1" applyFont="1" applyBorder="1"/>
    <xf numFmtId="0" fontId="145" fillId="0" borderId="0" xfId="0" applyFont="1"/>
    <xf numFmtId="0" fontId="142" fillId="60" borderId="1" xfId="0" applyFont="1" applyFill="1" applyBorder="1"/>
    <xf numFmtId="0" fontId="139" fillId="60" borderId="1" xfId="0" applyFont="1" applyFill="1" applyBorder="1"/>
    <xf numFmtId="0" fontId="139" fillId="60" borderId="1" xfId="0" applyFont="1" applyFill="1" applyBorder="1" applyAlignment="1">
      <alignment horizontal="center"/>
    </xf>
    <xf numFmtId="0" fontId="139" fillId="60" borderId="1" xfId="0" applyFont="1" applyFill="1" applyBorder="1" applyAlignment="1">
      <alignment wrapText="1"/>
    </xf>
    <xf numFmtId="0" fontId="139" fillId="59" borderId="25" xfId="0" applyFont="1" applyFill="1" applyBorder="1"/>
    <xf numFmtId="174" fontId="93" fillId="0" borderId="1" xfId="0" applyNumberFormat="1" applyFont="1" applyBorder="1" applyAlignment="1">
      <alignment horizontal="center"/>
    </xf>
    <xf numFmtId="43" fontId="13" fillId="54" borderId="0" xfId="1329" applyNumberFormat="1" applyFill="1"/>
    <xf numFmtId="4" fontId="0" fillId="54" borderId="0" xfId="0" applyNumberFormat="1" applyFill="1"/>
    <xf numFmtId="170" fontId="0" fillId="54" borderId="0" xfId="1332" applyNumberFormat="1" applyFont="1" applyFill="1" applyBorder="1"/>
    <xf numFmtId="170" fontId="10" fillId="56" borderId="0" xfId="1332" applyNumberFormat="1" applyFont="1" applyFill="1" applyBorder="1"/>
    <xf numFmtId="170" fontId="10" fillId="54" borderId="0" xfId="1332" applyNumberFormat="1" applyFont="1" applyFill="1" applyBorder="1"/>
    <xf numFmtId="43" fontId="0" fillId="54" borderId="0" xfId="1332" applyFont="1" applyFill="1"/>
    <xf numFmtId="174" fontId="93" fillId="0" borderId="24" xfId="83" applyNumberFormat="1" applyFont="1" applyBorder="1"/>
    <xf numFmtId="173" fontId="93" fillId="0" borderId="1" xfId="0" applyNumberFormat="1" applyFont="1" applyBorder="1" applyAlignment="1">
      <alignment horizontal="center"/>
    </xf>
    <xf numFmtId="3" fontId="14" fillId="55" borderId="0" xfId="1325" applyNumberFormat="1" applyFill="1"/>
    <xf numFmtId="167" fontId="14" fillId="54" borderId="0" xfId="83" applyNumberFormat="1" applyFont="1" applyFill="1"/>
    <xf numFmtId="0" fontId="9" fillId="58" borderId="43" xfId="1329" applyFont="1" applyFill="1" applyBorder="1"/>
    <xf numFmtId="0" fontId="123" fillId="54" borderId="0" xfId="1325" applyFont="1" applyFill="1"/>
    <xf numFmtId="10" fontId="14" fillId="55" borderId="0" xfId="1325" applyNumberFormat="1" applyFill="1"/>
    <xf numFmtId="0" fontId="128" fillId="55" borderId="0" xfId="1325" applyFont="1" applyFill="1"/>
    <xf numFmtId="0" fontId="8" fillId="54" borderId="0" xfId="1325" applyFont="1" applyFill="1"/>
    <xf numFmtId="172" fontId="8" fillId="0" borderId="0" xfId="1332" applyNumberFormat="1" applyFont="1" applyAlignment="1">
      <alignment horizontal="left"/>
    </xf>
    <xf numFmtId="0" fontId="8" fillId="0" borderId="0" xfId="1325" applyFont="1" applyAlignment="1">
      <alignment horizontal="left"/>
    </xf>
    <xf numFmtId="0" fontId="14" fillId="0" borderId="0" xfId="1325" applyAlignment="1">
      <alignment horizontal="left"/>
    </xf>
    <xf numFmtId="0" fontId="139" fillId="61" borderId="1" xfId="0" applyFont="1" applyFill="1" applyBorder="1" applyAlignment="1">
      <alignment vertical="center"/>
    </xf>
    <xf numFmtId="0" fontId="139" fillId="61" borderId="1" xfId="0" applyFont="1" applyFill="1" applyBorder="1" applyAlignment="1">
      <alignment wrapText="1"/>
    </xf>
    <xf numFmtId="0" fontId="142" fillId="61" borderId="1" xfId="0" applyFont="1" applyFill="1" applyBorder="1"/>
    <xf numFmtId="0" fontId="139" fillId="61" borderId="1" xfId="0" applyFont="1" applyFill="1" applyBorder="1"/>
    <xf numFmtId="0" fontId="139" fillId="61" borderId="1" xfId="0" applyFont="1" applyFill="1" applyBorder="1" applyAlignment="1">
      <alignment horizontal="left" wrapText="1"/>
    </xf>
    <xf numFmtId="0" fontId="142" fillId="61" borderId="8" xfId="0" applyFont="1" applyFill="1" applyBorder="1"/>
    <xf numFmtId="0" fontId="142" fillId="61" borderId="2" xfId="0" applyFont="1" applyFill="1" applyBorder="1"/>
    <xf numFmtId="0" fontId="142" fillId="61" borderId="1" xfId="0" applyFont="1" applyFill="1" applyBorder="1" applyAlignment="1">
      <alignment horizontal="center" vertical="center"/>
    </xf>
    <xf numFmtId="0" fontId="142" fillId="61" borderId="1" xfId="0" applyFont="1" applyFill="1" applyBorder="1" applyAlignment="1">
      <alignment horizontal="center" vertical="center" wrapText="1"/>
    </xf>
    <xf numFmtId="0" fontId="139" fillId="61" borderId="1" xfId="0" applyFont="1" applyFill="1" applyBorder="1" applyAlignment="1">
      <alignment horizontal="center"/>
    </xf>
    <xf numFmtId="0" fontId="139" fillId="55" borderId="25" xfId="0" applyFont="1" applyFill="1" applyBorder="1"/>
    <xf numFmtId="0" fontId="13" fillId="59" borderId="41" xfId="1329" applyFill="1" applyBorder="1"/>
    <xf numFmtId="0" fontId="13" fillId="59" borderId="53" xfId="1329" applyFill="1" applyBorder="1"/>
    <xf numFmtId="3" fontId="134" fillId="59" borderId="42" xfId="1329" applyNumberFormat="1" applyFont="1" applyFill="1" applyBorder="1"/>
    <xf numFmtId="3" fontId="0" fillId="59" borderId="53" xfId="1331" applyNumberFormat="1" applyFont="1" applyFill="1" applyBorder="1"/>
    <xf numFmtId="3" fontId="0" fillId="59" borderId="42" xfId="1331" applyNumberFormat="1" applyFont="1" applyFill="1" applyBorder="1"/>
    <xf numFmtId="171" fontId="13" fillId="59" borderId="53" xfId="1329" applyNumberFormat="1" applyFill="1" applyBorder="1"/>
    <xf numFmtId="10" fontId="13" fillId="59" borderId="60" xfId="1329" applyNumberFormat="1" applyFill="1" applyBorder="1"/>
    <xf numFmtId="0" fontId="146" fillId="54" borderId="0" xfId="1325" applyFont="1" applyFill="1"/>
    <xf numFmtId="170" fontId="147" fillId="54" borderId="0" xfId="1327" applyNumberFormat="1" applyFont="1" applyFill="1"/>
    <xf numFmtId="14" fontId="93" fillId="0" borderId="24" xfId="0" applyNumberFormat="1" applyFont="1" applyBorder="1" applyAlignment="1">
      <alignment horizontal="center"/>
    </xf>
    <xf numFmtId="0" fontId="128" fillId="55" borderId="0" xfId="1325" applyFont="1" applyFill="1" applyAlignment="1">
      <alignment horizontal="right"/>
    </xf>
    <xf numFmtId="0" fontId="7" fillId="54" borderId="41" xfId="1329" applyFont="1" applyFill="1" applyBorder="1"/>
    <xf numFmtId="0" fontId="7" fillId="55" borderId="0" xfId="1329" applyFont="1" applyFill="1"/>
    <xf numFmtId="10" fontId="13" fillId="55" borderId="0" xfId="1329" applyNumberFormat="1" applyFill="1"/>
    <xf numFmtId="3" fontId="0" fillId="59" borderId="43" xfId="1331" applyNumberFormat="1" applyFont="1" applyFill="1" applyBorder="1"/>
    <xf numFmtId="170" fontId="13" fillId="59" borderId="53" xfId="1329" applyNumberFormat="1" applyFill="1" applyBorder="1"/>
    <xf numFmtId="14" fontId="14" fillId="49" borderId="0" xfId="1325" applyNumberFormat="1" applyFill="1" applyAlignment="1">
      <alignment horizontal="right"/>
    </xf>
    <xf numFmtId="14" fontId="7" fillId="49" borderId="0" xfId="1325" applyNumberFormat="1" applyFont="1" applyFill="1" applyAlignment="1">
      <alignment horizontal="right"/>
    </xf>
    <xf numFmtId="3" fontId="0" fillId="49" borderId="0" xfId="1332" applyNumberFormat="1" applyFont="1" applyFill="1" applyAlignment="1">
      <alignment horizontal="right" vertical="center"/>
    </xf>
    <xf numFmtId="2" fontId="93" fillId="53" borderId="24" xfId="0" applyNumberFormat="1" applyFont="1" applyFill="1" applyBorder="1" applyAlignment="1">
      <alignment horizontal="right"/>
    </xf>
    <xf numFmtId="0" fontId="150" fillId="0" borderId="0" xfId="0" applyFont="1"/>
    <xf numFmtId="0" fontId="115" fillId="55" borderId="24" xfId="0" applyFont="1" applyFill="1" applyBorder="1" applyAlignment="1">
      <alignment horizontal="center"/>
    </xf>
    <xf numFmtId="0" fontId="115" fillId="55" borderId="24" xfId="0" applyFont="1" applyFill="1" applyBorder="1"/>
    <xf numFmtId="10" fontId="0" fillId="0" borderId="24" xfId="0" applyNumberFormat="1" applyBorder="1"/>
    <xf numFmtId="10" fontId="0" fillId="0" borderId="24" xfId="83" applyNumberFormat="1" applyFont="1" applyBorder="1"/>
    <xf numFmtId="0" fontId="6" fillId="55" borderId="24" xfId="0" applyFont="1" applyFill="1" applyBorder="1"/>
    <xf numFmtId="0" fontId="6" fillId="55" borderId="24" xfId="0" applyFont="1" applyFill="1" applyBorder="1" applyAlignment="1">
      <alignment horizontal="center"/>
    </xf>
    <xf numFmtId="10" fontId="6" fillId="0" borderId="24" xfId="0" applyNumberFormat="1" applyFont="1" applyBorder="1" applyAlignment="1">
      <alignment horizontal="center"/>
    </xf>
    <xf numFmtId="10" fontId="6" fillId="0" borderId="24" xfId="83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13" fillId="0" borderId="24" xfId="0" applyFont="1" applyBorder="1"/>
    <xf numFmtId="9" fontId="6" fillId="0" borderId="0" xfId="0" applyNumberFormat="1" applyFont="1"/>
    <xf numFmtId="10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right"/>
    </xf>
    <xf numFmtId="10" fontId="0" fillId="0" borderId="0" xfId="0" applyNumberFormat="1" applyAlignment="1">
      <alignment horizontal="center"/>
    </xf>
    <xf numFmtId="0" fontId="6" fillId="0" borderId="0" xfId="0" applyFont="1"/>
    <xf numFmtId="0" fontId="113" fillId="0" borderId="0" xfId="0" applyFont="1"/>
    <xf numFmtId="166" fontId="92" fillId="0" borderId="0" xfId="0" applyNumberFormat="1" applyFont="1"/>
    <xf numFmtId="10" fontId="80" fillId="0" borderId="24" xfId="0" applyNumberFormat="1" applyFont="1" applyBorder="1" applyAlignment="1">
      <alignment horizontal="left"/>
    </xf>
    <xf numFmtId="2" fontId="115" fillId="0" borderId="24" xfId="0" applyNumberFormat="1" applyFont="1" applyBorder="1"/>
    <xf numFmtId="0" fontId="80" fillId="0" borderId="0" xfId="0" applyFont="1"/>
    <xf numFmtId="2" fontId="115" fillId="0" borderId="0" xfId="0" applyNumberFormat="1" applyFont="1"/>
    <xf numFmtId="0" fontId="80" fillId="0" borderId="24" xfId="0" applyFont="1" applyBorder="1"/>
    <xf numFmtId="10" fontId="115" fillId="0" borderId="24" xfId="0" applyNumberFormat="1" applyFont="1" applyBorder="1"/>
    <xf numFmtId="0" fontId="80" fillId="54" borderId="24" xfId="0" applyFont="1" applyFill="1" applyBorder="1" applyAlignment="1">
      <alignment horizontal="left"/>
    </xf>
    <xf numFmtId="10" fontId="115" fillId="54" borderId="24" xfId="0" applyNumberFormat="1" applyFont="1" applyFill="1" applyBorder="1"/>
    <xf numFmtId="10" fontId="80" fillId="54" borderId="24" xfId="0" applyNumberFormat="1" applyFont="1" applyFill="1" applyBorder="1" applyAlignment="1">
      <alignment horizontal="left"/>
    </xf>
    <xf numFmtId="2" fontId="115" fillId="54" borderId="24" xfId="0" applyNumberFormat="1" applyFont="1" applyFill="1" applyBorder="1"/>
    <xf numFmtId="2" fontId="115" fillId="0" borderId="24" xfId="83" applyNumberFormat="1" applyFont="1" applyBorder="1"/>
    <xf numFmtId="10" fontId="80" fillId="55" borderId="24" xfId="0" applyNumberFormat="1" applyFont="1" applyFill="1" applyBorder="1" applyAlignment="1">
      <alignment horizontal="left"/>
    </xf>
    <xf numFmtId="10" fontId="115" fillId="55" borderId="24" xfId="0" applyNumberFormat="1" applyFont="1" applyFill="1" applyBorder="1"/>
    <xf numFmtId="0" fontId="80" fillId="55" borderId="24" xfId="0" applyFont="1" applyFill="1" applyBorder="1" applyAlignment="1">
      <alignment horizontal="left"/>
    </xf>
    <xf numFmtId="10" fontId="115" fillId="55" borderId="24" xfId="83" applyNumberFormat="1" applyFont="1" applyFill="1" applyBorder="1"/>
    <xf numFmtId="0" fontId="80" fillId="55" borderId="24" xfId="0" applyFont="1" applyFill="1" applyBorder="1"/>
    <xf numFmtId="0" fontId="6" fillId="54" borderId="0" xfId="0" applyFont="1" applyFill="1"/>
    <xf numFmtId="0" fontId="148" fillId="56" borderId="24" xfId="0" applyFont="1" applyFill="1" applyBorder="1" applyAlignment="1">
      <alignment horizontal="center"/>
    </xf>
    <xf numFmtId="0" fontId="148" fillId="58" borderId="24" xfId="0" applyFont="1" applyFill="1" applyBorder="1" applyAlignment="1">
      <alignment horizontal="center"/>
    </xf>
    <xf numFmtId="0" fontId="113" fillId="62" borderId="24" xfId="0" applyFont="1" applyFill="1" applyBorder="1" applyAlignment="1">
      <alignment horizontal="center"/>
    </xf>
    <xf numFmtId="10" fontId="6" fillId="0" borderId="24" xfId="0" applyNumberFormat="1" applyFont="1" applyBorder="1"/>
    <xf numFmtId="0" fontId="128" fillId="55" borderId="24" xfId="0" applyFont="1" applyFill="1" applyBorder="1"/>
    <xf numFmtId="0" fontId="128" fillId="55" borderId="24" xfId="0" applyFont="1" applyFill="1" applyBorder="1" applyAlignment="1">
      <alignment wrapText="1"/>
    </xf>
    <xf numFmtId="0" fontId="148" fillId="56" borderId="24" xfId="0" applyFont="1" applyFill="1" applyBorder="1" applyAlignment="1">
      <alignment horizontal="center" vertical="center"/>
    </xf>
    <xf numFmtId="0" fontId="148" fillId="58" borderId="24" xfId="0" applyFont="1" applyFill="1" applyBorder="1" applyAlignment="1">
      <alignment horizontal="center" vertical="center"/>
    </xf>
    <xf numFmtId="0" fontId="148" fillId="62" borderId="75" xfId="0" applyFont="1" applyFill="1" applyBorder="1" applyAlignment="1">
      <alignment horizontal="center" vertical="center" wrapText="1"/>
    </xf>
    <xf numFmtId="0" fontId="148" fillId="62" borderId="76" xfId="0" applyFont="1" applyFill="1" applyBorder="1" applyAlignment="1">
      <alignment horizontal="center" vertical="center" wrapText="1"/>
    </xf>
    <xf numFmtId="0" fontId="128" fillId="55" borderId="25" xfId="0" applyFont="1" applyFill="1" applyBorder="1"/>
    <xf numFmtId="0" fontId="128" fillId="55" borderId="25" xfId="0" applyFont="1" applyFill="1" applyBorder="1" applyAlignment="1">
      <alignment wrapText="1"/>
    </xf>
    <xf numFmtId="10" fontId="0" fillId="0" borderId="0" xfId="0" applyNumberFormat="1" applyAlignment="1">
      <alignment horizontal="right"/>
    </xf>
    <xf numFmtId="0" fontId="0" fillId="54" borderId="0" xfId="0" applyFill="1"/>
    <xf numFmtId="0" fontId="115" fillId="54" borderId="0" xfId="0" applyFont="1" applyFill="1"/>
    <xf numFmtId="10" fontId="115" fillId="54" borderId="0" xfId="0" applyNumberFormat="1" applyFont="1" applyFill="1"/>
    <xf numFmtId="0" fontId="80" fillId="0" borderId="24" xfId="0" applyFont="1" applyBorder="1" applyAlignment="1">
      <alignment horizontal="left"/>
    </xf>
    <xf numFmtId="2" fontId="115" fillId="54" borderId="0" xfId="0" applyNumberFormat="1" applyFont="1" applyFill="1"/>
    <xf numFmtId="2" fontId="115" fillId="54" borderId="0" xfId="83" applyNumberFormat="1" applyFont="1" applyFill="1" applyBorder="1"/>
    <xf numFmtId="2" fontId="115" fillId="54" borderId="0" xfId="0" applyNumberFormat="1" applyFont="1" applyFill="1" applyAlignment="1">
      <alignment horizontal="right"/>
    </xf>
    <xf numFmtId="10" fontId="115" fillId="54" borderId="0" xfId="83" applyNumberFormat="1" applyFont="1" applyFill="1" applyBorder="1"/>
    <xf numFmtId="0" fontId="139" fillId="0" borderId="0" xfId="0" applyFont="1" applyAlignment="1">
      <alignment horizontal="center"/>
    </xf>
    <xf numFmtId="10" fontId="139" fillId="0" borderId="0" xfId="0" applyNumberFormat="1" applyFont="1"/>
    <xf numFmtId="14" fontId="139" fillId="0" borderId="0" xfId="0" applyNumberFormat="1" applyFont="1"/>
    <xf numFmtId="0" fontId="153" fillId="54" borderId="0" xfId="0" applyFont="1" applyFill="1" applyAlignment="1">
      <alignment horizontal="center" vertical="center"/>
    </xf>
    <xf numFmtId="0" fontId="153" fillId="56" borderId="0" xfId="0" applyFont="1" applyFill="1" applyAlignment="1">
      <alignment vertical="center"/>
    </xf>
    <xf numFmtId="10" fontId="153" fillId="54" borderId="0" xfId="0" applyNumberFormat="1" applyFont="1" applyFill="1" applyAlignment="1">
      <alignment horizontal="center" vertical="center"/>
    </xf>
    <xf numFmtId="0" fontId="153" fillId="0" borderId="0" xfId="0" applyFont="1" applyAlignment="1">
      <alignment vertical="center"/>
    </xf>
    <xf numFmtId="0" fontId="152" fillId="54" borderId="0" xfId="0" applyFont="1" applyFill="1" applyAlignment="1">
      <alignment vertical="center"/>
    </xf>
    <xf numFmtId="0" fontId="153" fillId="0" borderId="0" xfId="0" applyFont="1"/>
    <xf numFmtId="0" fontId="153" fillId="54" borderId="77" xfId="0" applyFont="1" applyFill="1" applyBorder="1" applyAlignment="1">
      <alignment horizontal="center" vertical="center"/>
    </xf>
    <xf numFmtId="0" fontId="153" fillId="58" borderId="77" xfId="0" applyFont="1" applyFill="1" applyBorder="1" applyAlignment="1">
      <alignment vertical="center"/>
    </xf>
    <xf numFmtId="0" fontId="152" fillId="54" borderId="77" xfId="0" applyFont="1" applyFill="1" applyBorder="1" applyAlignment="1">
      <alignment vertical="center"/>
    </xf>
    <xf numFmtId="0" fontId="128" fillId="55" borderId="0" xfId="0" applyFont="1" applyFill="1" applyAlignment="1">
      <alignment wrapText="1"/>
    </xf>
    <xf numFmtId="0" fontId="153" fillId="59" borderId="80" xfId="0" applyFont="1" applyFill="1" applyBorder="1" applyAlignment="1">
      <alignment vertical="center"/>
    </xf>
    <xf numFmtId="10" fontId="153" fillId="54" borderId="77" xfId="0" applyNumberFormat="1" applyFont="1" applyFill="1" applyBorder="1" applyAlignment="1">
      <alignment horizontal="center" vertical="center"/>
    </xf>
    <xf numFmtId="0" fontId="153" fillId="55" borderId="0" xfId="0" applyFont="1" applyFill="1" applyAlignment="1">
      <alignment vertical="center"/>
    </xf>
    <xf numFmtId="0" fontId="153" fillId="55" borderId="0" xfId="0" applyFont="1" applyFill="1" applyAlignment="1">
      <alignment horizontal="center" vertical="center"/>
    </xf>
    <xf numFmtId="10" fontId="153" fillId="54" borderId="78" xfId="0" applyNumberFormat="1" applyFont="1" applyFill="1" applyBorder="1" applyAlignment="1">
      <alignment horizontal="center" vertical="center"/>
    </xf>
    <xf numFmtId="0" fontId="153" fillId="55" borderId="79" xfId="0" applyFont="1" applyFill="1" applyBorder="1" applyAlignment="1">
      <alignment vertical="center"/>
    </xf>
    <xf numFmtId="0" fontId="153" fillId="55" borderId="79" xfId="0" applyFont="1" applyFill="1" applyBorder="1" applyAlignment="1">
      <alignment horizontal="center" vertical="center"/>
    </xf>
    <xf numFmtId="10" fontId="153" fillId="54" borderId="80" xfId="0" applyNumberFormat="1" applyFont="1" applyFill="1" applyBorder="1" applyAlignment="1">
      <alignment horizontal="center" vertical="center"/>
    </xf>
    <xf numFmtId="0" fontId="115" fillId="0" borderId="24" xfId="1333" applyBorder="1"/>
    <xf numFmtId="14" fontId="115" fillId="0" borderId="24" xfId="1333" applyNumberFormat="1" applyBorder="1" applyAlignment="1">
      <alignment horizontal="center"/>
    </xf>
    <xf numFmtId="0" fontId="80" fillId="55" borderId="24" xfId="0" applyFont="1" applyFill="1" applyBorder="1" applyAlignment="1">
      <alignment horizontal="center" vertical="center" wrapText="1"/>
    </xf>
    <xf numFmtId="0" fontId="0" fillId="55" borderId="24" xfId="0" applyFill="1" applyBorder="1" applyAlignment="1">
      <alignment horizontal="center"/>
    </xf>
    <xf numFmtId="165" fontId="0" fillId="0" borderId="24" xfId="0" applyNumberFormat="1" applyBorder="1"/>
    <xf numFmtId="0" fontId="0" fillId="0" borderId="24" xfId="0" applyBorder="1"/>
    <xf numFmtId="0" fontId="80" fillId="6" borderId="24" xfId="1333" applyFont="1" applyFill="1" applyBorder="1" applyAlignment="1">
      <alignment horizontal="center"/>
    </xf>
    <xf numFmtId="10" fontId="115" fillId="53" borderId="24" xfId="1333" applyNumberFormat="1" applyFill="1" applyBorder="1" applyAlignment="1">
      <alignment horizontal="center"/>
    </xf>
    <xf numFmtId="0" fontId="80" fillId="55" borderId="25" xfId="1333" applyFont="1" applyFill="1" applyBorder="1" applyAlignment="1">
      <alignment horizontal="center" vertical="center" wrapText="1"/>
    </xf>
    <xf numFmtId="0" fontId="80" fillId="55" borderId="25" xfId="1333" applyFont="1" applyFill="1" applyBorder="1" applyAlignment="1">
      <alignment horizontal="center"/>
    </xf>
    <xf numFmtId="0" fontId="80" fillId="55" borderId="24" xfId="1333" applyFont="1" applyFill="1" applyBorder="1" applyAlignment="1">
      <alignment horizontal="center"/>
    </xf>
    <xf numFmtId="0" fontId="87" fillId="62" borderId="3" xfId="0" applyFont="1" applyFill="1" applyBorder="1" applyAlignment="1">
      <alignment horizontal="center" vertical="center" wrapText="1"/>
    </xf>
    <xf numFmtId="0" fontId="88" fillId="66" borderId="1" xfId="0" applyFont="1" applyFill="1" applyBorder="1" applyAlignment="1">
      <alignment horizontal="center" vertical="center" wrapText="1"/>
    </xf>
    <xf numFmtId="0" fontId="87" fillId="58" borderId="3" xfId="0" applyFont="1" applyFill="1" applyBorder="1" applyAlignment="1">
      <alignment horizontal="center" vertical="center" wrapText="1"/>
    </xf>
    <xf numFmtId="0" fontId="88" fillId="67" borderId="1" xfId="0" applyFont="1" applyFill="1" applyBorder="1" applyAlignment="1">
      <alignment horizontal="center" vertical="center" wrapText="1"/>
    </xf>
    <xf numFmtId="10" fontId="155" fillId="0" borderId="81" xfId="83" applyNumberFormat="1" applyFont="1" applyBorder="1" applyAlignment="1">
      <alignment horizontal="center"/>
    </xf>
    <xf numFmtId="10" fontId="116" fillId="0" borderId="81" xfId="83" applyNumberFormat="1" applyBorder="1" applyAlignment="1">
      <alignment horizontal="center"/>
    </xf>
    <xf numFmtId="0" fontId="90" fillId="12" borderId="24" xfId="0" applyFont="1" applyFill="1" applyBorder="1" applyAlignment="1">
      <alignment horizontal="center"/>
    </xf>
    <xf numFmtId="10" fontId="155" fillId="0" borderId="24" xfId="83" applyNumberFormat="1" applyFont="1" applyBorder="1" applyAlignment="1">
      <alignment horizontal="center"/>
    </xf>
    <xf numFmtId="10" fontId="116" fillId="0" borderId="24" xfId="83" applyNumberFormat="1" applyBorder="1" applyAlignment="1">
      <alignment horizontal="center"/>
    </xf>
    <xf numFmtId="10" fontId="13" fillId="0" borderId="69" xfId="1329" applyNumberFormat="1" applyBorder="1"/>
    <xf numFmtId="0" fontId="5" fillId="55" borderId="69" xfId="1329" applyFont="1" applyFill="1" applyBorder="1"/>
    <xf numFmtId="0" fontId="88" fillId="52" borderId="3" xfId="0" applyFont="1" applyFill="1" applyBorder="1" applyAlignment="1">
      <alignment horizontal="center" vertical="center" wrapText="1"/>
    </xf>
    <xf numFmtId="0" fontId="88" fillId="52" borderId="24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10" fontId="0" fillId="0" borderId="24" xfId="83" applyNumberFormat="1" applyFon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49" fillId="49" borderId="1" xfId="0" applyFont="1" applyFill="1" applyBorder="1" applyAlignment="1">
      <alignment horizontal="right" vertical="center"/>
    </xf>
    <xf numFmtId="0" fontId="149" fillId="49" borderId="24" xfId="0" applyFont="1" applyFill="1" applyBorder="1"/>
    <xf numFmtId="14" fontId="149" fillId="49" borderId="1" xfId="0" applyNumberFormat="1" applyFont="1" applyFill="1" applyBorder="1" applyAlignment="1">
      <alignment vertical="center"/>
    </xf>
    <xf numFmtId="14" fontId="149" fillId="6" borderId="1" xfId="0" applyNumberFormat="1" applyFont="1" applyFill="1" applyBorder="1" applyAlignment="1">
      <alignment horizontal="right" vertical="center"/>
    </xf>
    <xf numFmtId="10" fontId="149" fillId="49" borderId="24" xfId="83" applyNumberFormat="1" applyFont="1" applyFill="1" applyBorder="1"/>
    <xf numFmtId="10" fontId="149" fillId="6" borderId="1" xfId="0" applyNumberFormat="1" applyFont="1" applyFill="1" applyBorder="1"/>
    <xf numFmtId="10" fontId="149" fillId="49" borderId="1" xfId="0" applyNumberFormat="1" applyFont="1" applyFill="1" applyBorder="1"/>
    <xf numFmtId="0" fontId="157" fillId="0" borderId="0" xfId="0" applyFont="1"/>
    <xf numFmtId="170" fontId="157" fillId="0" borderId="0" xfId="1332" applyNumberFormat="1" applyFont="1"/>
    <xf numFmtId="3" fontId="157" fillId="0" borderId="0" xfId="0" applyNumberFormat="1" applyFont="1"/>
    <xf numFmtId="0" fontId="80" fillId="0" borderId="0" xfId="1333" applyFont="1"/>
    <xf numFmtId="10" fontId="115" fillId="0" borderId="24" xfId="1333" applyNumberFormat="1" applyBorder="1"/>
    <xf numFmtId="0" fontId="115" fillId="59" borderId="24" xfId="1333" applyFill="1" applyBorder="1" applyAlignment="1">
      <alignment horizontal="center"/>
    </xf>
    <xf numFmtId="0" fontId="156" fillId="56" borderId="0" xfId="0" applyFont="1" applyFill="1"/>
    <xf numFmtId="0" fontId="157" fillId="56" borderId="0" xfId="0" applyFont="1" applyFill="1"/>
    <xf numFmtId="0" fontId="0" fillId="56" borderId="0" xfId="0" applyFill="1"/>
    <xf numFmtId="175" fontId="157" fillId="56" borderId="0" xfId="0" applyNumberFormat="1" applyFont="1" applyFill="1"/>
    <xf numFmtId="2" fontId="0" fillId="56" borderId="0" xfId="0" applyNumberFormat="1" applyFill="1"/>
    <xf numFmtId="0" fontId="139" fillId="0" borderId="82" xfId="0" applyFont="1" applyBorder="1" applyAlignment="1">
      <alignment horizontal="center"/>
    </xf>
    <xf numFmtId="10" fontId="139" fillId="0" borderId="82" xfId="0" applyNumberFormat="1" applyFont="1" applyBorder="1" applyAlignment="1">
      <alignment horizontal="center"/>
    </xf>
    <xf numFmtId="0" fontId="139" fillId="56" borderId="82" xfId="0" applyFont="1" applyFill="1" applyBorder="1"/>
    <xf numFmtId="0" fontId="139" fillId="56" borderId="82" xfId="0" applyFont="1" applyFill="1" applyBorder="1" applyAlignment="1">
      <alignment horizontal="left"/>
    </xf>
    <xf numFmtId="10" fontId="139" fillId="68" borderId="85" xfId="0" applyNumberFormat="1" applyFont="1" applyFill="1" applyBorder="1"/>
    <xf numFmtId="14" fontId="139" fillId="68" borderId="86" xfId="0" applyNumberFormat="1" applyFont="1" applyFill="1" applyBorder="1"/>
    <xf numFmtId="10" fontId="139" fillId="69" borderId="83" xfId="0" applyNumberFormat="1" applyFont="1" applyFill="1" applyBorder="1"/>
    <xf numFmtId="14" fontId="139" fillId="69" borderId="84" xfId="0" applyNumberFormat="1" applyFont="1" applyFill="1" applyBorder="1"/>
    <xf numFmtId="10" fontId="139" fillId="54" borderId="83" xfId="0" applyNumberFormat="1" applyFont="1" applyFill="1" applyBorder="1"/>
    <xf numFmtId="14" fontId="139" fillId="54" borderId="84" xfId="0" applyNumberFormat="1" applyFont="1" applyFill="1" applyBorder="1" applyAlignment="1">
      <alignment horizontal="right"/>
    </xf>
    <xf numFmtId="14" fontId="139" fillId="69" borderId="84" xfId="0" applyNumberFormat="1" applyFont="1" applyFill="1" applyBorder="1" applyAlignment="1">
      <alignment horizontal="right"/>
    </xf>
    <xf numFmtId="0" fontId="139" fillId="54" borderId="84" xfId="0" applyFont="1" applyFill="1" applyBorder="1"/>
    <xf numFmtId="10" fontId="139" fillId="54" borderId="84" xfId="0" applyNumberFormat="1" applyFont="1" applyFill="1" applyBorder="1"/>
    <xf numFmtId="10" fontId="139" fillId="69" borderId="84" xfId="0" applyNumberFormat="1" applyFont="1" applyFill="1" applyBorder="1"/>
    <xf numFmtId="10" fontId="139" fillId="69" borderId="87" xfId="0" applyNumberFormat="1" applyFont="1" applyFill="1" applyBorder="1"/>
    <xf numFmtId="10" fontId="139" fillId="69" borderId="88" xfId="0" applyNumberFormat="1" applyFont="1" applyFill="1" applyBorder="1"/>
    <xf numFmtId="0" fontId="139" fillId="55" borderId="82" xfId="0" applyFont="1" applyFill="1" applyBorder="1" applyAlignment="1">
      <alignment horizontal="left"/>
    </xf>
    <xf numFmtId="10" fontId="139" fillId="55" borderId="82" xfId="0" applyNumberFormat="1" applyFont="1" applyFill="1" applyBorder="1" applyAlignment="1">
      <alignment horizontal="right"/>
    </xf>
    <xf numFmtId="10" fontId="139" fillId="55" borderId="82" xfId="0" applyNumberFormat="1" applyFont="1" applyFill="1" applyBorder="1" applyAlignment="1">
      <alignment horizontal="center"/>
    </xf>
    <xf numFmtId="10" fontId="139" fillId="56" borderId="82" xfId="0" applyNumberFormat="1" applyFont="1" applyFill="1" applyBorder="1" applyAlignment="1">
      <alignment horizontal="center"/>
    </xf>
    <xf numFmtId="10" fontId="139" fillId="54" borderId="82" xfId="0" applyNumberFormat="1" applyFont="1" applyFill="1" applyBorder="1" applyAlignment="1">
      <alignment horizontal="center"/>
    </xf>
    <xf numFmtId="14" fontId="139" fillId="54" borderId="82" xfId="0" applyNumberFormat="1" applyFont="1" applyFill="1" applyBorder="1" applyAlignment="1">
      <alignment horizontal="center"/>
    </xf>
    <xf numFmtId="0" fontId="153" fillId="58" borderId="0" xfId="0" applyFont="1" applyFill="1" applyAlignment="1">
      <alignment vertical="center"/>
    </xf>
    <xf numFmtId="0" fontId="153" fillId="54" borderId="0" xfId="0" applyFont="1" applyFill="1" applyAlignment="1">
      <alignment vertical="center"/>
    </xf>
    <xf numFmtId="0" fontId="153" fillId="59" borderId="0" xfId="0" applyFont="1" applyFill="1" applyAlignment="1">
      <alignment vertical="center"/>
    </xf>
    <xf numFmtId="0" fontId="4" fillId="0" borderId="0" xfId="1325" applyFont="1"/>
    <xf numFmtId="43" fontId="14" fillId="54" borderId="0" xfId="1325" applyNumberFormat="1" applyFill="1"/>
    <xf numFmtId="4" fontId="14" fillId="54" borderId="0" xfId="1325" applyNumberFormat="1" applyFill="1"/>
    <xf numFmtId="10" fontId="14" fillId="54" borderId="0" xfId="1325" applyNumberFormat="1" applyFill="1"/>
    <xf numFmtId="0" fontId="4" fillId="54" borderId="0" xfId="1325" applyFont="1" applyFill="1"/>
    <xf numFmtId="0" fontId="4" fillId="56" borderId="0" xfId="1325" applyFont="1" applyFill="1"/>
    <xf numFmtId="14" fontId="14" fillId="54" borderId="0" xfId="1325" applyNumberFormat="1" applyFill="1" applyAlignment="1">
      <alignment horizontal="right"/>
    </xf>
    <xf numFmtId="0" fontId="14" fillId="56" borderId="0" xfId="1325" applyFill="1" applyAlignment="1">
      <alignment horizontal="center"/>
    </xf>
    <xf numFmtId="2" fontId="139" fillId="69" borderId="84" xfId="0" applyNumberFormat="1" applyFont="1" applyFill="1" applyBorder="1"/>
    <xf numFmtId="0" fontId="87" fillId="70" borderId="3" xfId="0" applyFont="1" applyFill="1" applyBorder="1" applyAlignment="1">
      <alignment horizontal="center" vertical="center" wrapText="1"/>
    </xf>
    <xf numFmtId="0" fontId="88" fillId="60" borderId="8" xfId="0" applyFont="1" applyFill="1" applyBorder="1" applyAlignment="1">
      <alignment horizontal="center" vertical="center" wrapText="1"/>
    </xf>
    <xf numFmtId="0" fontId="87" fillId="71" borderId="3" xfId="0" applyFont="1" applyFill="1" applyBorder="1" applyAlignment="1">
      <alignment horizontal="center" vertical="center" wrapText="1"/>
    </xf>
    <xf numFmtId="0" fontId="88" fillId="72" borderId="8" xfId="0" applyFont="1" applyFill="1" applyBorder="1" applyAlignment="1">
      <alignment horizontal="center" vertical="center" wrapText="1"/>
    </xf>
    <xf numFmtId="10" fontId="0" fillId="0" borderId="89" xfId="83" applyNumberFormat="1" applyFont="1" applyBorder="1"/>
    <xf numFmtId="10" fontId="0" fillId="0" borderId="90" xfId="83" applyNumberFormat="1" applyFont="1" applyBorder="1"/>
    <xf numFmtId="10" fontId="0" fillId="0" borderId="0" xfId="83" applyNumberFormat="1" applyFont="1" applyBorder="1"/>
    <xf numFmtId="10" fontId="0" fillId="0" borderId="32" xfId="83" applyNumberFormat="1" applyFont="1" applyBorder="1"/>
    <xf numFmtId="10" fontId="115" fillId="9" borderId="1" xfId="0" applyNumberFormat="1" applyFont="1" applyFill="1" applyBorder="1"/>
    <xf numFmtId="169" fontId="115" fillId="0" borderId="1" xfId="0" applyNumberFormat="1" applyFont="1" applyBorder="1"/>
    <xf numFmtId="10" fontId="158" fillId="73" borderId="3" xfId="0" applyNumberFormat="1" applyFont="1" applyFill="1" applyBorder="1" applyAlignment="1">
      <alignment horizontal="center"/>
    </xf>
    <xf numFmtId="10" fontId="158" fillId="0" borderId="4" xfId="0" applyNumberFormat="1" applyFont="1" applyBorder="1" applyAlignment="1">
      <alignment horizontal="center"/>
    </xf>
    <xf numFmtId="10" fontId="158" fillId="0" borderId="0" xfId="0" applyNumberFormat="1" applyFont="1"/>
    <xf numFmtId="167" fontId="158" fillId="73" borderId="4" xfId="0" applyNumberFormat="1" applyFont="1" applyFill="1" applyBorder="1" applyAlignment="1">
      <alignment horizontal="center"/>
    </xf>
    <xf numFmtId="2" fontId="159" fillId="73" borderId="3" xfId="0" applyNumberFormat="1" applyFont="1" applyFill="1" applyBorder="1" applyAlignment="1">
      <alignment horizontal="center"/>
    </xf>
    <xf numFmtId="2" fontId="159" fillId="0" borderId="4" xfId="0" applyNumberFormat="1" applyFont="1" applyBorder="1" applyAlignment="1">
      <alignment horizontal="center"/>
    </xf>
    <xf numFmtId="2" fontId="158" fillId="0" borderId="0" xfId="0" applyNumberFormat="1" applyFont="1"/>
    <xf numFmtId="10" fontId="115" fillId="0" borderId="24" xfId="83" applyNumberFormat="1" applyFont="1" applyFill="1" applyBorder="1" applyAlignment="1">
      <alignment horizontal="center"/>
    </xf>
    <xf numFmtId="2" fontId="115" fillId="0" borderId="24" xfId="1332" applyNumberFormat="1" applyFont="1" applyFill="1" applyBorder="1" applyAlignment="1">
      <alignment horizontal="center" vertical="center"/>
    </xf>
    <xf numFmtId="10" fontId="115" fillId="0" borderId="81" xfId="1335" applyNumberFormat="1" applyFont="1" applyFill="1" applyBorder="1" applyAlignment="1">
      <alignment horizontal="center"/>
    </xf>
    <xf numFmtId="49" fontId="91" fillId="12" borderId="24" xfId="0" applyNumberFormat="1" applyFont="1" applyFill="1" applyBorder="1"/>
    <xf numFmtId="10" fontId="91" fillId="12" borderId="24" xfId="0" applyNumberFormat="1" applyFont="1" applyFill="1" applyBorder="1" applyAlignment="1">
      <alignment horizontal="center"/>
    </xf>
    <xf numFmtId="10" fontId="0" fillId="0" borderId="0" xfId="83" applyNumberFormat="1" applyFont="1" applyAlignment="1">
      <alignment horizontal="center"/>
    </xf>
    <xf numFmtId="0" fontId="139" fillId="56" borderId="83" xfId="0" applyFont="1" applyFill="1" applyBorder="1"/>
    <xf numFmtId="43" fontId="139" fillId="54" borderId="84" xfId="1332" applyFont="1" applyFill="1" applyBorder="1" applyAlignment="1">
      <alignment horizontal="center"/>
    </xf>
    <xf numFmtId="0" fontId="139" fillId="56" borderId="85" xfId="0" applyFont="1" applyFill="1" applyBorder="1"/>
    <xf numFmtId="43" fontId="139" fillId="54" borderId="86" xfId="1332" applyFont="1" applyFill="1" applyBorder="1" applyAlignment="1">
      <alignment horizontal="center"/>
    </xf>
    <xf numFmtId="0" fontId="139" fillId="56" borderId="87" xfId="0" applyFont="1" applyFill="1" applyBorder="1"/>
    <xf numFmtId="43" fontId="139" fillId="54" borderId="88" xfId="1332" applyFont="1" applyFill="1" applyBorder="1" applyAlignment="1">
      <alignment horizontal="center"/>
    </xf>
    <xf numFmtId="0" fontId="139" fillId="74" borderId="91" xfId="0" applyFont="1" applyFill="1" applyBorder="1"/>
    <xf numFmtId="176" fontId="13" fillId="0" borderId="0" xfId="1329" applyNumberFormat="1"/>
    <xf numFmtId="0" fontId="3" fillId="54" borderId="0" xfId="1325" applyFont="1" applyFill="1"/>
    <xf numFmtId="43" fontId="13" fillId="54" borderId="34" xfId="1332" applyFont="1" applyFill="1" applyBorder="1"/>
    <xf numFmtId="2" fontId="13" fillId="54" borderId="33" xfId="1332" applyNumberFormat="1" applyFont="1" applyFill="1" applyBorder="1"/>
    <xf numFmtId="43" fontId="14" fillId="0" borderId="0" xfId="1332" applyFont="1"/>
    <xf numFmtId="43" fontId="0" fillId="54" borderId="0" xfId="1332" applyFont="1" applyFill="1" applyBorder="1" applyAlignment="1">
      <alignment horizontal="right"/>
    </xf>
    <xf numFmtId="43" fontId="0" fillId="54" borderId="0" xfId="1332" applyFont="1" applyFill="1" applyBorder="1"/>
    <xf numFmtId="43" fontId="14" fillId="54" borderId="0" xfId="1332" applyFont="1" applyFill="1"/>
    <xf numFmtId="43" fontId="14" fillId="54" borderId="0" xfId="1332" applyFont="1" applyFill="1" applyBorder="1"/>
    <xf numFmtId="43" fontId="14" fillId="56" borderId="0" xfId="1332" applyFont="1" applyFill="1"/>
    <xf numFmtId="0" fontId="113" fillId="75" borderId="0" xfId="1325" applyFont="1" applyFill="1" applyAlignment="1">
      <alignment horizontal="center"/>
    </xf>
    <xf numFmtId="0" fontId="14" fillId="75" borderId="0" xfId="1325" applyFill="1"/>
    <xf numFmtId="0" fontId="123" fillId="75" borderId="0" xfId="1325" applyFont="1" applyFill="1"/>
    <xf numFmtId="0" fontId="153" fillId="68" borderId="82" xfId="0" applyFont="1" applyFill="1" applyBorder="1" applyAlignment="1">
      <alignment vertical="center"/>
    </xf>
    <xf numFmtId="0" fontId="117" fillId="50" borderId="92" xfId="1333" applyFont="1" applyFill="1" applyBorder="1"/>
    <xf numFmtId="0" fontId="152" fillId="68" borderId="82" xfId="0" applyFont="1" applyFill="1" applyBorder="1" applyAlignment="1">
      <alignment vertical="center"/>
    </xf>
    <xf numFmtId="10" fontId="0" fillId="0" borderId="92" xfId="0" applyNumberFormat="1" applyBorder="1"/>
    <xf numFmtId="10" fontId="0" fillId="0" borderId="0" xfId="1335" applyNumberFormat="1" applyFont="1" applyBorder="1"/>
    <xf numFmtId="10" fontId="115" fillId="53" borderId="24" xfId="1333" applyNumberFormat="1" applyFill="1" applyBorder="1" applyAlignment="1">
      <alignment horizontal="center" vertical="center"/>
    </xf>
    <xf numFmtId="179" fontId="0" fillId="0" borderId="0" xfId="0" applyNumberFormat="1" applyAlignment="1">
      <alignment horizontal="right"/>
    </xf>
    <xf numFmtId="14" fontId="0" fillId="11" borderId="0" xfId="0" applyNumberFormat="1" applyFill="1"/>
    <xf numFmtId="0" fontId="117" fillId="0" borderId="92" xfId="0" applyFont="1" applyBorder="1" applyAlignment="1">
      <alignment horizontal="center"/>
    </xf>
    <xf numFmtId="0" fontId="158" fillId="76" borderId="92" xfId="0" applyFont="1" applyFill="1" applyBorder="1" applyAlignment="1">
      <alignment horizontal="center"/>
    </xf>
    <xf numFmtId="0" fontId="158" fillId="76" borderId="92" xfId="0" applyFont="1" applyFill="1" applyBorder="1"/>
    <xf numFmtId="10" fontId="158" fillId="76" borderId="92" xfId="0" applyNumberFormat="1" applyFont="1" applyFill="1" applyBorder="1"/>
    <xf numFmtId="0" fontId="158" fillId="49" borderId="92" xfId="0" applyFont="1" applyFill="1" applyBorder="1" applyAlignment="1">
      <alignment horizontal="center"/>
    </xf>
    <xf numFmtId="0" fontId="158" fillId="49" borderId="92" xfId="0" applyFont="1" applyFill="1" applyBorder="1"/>
    <xf numFmtId="10" fontId="158" fillId="49" borderId="92" xfId="0" applyNumberFormat="1" applyFont="1" applyFill="1" applyBorder="1" applyAlignment="1">
      <alignment horizontal="center"/>
    </xf>
    <xf numFmtId="167" fontId="93" fillId="0" borderId="1" xfId="0" applyNumberFormat="1" applyFont="1" applyBorder="1"/>
    <xf numFmtId="10" fontId="0" fillId="50" borderId="92" xfId="0" applyNumberFormat="1" applyFill="1" applyBorder="1" applyAlignment="1">
      <alignment horizontal="center"/>
    </xf>
    <xf numFmtId="0" fontId="161" fillId="0" borderId="92" xfId="0" applyFont="1" applyBorder="1" applyAlignment="1">
      <alignment horizontal="center"/>
    </xf>
    <xf numFmtId="10" fontId="0" fillId="50" borderId="32" xfId="0" applyNumberFormat="1" applyFill="1" applyBorder="1" applyAlignment="1">
      <alignment horizontal="center"/>
    </xf>
    <xf numFmtId="10" fontId="0" fillId="0" borderId="32" xfId="0" applyNumberFormat="1" applyBorder="1" applyAlignment="1">
      <alignment horizontal="center"/>
    </xf>
    <xf numFmtId="10" fontId="129" fillId="0" borderId="32" xfId="0" applyNumberFormat="1" applyFont="1" applyBorder="1" applyAlignment="1">
      <alignment horizontal="center"/>
    </xf>
    <xf numFmtId="10" fontId="129" fillId="50" borderId="81" xfId="0" applyNumberFormat="1" applyFont="1" applyFill="1" applyBorder="1" applyAlignment="1">
      <alignment horizontal="center"/>
    </xf>
    <xf numFmtId="10" fontId="129" fillId="50" borderId="32" xfId="0" applyNumberFormat="1" applyFont="1" applyFill="1" applyBorder="1" applyAlignment="1">
      <alignment horizontal="center"/>
    </xf>
    <xf numFmtId="10" fontId="0" fillId="50" borderId="92" xfId="1324" applyNumberFormat="1" applyFont="1" applyFill="1" applyBorder="1" applyAlignment="1">
      <alignment horizontal="center"/>
    </xf>
    <xf numFmtId="10" fontId="0" fillId="0" borderId="92" xfId="1324" applyNumberFormat="1" applyFont="1" applyBorder="1" applyAlignment="1">
      <alignment horizontal="center"/>
    </xf>
    <xf numFmtId="10" fontId="162" fillId="0" borderId="92" xfId="1324" applyNumberFormat="1" applyFont="1" applyBorder="1" applyAlignment="1">
      <alignment horizontal="center"/>
    </xf>
    <xf numFmtId="10" fontId="162" fillId="50" borderId="92" xfId="1324" applyNumberFormat="1" applyFont="1" applyFill="1" applyBorder="1" applyAlignment="1">
      <alignment horizontal="center"/>
    </xf>
    <xf numFmtId="10" fontId="0" fillId="0" borderId="92" xfId="0" applyNumberFormat="1" applyBorder="1" applyAlignment="1">
      <alignment horizontal="center"/>
    </xf>
    <xf numFmtId="10" fontId="129" fillId="0" borderId="92" xfId="0" applyNumberFormat="1" applyFont="1" applyBorder="1" applyAlignment="1">
      <alignment horizontal="center"/>
    </xf>
    <xf numFmtId="10" fontId="129" fillId="50" borderId="92" xfId="0" applyNumberFormat="1" applyFont="1" applyFill="1" applyBorder="1" applyAlignment="1">
      <alignment horizontal="center"/>
    </xf>
    <xf numFmtId="2" fontId="117" fillId="50" borderId="92" xfId="0" applyNumberFormat="1" applyFont="1" applyFill="1" applyBorder="1"/>
    <xf numFmtId="2" fontId="117" fillId="0" borderId="92" xfId="0" applyNumberFormat="1" applyFont="1" applyBorder="1"/>
    <xf numFmtId="2" fontId="118" fillId="0" borderId="92" xfId="0" applyNumberFormat="1" applyFont="1" applyBorder="1"/>
    <xf numFmtId="2" fontId="118" fillId="50" borderId="92" xfId="0" applyNumberFormat="1" applyFont="1" applyFill="1" applyBorder="1"/>
    <xf numFmtId="180" fontId="0" fillId="50" borderId="32" xfId="0" applyNumberFormat="1" applyFill="1" applyBorder="1" applyAlignment="1">
      <alignment horizontal="center"/>
    </xf>
    <xf numFmtId="43" fontId="0" fillId="0" borderId="0" xfId="0" applyNumberFormat="1"/>
    <xf numFmtId="49" fontId="82" fillId="13" borderId="0" xfId="0" applyNumberFormat="1" applyFont="1" applyFill="1" applyAlignment="1">
      <alignment horizontal="center"/>
    </xf>
    <xf numFmtId="0" fontId="1" fillId="56" borderId="0" xfId="1325" applyFont="1" applyFill="1"/>
    <xf numFmtId="0" fontId="1" fillId="54" borderId="0" xfId="1325" applyFont="1" applyFill="1"/>
    <xf numFmtId="0" fontId="1" fillId="0" borderId="0" xfId="1325" applyFont="1"/>
    <xf numFmtId="0" fontId="153" fillId="58" borderId="93" xfId="0" applyFont="1" applyFill="1" applyBorder="1" applyAlignment="1">
      <alignment vertical="center"/>
    </xf>
    <xf numFmtId="10" fontId="153" fillId="54" borderId="93" xfId="0" applyNumberFormat="1" applyFont="1" applyFill="1" applyBorder="1" applyAlignment="1">
      <alignment horizontal="center" vertical="center"/>
    </xf>
    <xf numFmtId="0" fontId="153" fillId="54" borderId="94" xfId="0" applyFont="1" applyFill="1" applyBorder="1" applyAlignment="1">
      <alignment horizontal="center" vertical="center"/>
    </xf>
    <xf numFmtId="0" fontId="154" fillId="64" borderId="93" xfId="0" applyFont="1" applyFill="1" applyBorder="1" applyAlignment="1">
      <alignment vertical="center"/>
    </xf>
    <xf numFmtId="10" fontId="153" fillId="54" borderId="98" xfId="0" applyNumberFormat="1" applyFont="1" applyFill="1" applyBorder="1" applyAlignment="1">
      <alignment horizontal="center" vertical="center"/>
    </xf>
    <xf numFmtId="10" fontId="153" fillId="54" borderId="79" xfId="0" applyNumberFormat="1" applyFont="1" applyFill="1" applyBorder="1" applyAlignment="1">
      <alignment horizontal="center" vertical="center"/>
    </xf>
    <xf numFmtId="10" fontId="153" fillId="54" borderId="99" xfId="0" applyNumberFormat="1" applyFont="1" applyFill="1" applyBorder="1" applyAlignment="1">
      <alignment horizontal="center" vertical="center"/>
    </xf>
    <xf numFmtId="0" fontId="128" fillId="55" borderId="76" xfId="0" applyFont="1" applyFill="1" applyBorder="1" applyAlignment="1">
      <alignment wrapText="1"/>
    </xf>
    <xf numFmtId="10" fontId="6" fillId="0" borderId="76" xfId="0" applyNumberFormat="1" applyFont="1" applyBorder="1" applyAlignment="1">
      <alignment horizontal="center"/>
    </xf>
    <xf numFmtId="0" fontId="153" fillId="58" borderId="100" xfId="0" applyFont="1" applyFill="1" applyBorder="1" applyAlignment="1">
      <alignment vertical="center"/>
    </xf>
    <xf numFmtId="10" fontId="153" fillId="54" borderId="100" xfId="0" applyNumberFormat="1" applyFont="1" applyFill="1" applyBorder="1" applyAlignment="1">
      <alignment horizontal="center" vertical="center"/>
    </xf>
    <xf numFmtId="10" fontId="152" fillId="54" borderId="104" xfId="0" applyNumberFormat="1" applyFont="1" applyFill="1" applyBorder="1" applyAlignment="1">
      <alignment horizontal="center" vertical="center"/>
    </xf>
    <xf numFmtId="10" fontId="152" fillId="54" borderId="97" xfId="0" applyNumberFormat="1" applyFont="1" applyFill="1" applyBorder="1" applyAlignment="1">
      <alignment horizontal="center" vertical="center"/>
    </xf>
    <xf numFmtId="0" fontId="152" fillId="54" borderId="105" xfId="0" applyFont="1" applyFill="1" applyBorder="1" applyAlignment="1">
      <alignment vertical="center"/>
    </xf>
    <xf numFmtId="0" fontId="152" fillId="54" borderId="99" xfId="0" applyFont="1" applyFill="1" applyBorder="1" applyAlignment="1">
      <alignment vertical="center"/>
    </xf>
    <xf numFmtId="0" fontId="153" fillId="54" borderId="99" xfId="0" applyFont="1" applyFill="1" applyBorder="1" applyAlignment="1">
      <alignment horizontal="center" vertical="center"/>
    </xf>
    <xf numFmtId="0" fontId="153" fillId="54" borderId="79" xfId="0" applyFont="1" applyFill="1" applyBorder="1" applyAlignment="1">
      <alignment horizontal="center" vertical="center"/>
    </xf>
    <xf numFmtId="0" fontId="152" fillId="54" borderId="106" xfId="0" applyFont="1" applyFill="1" applyBorder="1" applyAlignment="1">
      <alignment vertical="center"/>
    </xf>
    <xf numFmtId="0" fontId="152" fillId="54" borderId="99" xfId="0" applyFont="1" applyFill="1" applyBorder="1" applyAlignment="1">
      <alignment horizontal="center" vertical="center"/>
    </xf>
    <xf numFmtId="0" fontId="152" fillId="54" borderId="79" xfId="0" applyFont="1" applyFill="1" applyBorder="1" applyAlignment="1">
      <alignment horizontal="center" vertical="center"/>
    </xf>
    <xf numFmtId="0" fontId="153" fillId="62" borderId="99" xfId="0" applyFont="1" applyFill="1" applyBorder="1" applyAlignment="1">
      <alignment vertical="center"/>
    </xf>
    <xf numFmtId="0" fontId="153" fillId="62" borderId="106" xfId="0" applyFont="1" applyFill="1" applyBorder="1" applyAlignment="1">
      <alignment vertical="center"/>
    </xf>
    <xf numFmtId="0" fontId="153" fillId="62" borderId="107" xfId="0" applyFont="1" applyFill="1" applyBorder="1" applyAlignment="1">
      <alignment vertical="center"/>
    </xf>
    <xf numFmtId="2" fontId="153" fillId="54" borderId="99" xfId="0" applyNumberFormat="1" applyFont="1" applyFill="1" applyBorder="1" applyAlignment="1">
      <alignment horizontal="center" vertical="center"/>
    </xf>
    <xf numFmtId="2" fontId="153" fillId="54" borderId="79" xfId="0" applyNumberFormat="1" applyFont="1" applyFill="1" applyBorder="1" applyAlignment="1">
      <alignment horizontal="center" vertical="center"/>
    </xf>
    <xf numFmtId="0" fontId="153" fillId="62" borderId="108" xfId="0" applyFont="1" applyFill="1" applyBorder="1" applyAlignment="1">
      <alignment vertical="center"/>
    </xf>
    <xf numFmtId="0" fontId="152" fillId="62" borderId="104" xfId="0" applyFont="1" applyFill="1" applyBorder="1" applyAlignment="1">
      <alignment vertical="center"/>
    </xf>
    <xf numFmtId="10" fontId="152" fillId="54" borderId="79" xfId="0" applyNumberFormat="1" applyFont="1" applyFill="1" applyBorder="1" applyAlignment="1">
      <alignment horizontal="center" vertical="center"/>
    </xf>
    <xf numFmtId="0" fontId="152" fillId="54" borderId="109" xfId="0" applyFont="1" applyFill="1" applyBorder="1" applyAlignment="1">
      <alignment vertical="center"/>
    </xf>
    <xf numFmtId="0" fontId="153" fillId="62" borderId="109" xfId="0" applyFont="1" applyFill="1" applyBorder="1" applyAlignment="1">
      <alignment vertical="center"/>
    </xf>
    <xf numFmtId="0" fontId="153" fillId="62" borderId="110" xfId="0" applyFont="1" applyFill="1" applyBorder="1" applyAlignment="1">
      <alignment vertical="center"/>
    </xf>
    <xf numFmtId="10" fontId="153" fillId="54" borderId="98" xfId="83" applyNumberFormat="1" applyFont="1" applyFill="1" applyBorder="1" applyAlignment="1">
      <alignment horizontal="center" vertical="center"/>
    </xf>
    <xf numFmtId="10" fontId="153" fillId="54" borderId="78" xfId="83" applyNumberFormat="1" applyFont="1" applyFill="1" applyBorder="1" applyAlignment="1">
      <alignment horizontal="center" vertical="center"/>
    </xf>
    <xf numFmtId="0" fontId="152" fillId="55" borderId="0" xfId="0" applyFont="1" applyFill="1" applyAlignment="1">
      <alignment vertical="center"/>
    </xf>
    <xf numFmtId="0" fontId="152" fillId="55" borderId="112" xfId="0" applyFont="1" applyFill="1" applyBorder="1" applyAlignment="1">
      <alignment horizontal="center" vertical="center"/>
    </xf>
    <xf numFmtId="0" fontId="153" fillId="54" borderId="113" xfId="0" applyFont="1" applyFill="1" applyBorder="1" applyAlignment="1">
      <alignment vertical="center"/>
    </xf>
    <xf numFmtId="0" fontId="153" fillId="54" borderId="106" xfId="0" applyFont="1" applyFill="1" applyBorder="1" applyAlignment="1">
      <alignment vertical="center"/>
    </xf>
    <xf numFmtId="0" fontId="153" fillId="62" borderId="98" xfId="0" applyFont="1" applyFill="1" applyBorder="1" applyAlignment="1">
      <alignment vertical="center"/>
    </xf>
    <xf numFmtId="0" fontId="152" fillId="54" borderId="0" xfId="0" applyFont="1" applyFill="1" applyAlignment="1">
      <alignment horizontal="center" vertical="center"/>
    </xf>
    <xf numFmtId="0" fontId="152" fillId="54" borderId="112" xfId="0" applyFont="1" applyFill="1" applyBorder="1" applyAlignment="1">
      <alignment horizontal="center" vertical="center"/>
    </xf>
    <xf numFmtId="0" fontId="152" fillId="54" borderId="114" xfId="0" applyFont="1" applyFill="1" applyBorder="1" applyAlignment="1">
      <alignment horizontal="center" vertical="center"/>
    </xf>
    <xf numFmtId="0" fontId="152" fillId="54" borderId="113" xfId="0" applyFont="1" applyFill="1" applyBorder="1" applyAlignment="1">
      <alignment vertical="center"/>
    </xf>
    <xf numFmtId="0" fontId="153" fillId="54" borderId="93" xfId="0" applyFont="1" applyFill="1" applyBorder="1" applyAlignment="1">
      <alignment horizontal="center" vertical="center"/>
    </xf>
    <xf numFmtId="0" fontId="153" fillId="58" borderId="106" xfId="0" applyFont="1" applyFill="1" applyBorder="1" applyAlignment="1">
      <alignment vertical="center"/>
    </xf>
    <xf numFmtId="0" fontId="153" fillId="58" borderId="95" xfId="0" applyFont="1" applyFill="1" applyBorder="1" applyAlignment="1">
      <alignment vertical="center"/>
    </xf>
    <xf numFmtId="0" fontId="153" fillId="58" borderId="115" xfId="0" applyFont="1" applyFill="1" applyBorder="1" applyAlignment="1">
      <alignment vertical="center"/>
    </xf>
    <xf numFmtId="0" fontId="152" fillId="77" borderId="113" xfId="0" applyFont="1" applyFill="1" applyBorder="1" applyAlignment="1">
      <alignment vertical="center"/>
    </xf>
    <xf numFmtId="0" fontId="153" fillId="78" borderId="106" xfId="0" applyFont="1" applyFill="1" applyBorder="1" applyAlignment="1">
      <alignment vertical="center"/>
    </xf>
    <xf numFmtId="0" fontId="153" fillId="56" borderId="106" xfId="0" applyFont="1" applyFill="1" applyBorder="1" applyAlignment="1">
      <alignment vertical="center"/>
    </xf>
    <xf numFmtId="0" fontId="153" fillId="56" borderId="115" xfId="0" applyFont="1" applyFill="1" applyBorder="1" applyAlignment="1">
      <alignment vertical="center"/>
    </xf>
    <xf numFmtId="0" fontId="152" fillId="54" borderId="103" xfId="0" applyFont="1" applyFill="1" applyBorder="1" applyAlignment="1">
      <alignment horizontal="center" vertical="center"/>
    </xf>
    <xf numFmtId="0" fontId="152" fillId="54" borderId="116" xfId="0" applyFont="1" applyFill="1" applyBorder="1" applyAlignment="1">
      <alignment horizontal="center" vertical="center"/>
    </xf>
    <xf numFmtId="0" fontId="152" fillId="54" borderId="117" xfId="0" applyFont="1" applyFill="1" applyBorder="1" applyAlignment="1">
      <alignment horizontal="center" vertical="center"/>
    </xf>
    <xf numFmtId="2" fontId="153" fillId="54" borderId="93" xfId="0" applyNumberFormat="1" applyFont="1" applyFill="1" applyBorder="1" applyAlignment="1">
      <alignment horizontal="center" vertical="center"/>
    </xf>
    <xf numFmtId="10" fontId="152" fillId="54" borderId="118" xfId="0" applyNumberFormat="1" applyFont="1" applyFill="1" applyBorder="1" applyAlignment="1">
      <alignment horizontal="center" vertical="center"/>
    </xf>
    <xf numFmtId="10" fontId="153" fillId="54" borderId="77" xfId="83" applyNumberFormat="1" applyFont="1" applyFill="1" applyBorder="1" applyAlignment="1">
      <alignment horizontal="center" vertical="center"/>
    </xf>
    <xf numFmtId="14" fontId="153" fillId="54" borderId="93" xfId="0" applyNumberFormat="1" applyFont="1" applyFill="1" applyBorder="1" applyAlignment="1">
      <alignment horizontal="center" vertical="center"/>
    </xf>
    <xf numFmtId="0" fontId="153" fillId="58" borderId="96" xfId="0" applyFont="1" applyFill="1" applyBorder="1" applyAlignment="1">
      <alignment vertical="center"/>
    </xf>
    <xf numFmtId="0" fontId="153" fillId="54" borderId="119" xfId="0" applyFont="1" applyFill="1" applyBorder="1" applyAlignment="1">
      <alignment horizontal="center" vertical="center"/>
    </xf>
    <xf numFmtId="0" fontId="153" fillId="56" borderId="101" xfId="0" applyFont="1" applyFill="1" applyBorder="1" applyAlignment="1">
      <alignment vertical="center"/>
    </xf>
    <xf numFmtId="10" fontId="153" fillId="54" borderId="101" xfId="0" applyNumberFormat="1" applyFont="1" applyFill="1" applyBorder="1" applyAlignment="1">
      <alignment horizontal="center" vertical="center"/>
    </xf>
    <xf numFmtId="0" fontId="153" fillId="78" borderId="101" xfId="0" applyFont="1" applyFill="1" applyBorder="1" applyAlignment="1">
      <alignment vertical="center"/>
    </xf>
    <xf numFmtId="2" fontId="153" fillId="54" borderId="101" xfId="0" applyNumberFormat="1" applyFont="1" applyFill="1" applyBorder="1" applyAlignment="1">
      <alignment horizontal="center" vertical="center"/>
    </xf>
    <xf numFmtId="0" fontId="152" fillId="54" borderId="0" xfId="0" applyFont="1" applyFill="1" applyAlignment="1">
      <alignment horizontal="left" vertical="center"/>
    </xf>
    <xf numFmtId="0" fontId="153" fillId="54" borderId="112" xfId="0" applyFont="1" applyFill="1" applyBorder="1" applyAlignment="1">
      <alignment horizontal="left" vertical="center"/>
    </xf>
    <xf numFmtId="0" fontId="153" fillId="77" borderId="119" xfId="0" applyFont="1" applyFill="1" applyBorder="1" applyAlignment="1">
      <alignment vertical="center"/>
    </xf>
    <xf numFmtId="0" fontId="153" fillId="63" borderId="101" xfId="0" applyFont="1" applyFill="1" applyBorder="1" applyAlignment="1">
      <alignment vertical="center"/>
    </xf>
    <xf numFmtId="0" fontId="153" fillId="54" borderId="112" xfId="0" applyFont="1" applyFill="1" applyBorder="1" applyAlignment="1">
      <alignment horizontal="center" vertical="center"/>
    </xf>
    <xf numFmtId="0" fontId="153" fillId="54" borderId="119" xfId="0" applyFont="1" applyFill="1" applyBorder="1" applyAlignment="1">
      <alignment vertical="center"/>
    </xf>
    <xf numFmtId="0" fontId="153" fillId="55" borderId="112" xfId="0" applyFont="1" applyFill="1" applyBorder="1" applyAlignment="1">
      <alignment vertical="center"/>
    </xf>
    <xf numFmtId="0" fontId="153" fillId="77" borderId="95" xfId="0" applyFont="1" applyFill="1" applyBorder="1" applyAlignment="1">
      <alignment vertical="center"/>
    </xf>
    <xf numFmtId="0" fontId="153" fillId="54" borderId="95" xfId="0" applyFont="1" applyFill="1" applyBorder="1" applyAlignment="1">
      <alignment horizontal="center" vertical="center"/>
    </xf>
    <xf numFmtId="0" fontId="153" fillId="54" borderId="95" xfId="0" applyFont="1" applyFill="1" applyBorder="1" applyAlignment="1">
      <alignment vertical="center"/>
    </xf>
    <xf numFmtId="0" fontId="153" fillId="54" borderId="116" xfId="0" applyFont="1" applyFill="1" applyBorder="1" applyAlignment="1">
      <alignment horizontal="center" vertical="center"/>
    </xf>
    <xf numFmtId="0" fontId="153" fillId="64" borderId="96" xfId="0" applyFont="1" applyFill="1" applyBorder="1" applyAlignment="1">
      <alignment vertical="center"/>
    </xf>
    <xf numFmtId="0" fontId="153" fillId="58" borderId="102" xfId="0" applyFont="1" applyFill="1" applyBorder="1" applyAlignment="1">
      <alignment vertical="center"/>
    </xf>
    <xf numFmtId="0" fontId="153" fillId="54" borderId="116" xfId="0" applyFont="1" applyFill="1" applyBorder="1" applyAlignment="1">
      <alignment vertical="center"/>
    </xf>
    <xf numFmtId="0" fontId="153" fillId="54" borderId="99" xfId="0" applyFont="1" applyFill="1" applyBorder="1" applyAlignment="1">
      <alignment vertical="center"/>
    </xf>
    <xf numFmtId="10" fontId="153" fillId="54" borderId="104" xfId="0" applyNumberFormat="1" applyFont="1" applyFill="1" applyBorder="1" applyAlignment="1">
      <alignment horizontal="center" vertical="center"/>
    </xf>
    <xf numFmtId="0" fontId="153" fillId="65" borderId="98" xfId="0" applyFont="1" applyFill="1" applyBorder="1" applyAlignment="1">
      <alignment vertical="center"/>
    </xf>
    <xf numFmtId="0" fontId="153" fillId="54" borderId="107" xfId="0" applyFont="1" applyFill="1" applyBorder="1" applyAlignment="1">
      <alignment vertical="center"/>
    </xf>
    <xf numFmtId="0" fontId="153" fillId="65" borderId="111" xfId="0" applyFont="1" applyFill="1" applyBorder="1" applyAlignment="1">
      <alignment vertical="center"/>
    </xf>
    <xf numFmtId="0" fontId="153" fillId="65" borderId="99" xfId="0" applyFont="1" applyFill="1" applyBorder="1" applyAlignment="1">
      <alignment vertical="center"/>
    </xf>
    <xf numFmtId="0" fontId="153" fillId="54" borderId="80" xfId="0" applyFont="1" applyFill="1" applyBorder="1" applyAlignment="1">
      <alignment vertical="center"/>
    </xf>
    <xf numFmtId="0" fontId="152" fillId="54" borderId="80" xfId="0" applyFont="1" applyFill="1" applyBorder="1" applyAlignment="1">
      <alignment horizontal="center" vertical="center"/>
    </xf>
    <xf numFmtId="0" fontId="153" fillId="59" borderId="120" xfId="0" applyFont="1" applyFill="1" applyBorder="1" applyAlignment="1">
      <alignment vertical="center"/>
    </xf>
    <xf numFmtId="10" fontId="153" fillId="54" borderId="120" xfId="0" applyNumberFormat="1" applyFont="1" applyFill="1" applyBorder="1" applyAlignment="1">
      <alignment horizontal="center" vertical="center"/>
    </xf>
    <xf numFmtId="14" fontId="1" fillId="49" borderId="0" xfId="1325" applyNumberFormat="1" applyFont="1" applyFill="1" applyAlignment="1">
      <alignment horizontal="right"/>
    </xf>
    <xf numFmtId="0" fontId="153" fillId="79" borderId="106" xfId="0" applyFont="1" applyFill="1" applyBorder="1" applyAlignment="1">
      <alignment vertical="center"/>
    </xf>
    <xf numFmtId="14" fontId="115" fillId="0" borderId="0" xfId="1333" applyNumberFormat="1"/>
    <xf numFmtId="10" fontId="115" fillId="0" borderId="0" xfId="1335" applyNumberFormat="1" applyFont="1" applyBorder="1"/>
    <xf numFmtId="10" fontId="115" fillId="0" borderId="92" xfId="1333" applyNumberFormat="1" applyBorder="1"/>
    <xf numFmtId="10" fontId="151" fillId="62" borderId="0" xfId="0" applyNumberFormat="1" applyFont="1" applyFill="1" applyAlignment="1">
      <alignment horizontal="center"/>
    </xf>
    <xf numFmtId="0" fontId="148" fillId="56" borderId="25" xfId="0" applyFont="1" applyFill="1" applyBorder="1" applyAlignment="1">
      <alignment horizontal="center"/>
    </xf>
    <xf numFmtId="0" fontId="148" fillId="56" borderId="73" xfId="0" applyFont="1" applyFill="1" applyBorder="1" applyAlignment="1">
      <alignment horizontal="center"/>
    </xf>
    <xf numFmtId="0" fontId="148" fillId="56" borderId="74" xfId="0" applyFont="1" applyFill="1" applyBorder="1" applyAlignment="1">
      <alignment horizontal="center"/>
    </xf>
    <xf numFmtId="0" fontId="148" fillId="58" borderId="25" xfId="0" applyFont="1" applyFill="1" applyBorder="1" applyAlignment="1">
      <alignment horizontal="center"/>
    </xf>
    <xf numFmtId="0" fontId="148" fillId="58" borderId="73" xfId="0" applyFont="1" applyFill="1" applyBorder="1" applyAlignment="1">
      <alignment horizontal="center"/>
    </xf>
    <xf numFmtId="0" fontId="148" fillId="58" borderId="74" xfId="0" applyFont="1" applyFill="1" applyBorder="1" applyAlignment="1">
      <alignment horizontal="center"/>
    </xf>
    <xf numFmtId="0" fontId="148" fillId="62" borderId="25" xfId="0" applyFont="1" applyFill="1" applyBorder="1" applyAlignment="1">
      <alignment horizontal="center"/>
    </xf>
    <xf numFmtId="0" fontId="148" fillId="62" borderId="73" xfId="0" applyFont="1" applyFill="1" applyBorder="1" applyAlignment="1">
      <alignment horizontal="center"/>
    </xf>
    <xf numFmtId="0" fontId="148" fillId="62" borderId="74" xfId="0" applyFont="1" applyFill="1" applyBorder="1" applyAlignment="1">
      <alignment horizontal="center"/>
    </xf>
    <xf numFmtId="0" fontId="80" fillId="56" borderId="0" xfId="0" applyFont="1" applyFill="1" applyAlignment="1">
      <alignment horizontal="center"/>
    </xf>
    <xf numFmtId="0" fontId="80" fillId="58" borderId="0" xfId="0" applyFont="1" applyFill="1" applyAlignment="1">
      <alignment horizontal="center"/>
    </xf>
    <xf numFmtId="0" fontId="13" fillId="56" borderId="48" xfId="1329" applyFill="1" applyBorder="1" applyAlignment="1">
      <alignment horizontal="center"/>
    </xf>
    <xf numFmtId="0" fontId="13" fillId="56" borderId="49" xfId="1329" applyFill="1" applyBorder="1" applyAlignment="1">
      <alignment horizontal="center"/>
    </xf>
    <xf numFmtId="0" fontId="130" fillId="55" borderId="33" xfId="1329" applyFont="1" applyFill="1" applyBorder="1" applyAlignment="1">
      <alignment horizontal="center" vertical="center"/>
    </xf>
    <xf numFmtId="0" fontId="130" fillId="55" borderId="37" xfId="1329" applyFont="1" applyFill="1" applyBorder="1" applyAlignment="1">
      <alignment horizontal="center" vertical="center"/>
    </xf>
    <xf numFmtId="0" fontId="130" fillId="55" borderId="52" xfId="1329" applyFont="1" applyFill="1" applyBorder="1" applyAlignment="1">
      <alignment horizontal="center" vertical="center"/>
    </xf>
    <xf numFmtId="0" fontId="130" fillId="55" borderId="43" xfId="1329" applyFont="1" applyFill="1" applyBorder="1" applyAlignment="1">
      <alignment horizontal="center" vertical="center"/>
    </xf>
    <xf numFmtId="0" fontId="13" fillId="56" borderId="54" xfId="1329" applyFill="1" applyBorder="1" applyAlignment="1">
      <alignment horizontal="center"/>
    </xf>
    <xf numFmtId="0" fontId="13" fillId="56" borderId="45" xfId="1329" applyFill="1" applyBorder="1" applyAlignment="1">
      <alignment horizontal="center"/>
    </xf>
    <xf numFmtId="0" fontId="80" fillId="56" borderId="25" xfId="0" applyFont="1" applyFill="1" applyBorder="1" applyAlignment="1">
      <alignment horizontal="center"/>
    </xf>
    <xf numFmtId="0" fontId="80" fillId="56" borderId="73" xfId="0" applyFont="1" applyFill="1" applyBorder="1" applyAlignment="1">
      <alignment horizontal="center"/>
    </xf>
    <xf numFmtId="0" fontId="80" fillId="56" borderId="74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96" fillId="12" borderId="0" xfId="0" applyFont="1" applyFill="1" applyAlignment="1">
      <alignment horizontal="center"/>
    </xf>
    <xf numFmtId="0" fontId="134" fillId="55" borderId="70" xfId="1329" applyFont="1" applyFill="1" applyBorder="1" applyAlignment="1">
      <alignment horizontal="center" vertical="center"/>
    </xf>
    <xf numFmtId="0" fontId="134" fillId="55" borderId="71" xfId="1329" applyFont="1" applyFill="1" applyBorder="1" applyAlignment="1">
      <alignment horizontal="center" vertical="center"/>
    </xf>
    <xf numFmtId="0" fontId="134" fillId="55" borderId="59" xfId="1329" applyFont="1" applyFill="1" applyBorder="1" applyAlignment="1">
      <alignment horizontal="center" vertical="center"/>
    </xf>
    <xf numFmtId="0" fontId="134" fillId="55" borderId="61" xfId="1329" applyFont="1" applyFill="1" applyBorder="1" applyAlignment="1">
      <alignment horizontal="center" vertical="center"/>
    </xf>
  </cellXfs>
  <cellStyles count="5274">
    <cellStyle name="20% - Accent1 10" xfId="206" xr:uid="{F7C9DC9E-60BE-40C1-8C73-96E50262F5EC}"/>
    <cellStyle name="20% - Accent1 10 2" xfId="1528" xr:uid="{987CB737-2EDE-42B5-BFB6-0A02B6575299}"/>
    <cellStyle name="20% - Accent1 10 2 2" xfId="4148" xr:uid="{AFA70E7B-B55A-42E5-9FF6-B8ACD78911C8}"/>
    <cellStyle name="20% - Accent1 10 3" xfId="2836" xr:uid="{232C876B-081F-47D6-873C-A95B43E8AC1B}"/>
    <cellStyle name="20% - Accent1 11" xfId="226" xr:uid="{463C051A-188C-40F2-A542-960AB193D777}"/>
    <cellStyle name="20% - Accent1 11 2" xfId="1548" xr:uid="{A64873D5-08CC-4AC4-9F0B-3A06F6EC4E75}"/>
    <cellStyle name="20% - Accent1 11 2 2" xfId="4168" xr:uid="{7A154C4B-3AEE-405D-9648-EE92752103EA}"/>
    <cellStyle name="20% - Accent1 11 3" xfId="2856" xr:uid="{56B80643-0E59-46AD-BD8A-F8DAA1F9BB41}"/>
    <cellStyle name="20% - Accent1 12" xfId="246" xr:uid="{9B74F16E-0C21-45B6-B61A-954543E4B6A2}"/>
    <cellStyle name="20% - Accent1 12 2" xfId="1568" xr:uid="{80F4D9E7-694A-4072-9B57-886AC44520C3}"/>
    <cellStyle name="20% - Accent1 12 2 2" xfId="4188" xr:uid="{ACFBC2A5-CCAC-4F1A-9D8D-D733CE72B94A}"/>
    <cellStyle name="20% - Accent1 12 3" xfId="2876" xr:uid="{42FEC994-87B2-441F-9D18-F4E7A8448DD4}"/>
    <cellStyle name="20% - Accent1 13" xfId="266" xr:uid="{FD3916E7-1A08-41FC-8A32-3FC03D4B5103}"/>
    <cellStyle name="20% - Accent1 13 2" xfId="1588" xr:uid="{5EE5DFEB-0796-499D-A79B-97576150B374}"/>
    <cellStyle name="20% - Accent1 13 2 2" xfId="4208" xr:uid="{8A28CE6A-BF92-40E4-8047-496AFD8468CC}"/>
    <cellStyle name="20% - Accent1 13 3" xfId="2896" xr:uid="{AD2ABEA8-8CB6-4DF4-93B8-AD57D34A73A3}"/>
    <cellStyle name="20% - Accent1 14" xfId="286" xr:uid="{493491F6-61C7-4F3F-829C-1A0040FD12AD}"/>
    <cellStyle name="20% - Accent1 14 2" xfId="1608" xr:uid="{5271210D-1FEF-47E2-976B-B42C31315F24}"/>
    <cellStyle name="20% - Accent1 14 2 2" xfId="4228" xr:uid="{CE61C51D-2D5A-4F73-A54F-D403993D7026}"/>
    <cellStyle name="20% - Accent1 14 3" xfId="2916" xr:uid="{EBF8941A-B888-432E-BBD7-CCB69F873F83}"/>
    <cellStyle name="20% - Accent1 15" xfId="306" xr:uid="{29DBA91F-4AE3-4C73-AB95-C5C8C9558328}"/>
    <cellStyle name="20% - Accent1 15 2" xfId="1628" xr:uid="{31354A32-6F3D-4FCA-8AD0-63278BB085AA}"/>
    <cellStyle name="20% - Accent1 15 2 2" xfId="4248" xr:uid="{5A209460-D9CB-4E8E-8B2A-C6B63A158C6E}"/>
    <cellStyle name="20% - Accent1 15 3" xfId="2936" xr:uid="{86529482-222F-49AB-AAFA-8314A773981C}"/>
    <cellStyle name="20% - Accent1 16" xfId="326" xr:uid="{F756B5B0-DB85-4BEF-9028-CF7ABCA341C6}"/>
    <cellStyle name="20% - Accent1 16 2" xfId="1648" xr:uid="{B27AD6B2-769A-42FB-9755-459B4A02AB98}"/>
    <cellStyle name="20% - Accent1 16 2 2" xfId="4268" xr:uid="{5F39BC99-1B5C-4EFC-8642-8FAED7690E58}"/>
    <cellStyle name="20% - Accent1 16 3" xfId="2956" xr:uid="{C111387B-9E1A-4034-B0CB-747E8242CAE0}"/>
    <cellStyle name="20% - Accent1 17" xfId="346" xr:uid="{6D61A132-3F1D-49DF-9A57-F8CA6A4677B1}"/>
    <cellStyle name="20% - Accent1 17 2" xfId="1668" xr:uid="{1691E62E-AF1D-4F5B-BE8D-3779D62785F3}"/>
    <cellStyle name="20% - Accent1 17 2 2" xfId="4288" xr:uid="{51CB9030-71BF-4CFC-ACC4-A910D2106B9E}"/>
    <cellStyle name="20% - Accent1 17 3" xfId="2976" xr:uid="{02B44C59-1EDF-45A5-9847-90E02DD9B558}"/>
    <cellStyle name="20% - Accent1 18" xfId="366" xr:uid="{C2AB0186-5ECA-4E0C-9C1B-F3F08B9EE968}"/>
    <cellStyle name="20% - Accent1 18 2" xfId="1688" xr:uid="{0BFBBD0D-32A1-4FD1-B6F8-FD0EB83A5643}"/>
    <cellStyle name="20% - Accent1 18 2 2" xfId="4308" xr:uid="{6F05FEEF-B1B0-4D1C-926D-F8A7D2D3A893}"/>
    <cellStyle name="20% - Accent1 18 3" xfId="2996" xr:uid="{99CE2A61-7546-4B27-8E16-6C0918A1BA1E}"/>
    <cellStyle name="20% - Accent1 19" xfId="386" xr:uid="{F8A34A98-58A5-41CB-9D5E-93D3B4C99D45}"/>
    <cellStyle name="20% - Accent1 19 2" xfId="1708" xr:uid="{6EC6F20F-4B66-4B7F-9941-BF34DC56318C}"/>
    <cellStyle name="20% - Accent1 19 2 2" xfId="4328" xr:uid="{02695AA1-592B-4FB7-B220-376EFA2E06A2}"/>
    <cellStyle name="20% - Accent1 19 3" xfId="3016" xr:uid="{216F07AF-298E-4185-B7E1-C4FDB57E2E1C}"/>
    <cellStyle name="20% - Accent1 2" xfId="45" xr:uid="{9326969C-13E7-4C74-B9B4-D72BA57FE4D1}"/>
    <cellStyle name="20% - Accent1 2 2" xfId="1367" xr:uid="{9A15672E-7628-4907-93C9-3677605DD864}"/>
    <cellStyle name="20% - Accent1 2 2 2" xfId="3988" xr:uid="{8F1AD31B-625F-42A4-8992-FAD9754A9D0E}"/>
    <cellStyle name="20% - Accent1 2 3" xfId="2676" xr:uid="{CE7A81E2-0ACA-46B8-B1F5-413B63C973D8}"/>
    <cellStyle name="20% - Accent1 20" xfId="406" xr:uid="{B09450F1-C6BA-4399-94EF-650456F885D7}"/>
    <cellStyle name="20% - Accent1 20 2" xfId="1728" xr:uid="{D56C735F-E303-4AEB-8E1D-6CEE3D93C50A}"/>
    <cellStyle name="20% - Accent1 20 2 2" xfId="4348" xr:uid="{BD5F34EB-97B0-4D51-A989-C196D7D99E30}"/>
    <cellStyle name="20% - Accent1 20 3" xfId="3036" xr:uid="{49FDE07B-23EA-43E9-8049-248CC42EE764}"/>
    <cellStyle name="20% - Accent1 21" xfId="426" xr:uid="{F7F09A45-A1A8-43DC-8ADD-0764365BA9DA}"/>
    <cellStyle name="20% - Accent1 21 2" xfId="1748" xr:uid="{61EB6359-501D-4CBE-AF54-7CD2F3A5E1CD}"/>
    <cellStyle name="20% - Accent1 21 2 2" xfId="4368" xr:uid="{F70D0DE7-62FE-4474-A7D4-1D8A9AC2A023}"/>
    <cellStyle name="20% - Accent1 21 3" xfId="3056" xr:uid="{8EAE4FDE-E446-4B11-A4AC-8C1DD7D4831C}"/>
    <cellStyle name="20% - Accent1 22" xfId="446" xr:uid="{30A6F686-8EB0-4010-9D3A-85D98953121F}"/>
    <cellStyle name="20% - Accent1 22 2" xfId="1768" xr:uid="{AB7B9AB9-C889-4446-845B-CF636AE7635E}"/>
    <cellStyle name="20% - Accent1 22 2 2" xfId="4388" xr:uid="{94C98D79-5C32-45CC-BA45-809F8EA27148}"/>
    <cellStyle name="20% - Accent1 22 3" xfId="3076" xr:uid="{24D8D22C-0DD1-49FF-A7AB-BBDC9D4A61C2}"/>
    <cellStyle name="20% - Accent1 23" xfId="466" xr:uid="{DDA2A249-0AA6-40B1-96D1-816F4715C251}"/>
    <cellStyle name="20% - Accent1 23 2" xfId="1788" xr:uid="{4C0B07B6-98B9-4CE5-BFF5-86A0473AB44E}"/>
    <cellStyle name="20% - Accent1 23 2 2" xfId="4408" xr:uid="{1F558E92-086A-44F1-A161-08A0FF94B2AB}"/>
    <cellStyle name="20% - Accent1 23 3" xfId="3096" xr:uid="{7EDF2C65-5AFA-4429-AF70-58C2B78484E2}"/>
    <cellStyle name="20% - Accent1 24" xfId="486" xr:uid="{DA9B04CA-D9BF-4D1B-BE8A-D35899A67BF2}"/>
    <cellStyle name="20% - Accent1 24 2" xfId="1808" xr:uid="{1E805668-F6FE-4B90-980C-F536BA3CE8C4}"/>
    <cellStyle name="20% - Accent1 24 2 2" xfId="4428" xr:uid="{A02D6B87-3BA7-4D64-8AEF-FCC55ADFE0DB}"/>
    <cellStyle name="20% - Accent1 24 3" xfId="3116" xr:uid="{4B6D032C-990C-4026-AA42-4A51737C38C8}"/>
    <cellStyle name="20% - Accent1 25" xfId="506" xr:uid="{61E56E39-0BE9-4C03-87FD-4C78742259B0}"/>
    <cellStyle name="20% - Accent1 25 2" xfId="1828" xr:uid="{A6F17DAA-009A-4F45-AD98-CEB2091B15C6}"/>
    <cellStyle name="20% - Accent1 25 2 2" xfId="4448" xr:uid="{48AC2A97-C73D-4EF2-A218-EBAAAC145D36}"/>
    <cellStyle name="20% - Accent1 25 3" xfId="3136" xr:uid="{F091F01A-9438-435F-80B1-5EF284D3237B}"/>
    <cellStyle name="20% - Accent1 26" xfId="526" xr:uid="{F77DC349-7365-421A-BBE5-9227392F1E3C}"/>
    <cellStyle name="20% - Accent1 26 2" xfId="1848" xr:uid="{68F48363-3479-46C4-A115-9E99616798E4}"/>
    <cellStyle name="20% - Accent1 26 2 2" xfId="4468" xr:uid="{B64FC958-22F5-418E-ADA2-4B584DFE9FB5}"/>
    <cellStyle name="20% - Accent1 26 3" xfId="3156" xr:uid="{20AFFD58-E33D-40B6-930B-EEF562C23B6A}"/>
    <cellStyle name="20% - Accent1 27" xfId="546" xr:uid="{D597ED3D-FE03-4DBD-AAF1-B2FE69036878}"/>
    <cellStyle name="20% - Accent1 27 2" xfId="1868" xr:uid="{4FA8CD20-C786-4EFB-9AC5-F780D6B44580}"/>
    <cellStyle name="20% - Accent1 27 2 2" xfId="4488" xr:uid="{F9464E97-A1CD-4094-A4C0-8166EEF7883E}"/>
    <cellStyle name="20% - Accent1 27 3" xfId="3176" xr:uid="{351A96DB-3FF0-44D9-9B13-A0D3CE0A49D5}"/>
    <cellStyle name="20% - Accent1 28" xfId="1046" xr:uid="{9B6A9FB2-0076-456A-A958-25414836B1F7}"/>
    <cellStyle name="20% - Accent1 28 2" xfId="2368" xr:uid="{4516A5BA-E5ED-4351-A5DD-B691AC4D4BE3}"/>
    <cellStyle name="20% - Accent1 28 2 2" xfId="4988" xr:uid="{CB81A229-3C3F-42C4-BBBD-847690AA7495}"/>
    <cellStyle name="20% - Accent1 28 3" xfId="3676" xr:uid="{C0252E30-3E53-456F-B070-1329103965AF}"/>
    <cellStyle name="20% - Accent1 29" xfId="1066" xr:uid="{8092F2FF-4627-4088-8705-CFED75F99ADC}"/>
    <cellStyle name="20% - Accent1 29 2" xfId="2388" xr:uid="{8ED279E4-AA57-4B70-8F8E-281F759123CB}"/>
    <cellStyle name="20% - Accent1 29 2 2" xfId="5008" xr:uid="{2267EEB5-FD1F-4F91-86BD-2B4319FB5A28}"/>
    <cellStyle name="20% - Accent1 29 3" xfId="3696" xr:uid="{78A315EB-8A23-43CA-9941-301967BD9299}"/>
    <cellStyle name="20% - Accent1 3" xfId="65" xr:uid="{620C57B9-49CD-4769-B6AA-8D5B826C05B9}"/>
    <cellStyle name="20% - Accent1 3 2" xfId="1387" xr:uid="{1B816173-2341-45C3-A11F-B38F85122973}"/>
    <cellStyle name="20% - Accent1 3 2 2" xfId="4008" xr:uid="{5F2DBF8F-49EC-438F-A9E5-A581AD0C5510}"/>
    <cellStyle name="20% - Accent1 3 3" xfId="2696" xr:uid="{34215E35-ADAF-4A80-9956-38B9057DCABE}"/>
    <cellStyle name="20% - Accent1 30" xfId="1086" xr:uid="{7985F4DB-E469-4252-B4CD-DE9B3230F4BF}"/>
    <cellStyle name="20% - Accent1 30 2" xfId="2408" xr:uid="{6CA66CE5-BDB2-4B5B-9478-A7D450CB0E50}"/>
    <cellStyle name="20% - Accent1 30 2 2" xfId="5028" xr:uid="{B6297D78-32DB-4856-82D0-08715397DE50}"/>
    <cellStyle name="20% - Accent1 30 3" xfId="3716" xr:uid="{621EFD16-A777-47E3-97DA-5CA8FE6E5CC8}"/>
    <cellStyle name="20% - Accent1 31" xfId="1106" xr:uid="{B42FA985-C773-4B29-AB05-97AAEECE030A}"/>
    <cellStyle name="20% - Accent1 31 2" xfId="2428" xr:uid="{033C0BCF-FC87-461E-B7B1-7E9C7366BDFD}"/>
    <cellStyle name="20% - Accent1 31 2 2" xfId="5048" xr:uid="{B07FC7B1-9C8E-4A1D-A6EF-4F6F688E3220}"/>
    <cellStyle name="20% - Accent1 31 3" xfId="3736" xr:uid="{66260024-FF71-43C7-82A5-24D1DCE407BA}"/>
    <cellStyle name="20% - Accent1 4" xfId="86" xr:uid="{886AF8A2-9E9E-4C7E-9605-9CA150935F24}"/>
    <cellStyle name="20% - Accent1 4 2" xfId="1408" xr:uid="{588F65D2-43C7-4C92-A6F4-8C97CBC1A4B5}"/>
    <cellStyle name="20% - Accent1 4 2 2" xfId="4028" xr:uid="{4BCA50BC-78F1-4D67-8BF4-6335C5271E79}"/>
    <cellStyle name="20% - Accent1 4 3" xfId="2716" xr:uid="{B4E75FA0-1011-4326-95B8-09528C34D650}"/>
    <cellStyle name="20% - Accent1 5" xfId="106" xr:uid="{FA705C7B-8389-4A20-B9AF-989D64500843}"/>
    <cellStyle name="20% - Accent1 5 2" xfId="1428" xr:uid="{E10EB7AC-5446-43E2-A22A-55A9AFDF0DD3}"/>
    <cellStyle name="20% - Accent1 5 2 2" xfId="4048" xr:uid="{56E04849-C0D5-4450-873E-D95E93229430}"/>
    <cellStyle name="20% - Accent1 5 3" xfId="2736" xr:uid="{86A63EBD-F0C1-48D4-A7C7-2B127494A0FE}"/>
    <cellStyle name="20% - Accent1 6" xfId="126" xr:uid="{212E4A77-BF93-46BE-A654-943CBFC17866}"/>
    <cellStyle name="20% - Accent1 6 2" xfId="1448" xr:uid="{04EDAA24-A6CC-431A-938D-7ED93402EB1A}"/>
    <cellStyle name="20% - Accent1 6 2 2" xfId="4068" xr:uid="{65AD85A1-8824-4662-97BE-C134DC1FD18E}"/>
    <cellStyle name="20% - Accent1 6 3" xfId="2756" xr:uid="{427719C1-B2B5-4947-A767-52EC82F2FEF6}"/>
    <cellStyle name="20% - Accent1 7" xfId="146" xr:uid="{CF308151-438E-4F51-8192-F37D462D767F}"/>
    <cellStyle name="20% - Accent1 7 2" xfId="1468" xr:uid="{CDACE125-DD76-425F-ABB3-9059B7C52DEB}"/>
    <cellStyle name="20% - Accent1 7 2 2" xfId="4088" xr:uid="{EC55DB03-A199-4640-BB99-985F7B40BB9F}"/>
    <cellStyle name="20% - Accent1 7 3" xfId="2776" xr:uid="{3A02EE08-0BB9-4631-9EED-9FD56813C9E4}"/>
    <cellStyle name="20% - Accent1 8" xfId="166" xr:uid="{D07C3F19-302E-4673-84C1-5F191AE7BDC9}"/>
    <cellStyle name="20% - Accent1 8 2" xfId="1488" xr:uid="{3A5B420F-5DC4-460C-9C90-F7329B078C8C}"/>
    <cellStyle name="20% - Accent1 8 2 2" xfId="4108" xr:uid="{FEBD5B79-F755-4EE8-BA9B-16E1B2936BDF}"/>
    <cellStyle name="20% - Accent1 8 3" xfId="2796" xr:uid="{57507160-84FC-4C55-B222-9A23EE350E2A}"/>
    <cellStyle name="20% - Accent1 9" xfId="186" xr:uid="{061F64FE-1CB9-44C9-B833-561E8922CC32}"/>
    <cellStyle name="20% - Accent1 9 2" xfId="1508" xr:uid="{D9D6E72F-E9CB-4D68-A765-2FE1B332CC83}"/>
    <cellStyle name="20% - Accent1 9 2 2" xfId="4128" xr:uid="{B4AE06C6-8D4A-418E-B003-FFDA5D9FF803}"/>
    <cellStyle name="20% - Accent1 9 3" xfId="2816" xr:uid="{965EADD5-DAC6-4A88-999E-B49837C107B7}"/>
    <cellStyle name="20% - Accent2 10" xfId="209" xr:uid="{0A788E2E-B9AB-466F-AD0A-A7DBB085992E}"/>
    <cellStyle name="20% - Accent2 10 2" xfId="1531" xr:uid="{B6C5DC48-57F5-4249-8298-F0E873F337E0}"/>
    <cellStyle name="20% - Accent2 10 2 2" xfId="4151" xr:uid="{0C38F829-E1BF-45E0-B115-006A5A83FA75}"/>
    <cellStyle name="20% - Accent2 10 3" xfId="2839" xr:uid="{4346EB85-EFE3-45C9-A310-DBCF368B7176}"/>
    <cellStyle name="20% - Accent2 11" xfId="229" xr:uid="{F30C8DE3-4607-4D0C-BCD2-C01B3C8EEE2D}"/>
    <cellStyle name="20% - Accent2 11 2" xfId="1551" xr:uid="{67ECE76B-14A7-4DA9-8652-0601B7DFFE91}"/>
    <cellStyle name="20% - Accent2 11 2 2" xfId="4171" xr:uid="{0AF056D4-4FCD-4EE3-8D81-6CC72F521D1B}"/>
    <cellStyle name="20% - Accent2 11 3" xfId="2859" xr:uid="{794FDFE1-E45D-4E9E-B155-CF65DC6C9E62}"/>
    <cellStyle name="20% - Accent2 12" xfId="249" xr:uid="{83445A9C-258C-4B48-B3FD-98E618661911}"/>
    <cellStyle name="20% - Accent2 12 2" xfId="1571" xr:uid="{922BC2DC-48A3-4A15-BAA8-80CA93B00689}"/>
    <cellStyle name="20% - Accent2 12 2 2" xfId="4191" xr:uid="{38382C08-215C-4736-84CE-22E70BA60AFA}"/>
    <cellStyle name="20% - Accent2 12 3" xfId="2879" xr:uid="{13270560-D83E-4D78-B7A7-8B1FD704FC13}"/>
    <cellStyle name="20% - Accent2 13" xfId="269" xr:uid="{2608D537-C8DA-446C-A368-233C02D9AA52}"/>
    <cellStyle name="20% - Accent2 13 2" xfId="1591" xr:uid="{C4D617FA-DD2E-4428-8FFB-0F281B4A98C9}"/>
    <cellStyle name="20% - Accent2 13 2 2" xfId="4211" xr:uid="{DFD9EE1B-809C-41A0-B228-74DCCD2B81F0}"/>
    <cellStyle name="20% - Accent2 13 3" xfId="2899" xr:uid="{6B794875-9D21-4755-9A78-CBE15949C40D}"/>
    <cellStyle name="20% - Accent2 14" xfId="289" xr:uid="{D4BE671D-20B7-45AC-8B44-40BA0EA9E184}"/>
    <cellStyle name="20% - Accent2 14 2" xfId="1611" xr:uid="{BF7351BF-359C-45E0-A36B-44973C29B0B7}"/>
    <cellStyle name="20% - Accent2 14 2 2" xfId="4231" xr:uid="{E8E48E96-501B-4C26-B303-BF852643B864}"/>
    <cellStyle name="20% - Accent2 14 3" xfId="2919" xr:uid="{8A246ECC-ED3E-4706-A787-A094BF98BD38}"/>
    <cellStyle name="20% - Accent2 15" xfId="309" xr:uid="{EC2EF3F3-D6AE-472D-85FC-1DC02E17B864}"/>
    <cellStyle name="20% - Accent2 15 2" xfId="1631" xr:uid="{F26AD398-B7B1-4A64-94CD-310591BE5509}"/>
    <cellStyle name="20% - Accent2 15 2 2" xfId="4251" xr:uid="{8E2BCD86-E783-40AA-B8A2-B3599802169C}"/>
    <cellStyle name="20% - Accent2 15 3" xfId="2939" xr:uid="{9B57DD98-603A-4974-8450-34AD7141991E}"/>
    <cellStyle name="20% - Accent2 16" xfId="329" xr:uid="{70CA26A9-EAC4-4654-9D8A-D101E9256041}"/>
    <cellStyle name="20% - Accent2 16 2" xfId="1651" xr:uid="{3F67B801-39D3-4CB7-A99A-E97E4EFB6F76}"/>
    <cellStyle name="20% - Accent2 16 2 2" xfId="4271" xr:uid="{2524597A-34D4-4E9E-931F-682D8A14E916}"/>
    <cellStyle name="20% - Accent2 16 3" xfId="2959" xr:uid="{C5BDFF49-B01D-4BF7-A4E0-4193CD864382}"/>
    <cellStyle name="20% - Accent2 17" xfId="349" xr:uid="{3DB472DB-F4C6-4F16-A911-9516B3C1EF7C}"/>
    <cellStyle name="20% - Accent2 17 2" xfId="1671" xr:uid="{FBE15C7B-8171-4567-AB2E-EBAD9AB3F3BC}"/>
    <cellStyle name="20% - Accent2 17 2 2" xfId="4291" xr:uid="{FB31A7D1-8DB0-4E50-A637-B3D152C288D0}"/>
    <cellStyle name="20% - Accent2 17 3" xfId="2979" xr:uid="{12B0A0C1-53D4-4489-A1D7-887A37A3A9B6}"/>
    <cellStyle name="20% - Accent2 18" xfId="369" xr:uid="{E70E4ACE-1B9E-4298-AE29-044E62D9D94A}"/>
    <cellStyle name="20% - Accent2 18 2" xfId="1691" xr:uid="{3F47EA2A-15A6-4460-8F4D-8D44BBE67DFD}"/>
    <cellStyle name="20% - Accent2 18 2 2" xfId="4311" xr:uid="{14FCB4FB-1072-45CB-8B9B-C1634005CC7C}"/>
    <cellStyle name="20% - Accent2 18 3" xfId="2999" xr:uid="{B6F18387-9D7F-4B19-9A7F-9B3051AEF9EA}"/>
    <cellStyle name="20% - Accent2 19" xfId="389" xr:uid="{C58ED5A2-91D0-4E46-9802-3F099272C9AD}"/>
    <cellStyle name="20% - Accent2 19 2" xfId="1711" xr:uid="{055E0FBD-B667-4EDD-BBAA-7D4E61A50D09}"/>
    <cellStyle name="20% - Accent2 19 2 2" xfId="4331" xr:uid="{FA5710BE-311E-469A-88DE-8A70DC1955B5}"/>
    <cellStyle name="20% - Accent2 19 3" xfId="3019" xr:uid="{62A49A41-1B61-42A2-9B0B-75A0F307816D}"/>
    <cellStyle name="20% - Accent2 2" xfId="48" xr:uid="{C217961B-6E2A-45E9-A170-9C6BC991D078}"/>
    <cellStyle name="20% - Accent2 2 2" xfId="1370" xr:uid="{2D639920-D26A-489D-BDC9-6FBA2F764D45}"/>
    <cellStyle name="20% - Accent2 2 2 2" xfId="3991" xr:uid="{CB39C9ED-3F00-4140-9F8F-6E270154910B}"/>
    <cellStyle name="20% - Accent2 2 3" xfId="2679" xr:uid="{C3008271-A981-4BA7-B4CF-C9B6BBA67367}"/>
    <cellStyle name="20% - Accent2 20" xfId="409" xr:uid="{73A693B7-8EA8-47C0-BE59-CD1397D31675}"/>
    <cellStyle name="20% - Accent2 20 2" xfId="1731" xr:uid="{18762F44-326A-4249-ABF0-76CA197C4C96}"/>
    <cellStyle name="20% - Accent2 20 2 2" xfId="4351" xr:uid="{8161AE1E-C9CB-4F9E-94AF-FACBDB8F511A}"/>
    <cellStyle name="20% - Accent2 20 3" xfId="3039" xr:uid="{74C4A586-7EC6-4CF0-82D3-4AAC0ABECC5F}"/>
    <cellStyle name="20% - Accent2 21" xfId="429" xr:uid="{28DBC6D1-48DF-437C-999B-FEA39702EE7D}"/>
    <cellStyle name="20% - Accent2 21 2" xfId="1751" xr:uid="{44C52212-481C-4B96-A46F-6744A2769946}"/>
    <cellStyle name="20% - Accent2 21 2 2" xfId="4371" xr:uid="{DC932537-2F43-430C-AB12-C855494C3206}"/>
    <cellStyle name="20% - Accent2 21 3" xfId="3059" xr:uid="{27989721-EA03-4A50-AF53-B31AB443C554}"/>
    <cellStyle name="20% - Accent2 22" xfId="449" xr:uid="{AAD74483-7832-460F-BFD2-DE1E448C1E76}"/>
    <cellStyle name="20% - Accent2 22 2" xfId="1771" xr:uid="{366A84D6-8262-46E5-8CEA-A5A550D44E8C}"/>
    <cellStyle name="20% - Accent2 22 2 2" xfId="4391" xr:uid="{8E4B714F-BECF-4CA1-8076-60F72E482EDD}"/>
    <cellStyle name="20% - Accent2 22 3" xfId="3079" xr:uid="{448FC3D2-867A-4567-A2CC-2D4149FC7716}"/>
    <cellStyle name="20% - Accent2 23" xfId="469" xr:uid="{1539BCEA-A658-4D80-8C4E-57FBE50534DF}"/>
    <cellStyle name="20% - Accent2 23 2" xfId="1791" xr:uid="{671100AF-6BE1-4294-B890-2774064343D6}"/>
    <cellStyle name="20% - Accent2 23 2 2" xfId="4411" xr:uid="{13C3556D-4AF9-4AEA-BC34-CBAA1C311E23}"/>
    <cellStyle name="20% - Accent2 23 3" xfId="3099" xr:uid="{66429294-E92A-4A6B-B721-3F08001C7F23}"/>
    <cellStyle name="20% - Accent2 24" xfId="489" xr:uid="{66E554AF-3664-4A6C-8F6B-5A7F1F47F473}"/>
    <cellStyle name="20% - Accent2 24 2" xfId="1811" xr:uid="{9498B338-88E5-4856-8BCF-C9E50A3125E4}"/>
    <cellStyle name="20% - Accent2 24 2 2" xfId="4431" xr:uid="{32E143CE-1500-4944-A1D5-7363421C2070}"/>
    <cellStyle name="20% - Accent2 24 3" xfId="3119" xr:uid="{CCD53B0E-10EB-406A-BC0F-84E2B4B1CA35}"/>
    <cellStyle name="20% - Accent2 25" xfId="509" xr:uid="{71300E7B-DCF2-44B1-8C15-D99D4FD12575}"/>
    <cellStyle name="20% - Accent2 25 2" xfId="1831" xr:uid="{EA670BAC-9BD6-4988-9470-3569FD38A456}"/>
    <cellStyle name="20% - Accent2 25 2 2" xfId="4451" xr:uid="{8A193324-F843-4C67-820E-99DE5F20EE23}"/>
    <cellStyle name="20% - Accent2 25 3" xfId="3139" xr:uid="{29EFFB28-94D8-490D-9C79-A97EE407F21D}"/>
    <cellStyle name="20% - Accent2 26" xfId="529" xr:uid="{AE51BE34-5687-4C75-BB26-FB772FBEAED7}"/>
    <cellStyle name="20% - Accent2 26 2" xfId="1851" xr:uid="{E9A138A4-A2EB-4F4D-8400-5533EB975DB8}"/>
    <cellStyle name="20% - Accent2 26 2 2" xfId="4471" xr:uid="{D36FC3C0-43CF-4C07-9D05-CD638B4C89FF}"/>
    <cellStyle name="20% - Accent2 26 3" xfId="3159" xr:uid="{353F248D-0532-449D-82A0-3F2C733FBE15}"/>
    <cellStyle name="20% - Accent2 27" xfId="549" xr:uid="{324E301C-8B7D-4F43-AF1A-890E0D30EF3F}"/>
    <cellStyle name="20% - Accent2 27 2" xfId="1871" xr:uid="{254D9911-5B0A-4F4E-A8A1-3A96EC31916D}"/>
    <cellStyle name="20% - Accent2 27 2 2" xfId="4491" xr:uid="{D01304B9-1007-4585-BE97-7A1FFEDE7FBA}"/>
    <cellStyle name="20% - Accent2 27 3" xfId="3179" xr:uid="{4CF11A54-C731-469C-9331-945508AE7F73}"/>
    <cellStyle name="20% - Accent2 28" xfId="1049" xr:uid="{C48C696D-6DE2-43B1-9A6D-09184ABC1E1C}"/>
    <cellStyle name="20% - Accent2 28 2" xfId="2371" xr:uid="{90F0BEF1-34D6-443C-967C-97D4C03D6633}"/>
    <cellStyle name="20% - Accent2 28 2 2" xfId="4991" xr:uid="{2AAF7E8E-FE46-4034-9A4E-F73B2F649792}"/>
    <cellStyle name="20% - Accent2 28 3" xfId="3679" xr:uid="{4308EAEA-318F-4D90-A83C-61486726FF47}"/>
    <cellStyle name="20% - Accent2 29" xfId="1069" xr:uid="{A81E4EED-0068-40BC-990D-9A15AB6DBD75}"/>
    <cellStyle name="20% - Accent2 29 2" xfId="2391" xr:uid="{34A09AFF-BA2B-4B42-8606-CB46BB0CD6D2}"/>
    <cellStyle name="20% - Accent2 29 2 2" xfId="5011" xr:uid="{89BE945D-8E64-4089-B609-00BD58EF8A36}"/>
    <cellStyle name="20% - Accent2 29 3" xfId="3699" xr:uid="{F284AFA6-45A8-4F63-BC6E-5DF6181C9896}"/>
    <cellStyle name="20% - Accent2 3" xfId="68" xr:uid="{AA26BB6E-C8E0-4E26-AEAE-CF8571AC3E24}"/>
    <cellStyle name="20% - Accent2 3 2" xfId="1390" xr:uid="{8E202CD8-994F-4656-B5F1-101B78D3CEC4}"/>
    <cellStyle name="20% - Accent2 3 2 2" xfId="4011" xr:uid="{68D008B9-5081-4B71-8080-A3F682322629}"/>
    <cellStyle name="20% - Accent2 3 3" xfId="2699" xr:uid="{969B3333-9A85-4446-93A5-15CF5A0F909B}"/>
    <cellStyle name="20% - Accent2 30" xfId="1089" xr:uid="{F6B2F388-75B3-4AE3-A490-D7509655792D}"/>
    <cellStyle name="20% - Accent2 30 2" xfId="2411" xr:uid="{3188A504-3FEB-4D00-8468-A2D68359B99B}"/>
    <cellStyle name="20% - Accent2 30 2 2" xfId="5031" xr:uid="{ABC08C5D-E30F-4864-898A-80CFA2930BC7}"/>
    <cellStyle name="20% - Accent2 30 3" xfId="3719" xr:uid="{3AB20FD1-5546-415E-BABC-CFCB73616502}"/>
    <cellStyle name="20% - Accent2 31" xfId="1109" xr:uid="{6B5AA844-0310-444E-B287-15BFA8E1983A}"/>
    <cellStyle name="20% - Accent2 31 2" xfId="2431" xr:uid="{3F93F9D1-1F7A-488B-A84D-6767E100257A}"/>
    <cellStyle name="20% - Accent2 31 2 2" xfId="5051" xr:uid="{837A4354-9F08-4F8F-9F32-29DDA829E8BA}"/>
    <cellStyle name="20% - Accent2 31 3" xfId="3739" xr:uid="{AB0DE407-76FE-4E77-A294-DEED68777D8B}"/>
    <cellStyle name="20% - Accent2 4" xfId="89" xr:uid="{E61B6747-0B72-4A24-B3EE-5406BF404364}"/>
    <cellStyle name="20% - Accent2 4 2" xfId="1411" xr:uid="{350F5D5B-CCFD-4B34-9D32-6944923C8EF9}"/>
    <cellStyle name="20% - Accent2 4 2 2" xfId="4031" xr:uid="{1939719B-D773-4BBE-A723-B3C434CDFBB4}"/>
    <cellStyle name="20% - Accent2 4 3" xfId="2719" xr:uid="{FF39B448-A918-408D-90F0-0BD62B6D47A7}"/>
    <cellStyle name="20% - Accent2 5" xfId="109" xr:uid="{1C3DF093-ED8B-4C7F-8195-E38BCFDE7E0F}"/>
    <cellStyle name="20% - Accent2 5 2" xfId="1431" xr:uid="{E7BEAF2C-E709-4CB3-8039-A9E65A640456}"/>
    <cellStyle name="20% - Accent2 5 2 2" xfId="4051" xr:uid="{57459BD9-7F8B-4003-A05E-440DC677CA86}"/>
    <cellStyle name="20% - Accent2 5 3" xfId="2739" xr:uid="{6493C917-0C62-4049-9C35-37E03C407C83}"/>
    <cellStyle name="20% - Accent2 6" xfId="129" xr:uid="{BCD56043-30F8-4F87-8309-69FBCFE3A2F9}"/>
    <cellStyle name="20% - Accent2 6 2" xfId="1451" xr:uid="{64A6F3F0-DFB4-47B3-96B2-1169E137D344}"/>
    <cellStyle name="20% - Accent2 6 2 2" xfId="4071" xr:uid="{81DDB0D0-C857-4B71-A0E3-1FD71D72C11A}"/>
    <cellStyle name="20% - Accent2 6 3" xfId="2759" xr:uid="{C9C90D6B-4D2C-4CA5-906F-3EC4FF884C6E}"/>
    <cellStyle name="20% - Accent2 7" xfId="149" xr:uid="{8EB01AB9-9528-4F81-B8FE-DF62CE83B368}"/>
    <cellStyle name="20% - Accent2 7 2" xfId="1471" xr:uid="{BC4CF706-D000-49D8-BADF-45677F31F07F}"/>
    <cellStyle name="20% - Accent2 7 2 2" xfId="4091" xr:uid="{41BBC771-7C7B-4056-AE1C-66646387FE80}"/>
    <cellStyle name="20% - Accent2 7 3" xfId="2779" xr:uid="{5944124D-1FEC-4387-9A7A-AD6258E2079F}"/>
    <cellStyle name="20% - Accent2 8" xfId="169" xr:uid="{980612AC-2563-431E-9A70-DF02FB17D9E3}"/>
    <cellStyle name="20% - Accent2 8 2" xfId="1491" xr:uid="{BC9DF641-9A33-41E9-9F84-8AA793384AC8}"/>
    <cellStyle name="20% - Accent2 8 2 2" xfId="4111" xr:uid="{4A71BBB3-CB3C-453B-BA6A-7FF48A20435D}"/>
    <cellStyle name="20% - Accent2 8 3" xfId="2799" xr:uid="{954CF1BA-ED36-4390-BB30-9FE6E27BA04E}"/>
    <cellStyle name="20% - Accent2 9" xfId="189" xr:uid="{0B8B1254-291C-40CA-B1A0-D222C35CC093}"/>
    <cellStyle name="20% - Accent2 9 2" xfId="1511" xr:uid="{DFE3EC35-7995-4D34-915D-923B49C3BA8C}"/>
    <cellStyle name="20% - Accent2 9 2 2" xfId="4131" xr:uid="{79ACD680-E4EE-4667-A467-C961DC5538FB}"/>
    <cellStyle name="20% - Accent2 9 3" xfId="2819" xr:uid="{74E5C893-D4F5-4439-B697-5DE8075AC2B7}"/>
    <cellStyle name="20% - Accent3 10" xfId="212" xr:uid="{CF768C19-F36E-4B9B-8038-F839A4AC43D5}"/>
    <cellStyle name="20% - Accent3 10 2" xfId="1534" xr:uid="{AEAE5596-A15C-4D92-AE70-0908AC38B3C2}"/>
    <cellStyle name="20% - Accent3 10 2 2" xfId="4154" xr:uid="{1C6F9FB2-D762-49EB-AFEE-A419AB20AAFD}"/>
    <cellStyle name="20% - Accent3 10 3" xfId="2842" xr:uid="{E75AEA3B-E490-464A-A83B-049A51B666A1}"/>
    <cellStyle name="20% - Accent3 11" xfId="232" xr:uid="{F2A00393-46E5-47EF-85B3-2C432E15D6DD}"/>
    <cellStyle name="20% - Accent3 11 2" xfId="1554" xr:uid="{A5B90B2F-20AF-4022-85EF-A90231D78B14}"/>
    <cellStyle name="20% - Accent3 11 2 2" xfId="4174" xr:uid="{011D14F5-DE2A-4D7B-B3B2-FE8F8CC79F3D}"/>
    <cellStyle name="20% - Accent3 11 3" xfId="2862" xr:uid="{7AB24911-5CAA-4D19-907D-09563E838D45}"/>
    <cellStyle name="20% - Accent3 12" xfId="252" xr:uid="{800106BC-9C5B-42B2-9EC6-103DFAD9EDE7}"/>
    <cellStyle name="20% - Accent3 12 2" xfId="1574" xr:uid="{9C59F788-0190-4032-8687-DFE7E570F6C6}"/>
    <cellStyle name="20% - Accent3 12 2 2" xfId="4194" xr:uid="{B30C0800-4561-4F1E-9490-4E0DDA5E1F4C}"/>
    <cellStyle name="20% - Accent3 12 3" xfId="2882" xr:uid="{48D7C1C4-1E9C-4E7C-B314-D1103E4673C5}"/>
    <cellStyle name="20% - Accent3 13" xfId="272" xr:uid="{B4877BD5-1609-4B09-9764-43514616109D}"/>
    <cellStyle name="20% - Accent3 13 2" xfId="1594" xr:uid="{1354D7C2-6D7A-4BE6-9881-824E866DD548}"/>
    <cellStyle name="20% - Accent3 13 2 2" xfId="4214" xr:uid="{EB04B87A-BF2A-4E96-824E-098716CA1D86}"/>
    <cellStyle name="20% - Accent3 13 3" xfId="2902" xr:uid="{A379E25D-49E0-46E5-B283-C047F17AB45F}"/>
    <cellStyle name="20% - Accent3 14" xfId="292" xr:uid="{83ABB276-4F11-4724-B88D-200C2E1EC86E}"/>
    <cellStyle name="20% - Accent3 14 2" xfId="1614" xr:uid="{EC220E4F-50C0-4FE4-A65B-45915D01DFF9}"/>
    <cellStyle name="20% - Accent3 14 2 2" xfId="4234" xr:uid="{354B32A3-BA08-41EA-846E-F3B2B76CB94E}"/>
    <cellStyle name="20% - Accent3 14 3" xfId="2922" xr:uid="{999958CD-41FA-4E43-B64B-FE3E9422DECF}"/>
    <cellStyle name="20% - Accent3 15" xfId="312" xr:uid="{A7E9699B-45FB-4110-AD4B-1D9360CE948B}"/>
    <cellStyle name="20% - Accent3 15 2" xfId="1634" xr:uid="{3E99108E-6F7C-493C-AE41-973EFE89AC1A}"/>
    <cellStyle name="20% - Accent3 15 2 2" xfId="4254" xr:uid="{5BDC129A-F5E3-4D8E-BB2B-EA734C67CB87}"/>
    <cellStyle name="20% - Accent3 15 3" xfId="2942" xr:uid="{F9FD8CE9-F654-461A-85F2-D789D5B05821}"/>
    <cellStyle name="20% - Accent3 16" xfId="332" xr:uid="{D6FF8772-8002-4044-8E36-A255C665DD88}"/>
    <cellStyle name="20% - Accent3 16 2" xfId="1654" xr:uid="{9B918998-D337-476C-8AF4-4F108ECE5066}"/>
    <cellStyle name="20% - Accent3 16 2 2" xfId="4274" xr:uid="{F44E21EB-AA72-4988-8520-1775ACE42D8D}"/>
    <cellStyle name="20% - Accent3 16 3" xfId="2962" xr:uid="{706ABBB2-BC72-4F5B-AF7E-892B739EB40B}"/>
    <cellStyle name="20% - Accent3 17" xfId="352" xr:uid="{254F0144-A949-4F61-A1C4-8198495199E1}"/>
    <cellStyle name="20% - Accent3 17 2" xfId="1674" xr:uid="{63217EB7-CE9A-44F5-96AC-D2157A01496C}"/>
    <cellStyle name="20% - Accent3 17 2 2" xfId="4294" xr:uid="{9DFB5603-104A-473C-A2D9-30F7DE5B286F}"/>
    <cellStyle name="20% - Accent3 17 3" xfId="2982" xr:uid="{15DD1464-0D79-4B08-8BD8-82DFA5B2CECA}"/>
    <cellStyle name="20% - Accent3 18" xfId="372" xr:uid="{CD9518CD-21CE-4123-A194-48ACCDCD27CB}"/>
    <cellStyle name="20% - Accent3 18 2" xfId="1694" xr:uid="{08921F85-6955-4EAC-98BA-12958747B363}"/>
    <cellStyle name="20% - Accent3 18 2 2" xfId="4314" xr:uid="{4BA6119E-48B5-461E-A0A5-0144CAAC3FED}"/>
    <cellStyle name="20% - Accent3 18 3" xfId="3002" xr:uid="{453AC46A-D043-40EB-921B-76B0A66B2455}"/>
    <cellStyle name="20% - Accent3 19" xfId="392" xr:uid="{EEEC7FC5-6485-4C0C-A32A-D3C5FCC7E9D3}"/>
    <cellStyle name="20% - Accent3 19 2" xfId="1714" xr:uid="{15D4087A-7B6B-403A-9F5C-2851760FDD95}"/>
    <cellStyle name="20% - Accent3 19 2 2" xfId="4334" xr:uid="{1A79BFF6-E78A-436D-9FDE-C72F90E33275}"/>
    <cellStyle name="20% - Accent3 19 3" xfId="3022" xr:uid="{77F2C2A2-A253-4077-A151-EC6C3277F898}"/>
    <cellStyle name="20% - Accent3 2" xfId="51" xr:uid="{69E07DA6-768E-4712-BBC7-1A0443530F4E}"/>
    <cellStyle name="20% - Accent3 2 2" xfId="1373" xr:uid="{3BD0225F-56BC-4008-912B-CB1C00DA63BB}"/>
    <cellStyle name="20% - Accent3 2 2 2" xfId="3994" xr:uid="{06CEC59E-8E42-4AFB-AA8D-C928869D2098}"/>
    <cellStyle name="20% - Accent3 2 3" xfId="2682" xr:uid="{F4940E2C-44FE-4574-A1B0-AE9A8E4254E5}"/>
    <cellStyle name="20% - Accent3 20" xfId="412" xr:uid="{7635EF26-D942-41CC-BF8F-7A219621519F}"/>
    <cellStyle name="20% - Accent3 20 2" xfId="1734" xr:uid="{14224224-BECF-484E-BE1E-0EAB79AAB3CC}"/>
    <cellStyle name="20% - Accent3 20 2 2" xfId="4354" xr:uid="{BF00AB5E-0300-4C8D-97A6-E6378D46DC57}"/>
    <cellStyle name="20% - Accent3 20 3" xfId="3042" xr:uid="{56427AB2-B743-4AF8-BA73-853447B99861}"/>
    <cellStyle name="20% - Accent3 21" xfId="432" xr:uid="{58DC51FB-3011-44E3-96DB-D2328793FC8E}"/>
    <cellStyle name="20% - Accent3 21 2" xfId="1754" xr:uid="{3E3408DE-6C25-4A2E-95CD-223A968A9448}"/>
    <cellStyle name="20% - Accent3 21 2 2" xfId="4374" xr:uid="{7041F23A-7973-4E06-B78E-A01D2206BC36}"/>
    <cellStyle name="20% - Accent3 21 3" xfId="3062" xr:uid="{8C008D88-BA5F-4EED-A7B4-9075FB386DE9}"/>
    <cellStyle name="20% - Accent3 22" xfId="452" xr:uid="{81D91C23-E968-4270-9E41-29F346A06C0B}"/>
    <cellStyle name="20% - Accent3 22 2" xfId="1774" xr:uid="{F31C1F39-C63C-41BD-BD77-1E0CE0187D3B}"/>
    <cellStyle name="20% - Accent3 22 2 2" xfId="4394" xr:uid="{A8E31CB8-F502-4FD9-A71D-1D1815FAE0BF}"/>
    <cellStyle name="20% - Accent3 22 3" xfId="3082" xr:uid="{E070F442-843D-40DE-9BAD-E2A1013D90B4}"/>
    <cellStyle name="20% - Accent3 23" xfId="472" xr:uid="{F1B2A93F-46A7-45BB-B01A-D177B3F71F22}"/>
    <cellStyle name="20% - Accent3 23 2" xfId="1794" xr:uid="{85DE10E8-39E5-4944-AFFA-005A431FFDEA}"/>
    <cellStyle name="20% - Accent3 23 2 2" xfId="4414" xr:uid="{114E88A3-C77F-40E0-A0C6-B5D65DA0AF85}"/>
    <cellStyle name="20% - Accent3 23 3" xfId="3102" xr:uid="{982508F8-A619-4556-BAF9-46153609B588}"/>
    <cellStyle name="20% - Accent3 24" xfId="492" xr:uid="{D713CF76-2E42-4EF7-8F8E-B9BC5883B483}"/>
    <cellStyle name="20% - Accent3 24 2" xfId="1814" xr:uid="{0D8A3FAB-0F9D-45E3-A641-70600C65915A}"/>
    <cellStyle name="20% - Accent3 24 2 2" xfId="4434" xr:uid="{C71BD0F2-D722-4222-A55E-E9A7E9726003}"/>
    <cellStyle name="20% - Accent3 24 3" xfId="3122" xr:uid="{7B2F4495-2746-49AA-943D-BED5D550ABF1}"/>
    <cellStyle name="20% - Accent3 25" xfId="512" xr:uid="{A281FA33-9552-40E4-9130-C8F2DC760878}"/>
    <cellStyle name="20% - Accent3 25 2" xfId="1834" xr:uid="{D5ACC8C6-37FB-4F2C-B842-63A9BC6059BD}"/>
    <cellStyle name="20% - Accent3 25 2 2" xfId="4454" xr:uid="{62D76208-8A09-402E-8D70-88937B2D2E83}"/>
    <cellStyle name="20% - Accent3 25 3" xfId="3142" xr:uid="{12B869BA-B6A6-432D-AB3D-E81A071A3D52}"/>
    <cellStyle name="20% - Accent3 26" xfId="532" xr:uid="{8CED2368-D2E3-4241-9F5C-2E343482332A}"/>
    <cellStyle name="20% - Accent3 26 2" xfId="1854" xr:uid="{398E85A6-7F32-42D1-B58C-2B6CF4C65043}"/>
    <cellStyle name="20% - Accent3 26 2 2" xfId="4474" xr:uid="{72DD9656-7CBE-4EE0-A733-78AC8772CDF1}"/>
    <cellStyle name="20% - Accent3 26 3" xfId="3162" xr:uid="{F9E0DFC0-32C8-48EB-A889-AC6C75FA97FE}"/>
    <cellStyle name="20% - Accent3 27" xfId="552" xr:uid="{4D961BF3-1CE4-4188-B967-142536AF86A2}"/>
    <cellStyle name="20% - Accent3 27 2" xfId="1874" xr:uid="{F0620DA3-7B02-45A5-96E8-CFD38AF92EC5}"/>
    <cellStyle name="20% - Accent3 27 2 2" xfId="4494" xr:uid="{9AC41F71-7386-44BC-8F3F-0B445A4D0EA3}"/>
    <cellStyle name="20% - Accent3 27 3" xfId="3182" xr:uid="{07720E82-0BD3-445B-A8B8-6D63771FB572}"/>
    <cellStyle name="20% - Accent3 28" xfId="1052" xr:uid="{23DD0483-8D02-45C4-9902-D610E9DA0A1D}"/>
    <cellStyle name="20% - Accent3 28 2" xfId="2374" xr:uid="{3CA92DC2-194A-43F7-B40F-8F5DE41F3838}"/>
    <cellStyle name="20% - Accent3 28 2 2" xfId="4994" xr:uid="{14CDAF76-6466-4CAE-A9B5-1E534F406679}"/>
    <cellStyle name="20% - Accent3 28 3" xfId="3682" xr:uid="{D3156B7B-A9B9-4FF2-8F2C-61FE00355923}"/>
    <cellStyle name="20% - Accent3 29" xfId="1072" xr:uid="{2AD3FF54-1225-46D3-B713-AD5BD46316DF}"/>
    <cellStyle name="20% - Accent3 29 2" xfId="2394" xr:uid="{C8739D84-EACA-4EB4-80AB-9069EBE6884C}"/>
    <cellStyle name="20% - Accent3 29 2 2" xfId="5014" xr:uid="{76309F70-1371-480A-85CE-1FC56EF93D6E}"/>
    <cellStyle name="20% - Accent3 29 3" xfId="3702" xr:uid="{87640F3C-B177-4A77-BD12-D31E7BE1883F}"/>
    <cellStyle name="20% - Accent3 3" xfId="71" xr:uid="{6A6C4119-47CD-44EC-8912-59D81E48B36A}"/>
    <cellStyle name="20% - Accent3 3 2" xfId="1393" xr:uid="{48AD4673-F128-41D1-8EAC-F1EF5132FE0C}"/>
    <cellStyle name="20% - Accent3 3 2 2" xfId="4014" xr:uid="{5680FB67-C859-4466-9416-B3E4014C84FA}"/>
    <cellStyle name="20% - Accent3 3 3" xfId="2702" xr:uid="{5324083F-9C75-41DD-BC1D-EDF94B102C99}"/>
    <cellStyle name="20% - Accent3 30" xfId="1092" xr:uid="{1261DC26-6A25-476F-9818-A3F907A705E5}"/>
    <cellStyle name="20% - Accent3 30 2" xfId="2414" xr:uid="{FCFA9DB1-05CA-4589-8EF4-EA342F97C6B7}"/>
    <cellStyle name="20% - Accent3 30 2 2" xfId="5034" xr:uid="{352553AF-8D92-4877-9D3A-640417832E4E}"/>
    <cellStyle name="20% - Accent3 30 3" xfId="3722" xr:uid="{8E0AF34E-F7B3-4321-9D7D-7D7BB844AEBA}"/>
    <cellStyle name="20% - Accent3 31" xfId="1112" xr:uid="{365F5102-66E8-4EE6-98D4-8339AE5D156E}"/>
    <cellStyle name="20% - Accent3 31 2" xfId="2434" xr:uid="{8970B613-E668-4A5E-BAD5-4D48BC2EE9C9}"/>
    <cellStyle name="20% - Accent3 31 2 2" xfId="5054" xr:uid="{043C35AD-9C66-4B5E-84AB-0DFC0D5AA2BC}"/>
    <cellStyle name="20% - Accent3 31 3" xfId="3742" xr:uid="{899C0191-AC3F-407D-B860-F8F42E424459}"/>
    <cellStyle name="20% - Accent3 4" xfId="92" xr:uid="{8E33ACA1-781D-4904-8DE2-5763C8586E79}"/>
    <cellStyle name="20% - Accent3 4 2" xfId="1414" xr:uid="{65EB163F-F823-49F2-9C6F-7135F4004F21}"/>
    <cellStyle name="20% - Accent3 4 2 2" xfId="4034" xr:uid="{18196299-5AD5-4E2D-B8EA-6E17BDCBBAD4}"/>
    <cellStyle name="20% - Accent3 4 3" xfId="2722" xr:uid="{FFA477F4-77A2-4825-8DC2-4E358D6738FB}"/>
    <cellStyle name="20% - Accent3 5" xfId="112" xr:uid="{F6D97D0D-2C6D-4FCD-A84E-B5BBB880A1CC}"/>
    <cellStyle name="20% - Accent3 5 2" xfId="1434" xr:uid="{00D1A17C-689F-4252-87F9-DE5A1E3E93F2}"/>
    <cellStyle name="20% - Accent3 5 2 2" xfId="4054" xr:uid="{A7B71ED8-4F70-46FF-B708-C0AD225A2A96}"/>
    <cellStyle name="20% - Accent3 5 3" xfId="2742" xr:uid="{45033DE5-192A-48AE-AA4D-DE7E1AEAEBA6}"/>
    <cellStyle name="20% - Accent3 6" xfId="132" xr:uid="{B577537E-F225-4C89-8458-B38902F04555}"/>
    <cellStyle name="20% - Accent3 6 2" xfId="1454" xr:uid="{F9B2F653-891E-4C58-9103-3EA2942836DA}"/>
    <cellStyle name="20% - Accent3 6 2 2" xfId="4074" xr:uid="{D0263769-50B2-461D-BD89-A3B95E696C7F}"/>
    <cellStyle name="20% - Accent3 6 3" xfId="2762" xr:uid="{811414A2-DCE6-49A2-BD28-BB9FB63DA49A}"/>
    <cellStyle name="20% - Accent3 7" xfId="152" xr:uid="{0242B917-D6A4-4A8F-9C5E-5BC36430086F}"/>
    <cellStyle name="20% - Accent3 7 2" xfId="1474" xr:uid="{8A592923-C5C6-462A-95FA-CA233B48DBDF}"/>
    <cellStyle name="20% - Accent3 7 2 2" xfId="4094" xr:uid="{B77ED244-CFAB-478C-8FE6-249301AA68DD}"/>
    <cellStyle name="20% - Accent3 7 3" xfId="2782" xr:uid="{E9A98233-2562-4DD1-907D-15AFA3321161}"/>
    <cellStyle name="20% - Accent3 8" xfId="172" xr:uid="{6642A5B2-C0E2-4465-A743-C3FE0D458A83}"/>
    <cellStyle name="20% - Accent3 8 2" xfId="1494" xr:uid="{F4AD853C-F718-41E0-9DCC-10D025CE52FE}"/>
    <cellStyle name="20% - Accent3 8 2 2" xfId="4114" xr:uid="{A541E207-FA82-45B5-AA04-EAF49D086B3A}"/>
    <cellStyle name="20% - Accent3 8 3" xfId="2802" xr:uid="{823F01AD-10DD-45F5-B2DC-3A175678FD6F}"/>
    <cellStyle name="20% - Accent3 9" xfId="192" xr:uid="{4EADBA62-3E96-4734-8A8E-931025B2F448}"/>
    <cellStyle name="20% - Accent3 9 2" xfId="1514" xr:uid="{0F19977F-DB51-474E-9E33-91A456C98640}"/>
    <cellStyle name="20% - Accent3 9 2 2" xfId="4134" xr:uid="{19B3DD2B-D1D6-44CA-9264-32D498448B61}"/>
    <cellStyle name="20% - Accent3 9 3" xfId="2822" xr:uid="{20055212-020B-465E-90A1-835A6C626242}"/>
    <cellStyle name="20% - Accent4 10" xfId="215" xr:uid="{0DF145C4-2323-443E-B72B-B490F123557D}"/>
    <cellStyle name="20% - Accent4 10 2" xfId="1537" xr:uid="{F5F4BA31-EACB-4BC0-A41E-4488C8A5E946}"/>
    <cellStyle name="20% - Accent4 10 2 2" xfId="4157" xr:uid="{1BDC2479-7781-4533-9FA1-129B39F32F0D}"/>
    <cellStyle name="20% - Accent4 10 3" xfId="2845" xr:uid="{DFBE2D53-F637-4E0B-9772-768E346630D4}"/>
    <cellStyle name="20% - Accent4 11" xfId="235" xr:uid="{FB2D2FDB-E16E-42C2-BDD5-03A1DAB5E165}"/>
    <cellStyle name="20% - Accent4 11 2" xfId="1557" xr:uid="{D2C92E3A-E1A9-4875-9003-3FB81AE3305B}"/>
    <cellStyle name="20% - Accent4 11 2 2" xfId="4177" xr:uid="{5C1E0B8F-F318-41D8-81DD-F243111ADD27}"/>
    <cellStyle name="20% - Accent4 11 3" xfId="2865" xr:uid="{105DB390-CA14-4393-926C-851750AE37C6}"/>
    <cellStyle name="20% - Accent4 12" xfId="255" xr:uid="{A312509C-EE9A-4C16-B1FC-B9C7D75BBE8D}"/>
    <cellStyle name="20% - Accent4 12 2" xfId="1577" xr:uid="{C0CB8A38-FDA2-4631-A4C9-1AECAE7E6436}"/>
    <cellStyle name="20% - Accent4 12 2 2" xfId="4197" xr:uid="{B3149A7B-CC95-4921-AA39-E5C68687258A}"/>
    <cellStyle name="20% - Accent4 12 3" xfId="2885" xr:uid="{D10900FA-B376-4431-A3B1-C38A15D985C4}"/>
    <cellStyle name="20% - Accent4 13" xfId="275" xr:uid="{3D069FE3-E0A9-4821-97B1-82080710F367}"/>
    <cellStyle name="20% - Accent4 13 2" xfId="1597" xr:uid="{CDF0F5AE-030A-4A75-892A-C3DA1CB3EC1A}"/>
    <cellStyle name="20% - Accent4 13 2 2" xfId="4217" xr:uid="{2288C045-CFF1-4D0D-992F-EC870B0F2E61}"/>
    <cellStyle name="20% - Accent4 13 3" xfId="2905" xr:uid="{66F4C4F3-1BD2-41A6-8EF0-374582432833}"/>
    <cellStyle name="20% - Accent4 14" xfId="295" xr:uid="{1F5CA9B6-1B27-4C48-B0D6-1B35EEF7F85C}"/>
    <cellStyle name="20% - Accent4 14 2" xfId="1617" xr:uid="{67B80AC2-5F48-484F-B1A1-A551CDB723C9}"/>
    <cellStyle name="20% - Accent4 14 2 2" xfId="4237" xr:uid="{8D111A43-0022-43D0-BAF6-E794253D02A1}"/>
    <cellStyle name="20% - Accent4 14 3" xfId="2925" xr:uid="{02A9405A-C11A-4923-B03B-F90B3AFFE92A}"/>
    <cellStyle name="20% - Accent4 15" xfId="315" xr:uid="{385A0369-21E3-4115-A9B1-F9E3B5A32117}"/>
    <cellStyle name="20% - Accent4 15 2" xfId="1637" xr:uid="{F613FF2B-F954-4137-96DF-238119514E42}"/>
    <cellStyle name="20% - Accent4 15 2 2" xfId="4257" xr:uid="{CA71D954-36AC-4150-AE41-A256D1CAE7E6}"/>
    <cellStyle name="20% - Accent4 15 3" xfId="2945" xr:uid="{5DAB1021-5CA8-4985-9E7C-2E3046110881}"/>
    <cellStyle name="20% - Accent4 16" xfId="335" xr:uid="{E5E9A03E-CCDE-4B56-A470-E0E7D8A9BC55}"/>
    <cellStyle name="20% - Accent4 16 2" xfId="1657" xr:uid="{F158BCBF-03C8-438C-8537-9B781884B3FD}"/>
    <cellStyle name="20% - Accent4 16 2 2" xfId="4277" xr:uid="{3B047F24-94F3-47E5-87C0-016299F1C912}"/>
    <cellStyle name="20% - Accent4 16 3" xfId="2965" xr:uid="{CE36B4B9-33B6-4ACC-A05E-09FE5D95E9E4}"/>
    <cellStyle name="20% - Accent4 17" xfId="355" xr:uid="{6C186EB4-A9F4-4D38-857E-3628F68E0124}"/>
    <cellStyle name="20% - Accent4 17 2" xfId="1677" xr:uid="{2D24D7A6-6F83-450B-B386-07A0EA04B6AC}"/>
    <cellStyle name="20% - Accent4 17 2 2" xfId="4297" xr:uid="{E1031F2D-923C-4E1E-AD3E-5A5C37EBF4E9}"/>
    <cellStyle name="20% - Accent4 17 3" xfId="2985" xr:uid="{E8B4CB65-3DF7-4D4B-A64D-1915C3422ECC}"/>
    <cellStyle name="20% - Accent4 18" xfId="375" xr:uid="{63B8B24A-6397-45F6-8157-6C2869CB969E}"/>
    <cellStyle name="20% - Accent4 18 2" xfId="1697" xr:uid="{35ECBCA0-2D64-4276-8875-E16243B8EAA6}"/>
    <cellStyle name="20% - Accent4 18 2 2" xfId="4317" xr:uid="{0CFC45EC-3841-4DA5-AA07-0D108E56E244}"/>
    <cellStyle name="20% - Accent4 18 3" xfId="3005" xr:uid="{DFDC3A01-45F4-4AE9-A349-6A9BC79E3A77}"/>
    <cellStyle name="20% - Accent4 19" xfId="395" xr:uid="{2C325349-7E17-4764-82A0-8A28F4C783F8}"/>
    <cellStyle name="20% - Accent4 19 2" xfId="1717" xr:uid="{8F8E65EE-2380-40E0-92B8-1738729CB0B0}"/>
    <cellStyle name="20% - Accent4 19 2 2" xfId="4337" xr:uid="{54FC633B-9DA7-40A3-9081-6733FEC27DD5}"/>
    <cellStyle name="20% - Accent4 19 3" xfId="3025" xr:uid="{6672AB85-C5C1-4592-BBD8-F90341D85495}"/>
    <cellStyle name="20% - Accent4 2" xfId="54" xr:uid="{C00977A1-9F65-4255-8B6F-CC420A67F141}"/>
    <cellStyle name="20% - Accent4 2 2" xfId="1376" xr:uid="{CB5886A8-1FA7-476D-9558-1BF77355B029}"/>
    <cellStyle name="20% - Accent4 2 2 2" xfId="3997" xr:uid="{93983E98-DA30-48D4-AF67-62657DA946A2}"/>
    <cellStyle name="20% - Accent4 2 3" xfId="2685" xr:uid="{30E7CA24-D034-436F-ADEC-70772DEB5B66}"/>
    <cellStyle name="20% - Accent4 20" xfId="415" xr:uid="{54D23FF8-C568-4CF7-B65D-4E5AA572F587}"/>
    <cellStyle name="20% - Accent4 20 2" xfId="1737" xr:uid="{6CAD04EC-AF73-46F3-A602-58633FC6126A}"/>
    <cellStyle name="20% - Accent4 20 2 2" xfId="4357" xr:uid="{6FC9E2AE-0848-470A-9FA5-0F78182053DC}"/>
    <cellStyle name="20% - Accent4 20 3" xfId="3045" xr:uid="{568C51B9-61C5-4434-A321-DC4DE68CD6DA}"/>
    <cellStyle name="20% - Accent4 21" xfId="435" xr:uid="{1A1A2B6B-B320-48A8-93BA-294AEE88F2D6}"/>
    <cellStyle name="20% - Accent4 21 2" xfId="1757" xr:uid="{BD3F792F-29BB-424A-9B82-4BD82FB1BB32}"/>
    <cellStyle name="20% - Accent4 21 2 2" xfId="4377" xr:uid="{7A1C6F54-02C2-490F-A7CC-FC149062FC2F}"/>
    <cellStyle name="20% - Accent4 21 3" xfId="3065" xr:uid="{9F6B0BC3-DB47-4EB6-887A-A0716FE2B82E}"/>
    <cellStyle name="20% - Accent4 22" xfId="455" xr:uid="{B12421E0-34E5-4996-8F50-9E9A34B8279A}"/>
    <cellStyle name="20% - Accent4 22 2" xfId="1777" xr:uid="{F306BA13-6646-4492-AA06-E3B3F9F7FC1F}"/>
    <cellStyle name="20% - Accent4 22 2 2" xfId="4397" xr:uid="{2B1FC65F-7479-4A33-B327-AE1F719FE293}"/>
    <cellStyle name="20% - Accent4 22 3" xfId="3085" xr:uid="{9F91BFA1-6767-4066-A45B-D02BAE5D7891}"/>
    <cellStyle name="20% - Accent4 23" xfId="475" xr:uid="{3A28B330-0BFA-473E-AB71-FC9593F0A171}"/>
    <cellStyle name="20% - Accent4 23 2" xfId="1797" xr:uid="{69479665-E5E5-4AF6-9265-DA66445856BC}"/>
    <cellStyle name="20% - Accent4 23 2 2" xfId="4417" xr:uid="{A3AC6781-F9AD-453C-8171-EE5CF7DD9329}"/>
    <cellStyle name="20% - Accent4 23 3" xfId="3105" xr:uid="{E718EE2A-44D1-4D5D-986D-61E862D55D0F}"/>
    <cellStyle name="20% - Accent4 24" xfId="495" xr:uid="{44908FC7-5A94-4CA6-878E-F73A3214EAED}"/>
    <cellStyle name="20% - Accent4 24 2" xfId="1817" xr:uid="{0630C97D-3210-43BF-819B-52889E16FCBF}"/>
    <cellStyle name="20% - Accent4 24 2 2" xfId="4437" xr:uid="{66C23747-6B04-42A8-ADA7-08517D29B018}"/>
    <cellStyle name="20% - Accent4 24 3" xfId="3125" xr:uid="{38785B83-E275-46BF-8CC3-22BFF8091B41}"/>
    <cellStyle name="20% - Accent4 25" xfId="515" xr:uid="{3B3882DF-6117-4609-8F2D-5908538FA621}"/>
    <cellStyle name="20% - Accent4 25 2" xfId="1837" xr:uid="{2DA93866-FC28-439F-A724-861DC6310EA4}"/>
    <cellStyle name="20% - Accent4 25 2 2" xfId="4457" xr:uid="{F4F13CD6-6A9A-46B6-B992-2B0A4CCDF5F1}"/>
    <cellStyle name="20% - Accent4 25 3" xfId="3145" xr:uid="{45881E20-2CD7-4ED0-8EA0-9A2264F17202}"/>
    <cellStyle name="20% - Accent4 26" xfId="535" xr:uid="{A579F059-4A78-456F-BA2B-B64148714ADE}"/>
    <cellStyle name="20% - Accent4 26 2" xfId="1857" xr:uid="{1065A712-8F1A-4F57-AF4F-D3992937D02A}"/>
    <cellStyle name="20% - Accent4 26 2 2" xfId="4477" xr:uid="{B87E08FE-B18B-45B5-8103-5D1A79A7C35E}"/>
    <cellStyle name="20% - Accent4 26 3" xfId="3165" xr:uid="{FF7438B3-8F46-4D17-89EA-8F7D5712D79E}"/>
    <cellStyle name="20% - Accent4 27" xfId="555" xr:uid="{AEEF301C-41F9-43E8-9453-C5D7F64C0E1B}"/>
    <cellStyle name="20% - Accent4 27 2" xfId="1877" xr:uid="{5DF8BDA7-A127-4E69-BF54-BC65770D7596}"/>
    <cellStyle name="20% - Accent4 27 2 2" xfId="4497" xr:uid="{2F573CE1-DAF8-4914-922A-0FF25703C787}"/>
    <cellStyle name="20% - Accent4 27 3" xfId="3185" xr:uid="{D9772068-AB7A-45F8-A150-57391EE21D7B}"/>
    <cellStyle name="20% - Accent4 28" xfId="1055" xr:uid="{F0838E6A-2DF7-427B-B91A-B110B6324EDB}"/>
    <cellStyle name="20% - Accent4 28 2" xfId="2377" xr:uid="{13E668C3-F332-4DDB-A24A-792C5CA3BCC2}"/>
    <cellStyle name="20% - Accent4 28 2 2" xfId="4997" xr:uid="{F80836A8-8ED9-4C4D-8E25-656874B065BF}"/>
    <cellStyle name="20% - Accent4 28 3" xfId="3685" xr:uid="{77CD8263-80EC-4D56-8BA7-5CD8A6694101}"/>
    <cellStyle name="20% - Accent4 29" xfId="1075" xr:uid="{3BB6390B-2206-4C8E-B193-E3AE39912A83}"/>
    <cellStyle name="20% - Accent4 29 2" xfId="2397" xr:uid="{22D345EA-6B64-4EBA-9955-FD18B6F4AD43}"/>
    <cellStyle name="20% - Accent4 29 2 2" xfId="5017" xr:uid="{64C8501E-F165-43A7-A5D3-7D6609A9E9AA}"/>
    <cellStyle name="20% - Accent4 29 3" xfId="3705" xr:uid="{E80971A6-06B7-4F86-805B-0C1B589AAEAB}"/>
    <cellStyle name="20% - Accent4 3" xfId="74" xr:uid="{4872704E-07E9-4C46-A6BA-67C328E9B57C}"/>
    <cellStyle name="20% - Accent4 3 2" xfId="1396" xr:uid="{13EB9A13-5AEC-4070-8D5F-18BF5B98ABEE}"/>
    <cellStyle name="20% - Accent4 3 2 2" xfId="4017" xr:uid="{34FABE08-2EE0-4092-A01B-B2F86BC13961}"/>
    <cellStyle name="20% - Accent4 3 3" xfId="2705" xr:uid="{7FB17C7F-046B-43D8-8A7D-240295D0F6E2}"/>
    <cellStyle name="20% - Accent4 30" xfId="1095" xr:uid="{47EF1E05-BC7E-48AA-834A-A02BEF6BE9DD}"/>
    <cellStyle name="20% - Accent4 30 2" xfId="2417" xr:uid="{4D8B82BD-2989-46F2-898D-C7C4ADC7E25B}"/>
    <cellStyle name="20% - Accent4 30 2 2" xfId="5037" xr:uid="{D50BD943-E41A-42FF-8223-DB1409F01877}"/>
    <cellStyle name="20% - Accent4 30 3" xfId="3725" xr:uid="{3FAF977A-CBC3-4B8D-85FF-173A5CC7EFA2}"/>
    <cellStyle name="20% - Accent4 31" xfId="1115" xr:uid="{2809F286-4EB5-4045-8CBC-CBC33D5CE14F}"/>
    <cellStyle name="20% - Accent4 31 2" xfId="2437" xr:uid="{5C08FFD0-F4CC-4C59-BE09-0A9442529100}"/>
    <cellStyle name="20% - Accent4 31 2 2" xfId="5057" xr:uid="{E39DABB8-6CB5-453B-9EDB-D86036D24780}"/>
    <cellStyle name="20% - Accent4 31 3" xfId="3745" xr:uid="{B595013F-12C7-4E18-B7A2-F742F0A516C0}"/>
    <cellStyle name="20% - Accent4 4" xfId="95" xr:uid="{1EDD95B8-DB1C-4AB7-A180-6ABD61CF436D}"/>
    <cellStyle name="20% - Accent4 4 2" xfId="1417" xr:uid="{3A90FC23-5081-44C2-BCA5-44FA0B1D3234}"/>
    <cellStyle name="20% - Accent4 4 2 2" xfId="4037" xr:uid="{E3F6C153-318A-4ECE-8680-1B32F3869FE5}"/>
    <cellStyle name="20% - Accent4 4 3" xfId="2725" xr:uid="{4F897858-C117-4937-9B99-9419F9CC0571}"/>
    <cellStyle name="20% - Accent4 5" xfId="115" xr:uid="{1C7EF9BE-E82A-4D34-BFAC-BC464CCC80A4}"/>
    <cellStyle name="20% - Accent4 5 2" xfId="1437" xr:uid="{3A1EC849-CC4E-47D0-BACF-11CD9FA40ABD}"/>
    <cellStyle name="20% - Accent4 5 2 2" xfId="4057" xr:uid="{487E52E4-FF17-45D6-83EC-DCB6CED61A8F}"/>
    <cellStyle name="20% - Accent4 5 3" xfId="2745" xr:uid="{ECE9FD77-292C-4525-AA64-9D9746D5AD2D}"/>
    <cellStyle name="20% - Accent4 6" xfId="135" xr:uid="{BAC7D112-624F-4E75-AAE0-4E26C033BF9D}"/>
    <cellStyle name="20% - Accent4 6 2" xfId="1457" xr:uid="{1FD675F8-B81D-4B9C-A61B-D7B529551947}"/>
    <cellStyle name="20% - Accent4 6 2 2" xfId="4077" xr:uid="{E5C6CDB6-CFFD-4FAD-B7DF-D52CC4F8B805}"/>
    <cellStyle name="20% - Accent4 6 3" xfId="2765" xr:uid="{5C0B89CB-87A6-4AE2-A386-57C0689217D8}"/>
    <cellStyle name="20% - Accent4 7" xfId="155" xr:uid="{C736AE07-0BAB-46F0-93D7-7A5EF6D4B611}"/>
    <cellStyle name="20% - Accent4 7 2" xfId="1477" xr:uid="{641D5E56-EB9F-465A-8D80-6FCA32E2CBC7}"/>
    <cellStyle name="20% - Accent4 7 2 2" xfId="4097" xr:uid="{A041E174-A044-44A9-AD2F-C3BCEB30622B}"/>
    <cellStyle name="20% - Accent4 7 3" xfId="2785" xr:uid="{AE8CDC3F-6C65-4F81-AAE8-BEE07C5C42D5}"/>
    <cellStyle name="20% - Accent4 8" xfId="175" xr:uid="{D98DD441-26C3-4BE6-983D-9869F913C680}"/>
    <cellStyle name="20% - Accent4 8 2" xfId="1497" xr:uid="{3A51DC5C-791D-44D1-95D2-B9A89559A71F}"/>
    <cellStyle name="20% - Accent4 8 2 2" xfId="4117" xr:uid="{A46B2ECA-D7D1-4321-953A-5907C0B3715C}"/>
    <cellStyle name="20% - Accent4 8 3" xfId="2805" xr:uid="{14C5332A-6602-45C5-B1AB-E9B963D4D736}"/>
    <cellStyle name="20% - Accent4 9" xfId="195" xr:uid="{83FA34AF-BE72-4E08-B0EB-78E516AA41FE}"/>
    <cellStyle name="20% - Accent4 9 2" xfId="1517" xr:uid="{EA15F825-AFEB-416D-8A22-8009C40C2245}"/>
    <cellStyle name="20% - Accent4 9 2 2" xfId="4137" xr:uid="{DC8240EE-5837-4459-B37E-5892743CD5B2}"/>
    <cellStyle name="20% - Accent4 9 3" xfId="2825" xr:uid="{9B9D0D13-DC83-4B8F-8E1C-147C36A8DA07}"/>
    <cellStyle name="20% - Accent5 10" xfId="218" xr:uid="{8B076424-4DFB-4BF8-8C34-9D36F5155BE6}"/>
    <cellStyle name="20% - Accent5 10 2" xfId="1540" xr:uid="{2BBB3444-C5AE-4399-8C7F-A5EF9E982F5B}"/>
    <cellStyle name="20% - Accent5 10 2 2" xfId="4160" xr:uid="{EF0B6F76-B4A3-4210-B29B-92BF49FE0931}"/>
    <cellStyle name="20% - Accent5 10 3" xfId="2848" xr:uid="{2A7C3B0E-01F5-4FF5-8E95-9B6764C8B247}"/>
    <cellStyle name="20% - Accent5 11" xfId="238" xr:uid="{931BA6DF-B310-44AF-86C2-A51CDAD66207}"/>
    <cellStyle name="20% - Accent5 11 2" xfId="1560" xr:uid="{C390B8BC-357D-4590-A890-CDB6FDB4A1A1}"/>
    <cellStyle name="20% - Accent5 11 2 2" xfId="4180" xr:uid="{210C3C85-146D-4F56-A945-7834597F3FAB}"/>
    <cellStyle name="20% - Accent5 11 3" xfId="2868" xr:uid="{92AF7248-50FC-4FF4-AE4F-696361B8EC43}"/>
    <cellStyle name="20% - Accent5 12" xfId="258" xr:uid="{DB0293C0-D8E5-4000-9CD3-092425F399CB}"/>
    <cellStyle name="20% - Accent5 12 2" xfId="1580" xr:uid="{8573805A-344B-4164-8A04-FAB3EE9938E9}"/>
    <cellStyle name="20% - Accent5 12 2 2" xfId="4200" xr:uid="{0AE415E1-0B5B-486D-A7FA-A095AC7C464E}"/>
    <cellStyle name="20% - Accent5 12 3" xfId="2888" xr:uid="{B84FE8D3-83E3-403A-B8FF-EAC49D282577}"/>
    <cellStyle name="20% - Accent5 13" xfId="278" xr:uid="{C7DC562F-CDA1-4184-83EF-87AC340AB425}"/>
    <cellStyle name="20% - Accent5 13 2" xfId="1600" xr:uid="{EE0C6A1D-3E3D-4F42-91C7-38867370664A}"/>
    <cellStyle name="20% - Accent5 13 2 2" xfId="4220" xr:uid="{C21D6BC6-09E2-4BE0-92AB-750D8C9C1859}"/>
    <cellStyle name="20% - Accent5 13 3" xfId="2908" xr:uid="{7A40FF5D-F8E9-430F-BE3E-FF9F05238545}"/>
    <cellStyle name="20% - Accent5 14" xfId="298" xr:uid="{C6CD5EEE-24AE-4E50-9071-64F1C0B7FDFF}"/>
    <cellStyle name="20% - Accent5 14 2" xfId="1620" xr:uid="{25C07D1C-CE01-4773-AC25-95842F7ECB20}"/>
    <cellStyle name="20% - Accent5 14 2 2" xfId="4240" xr:uid="{14B179B1-F3DA-41D2-9A38-9C8BECD17856}"/>
    <cellStyle name="20% - Accent5 14 3" xfId="2928" xr:uid="{E806E321-5305-4823-B981-013562656A9A}"/>
    <cellStyle name="20% - Accent5 15" xfId="318" xr:uid="{A2D1D5AC-85F4-486B-A0EB-3A92B730D536}"/>
    <cellStyle name="20% - Accent5 15 2" xfId="1640" xr:uid="{D920428D-30EF-4FCA-B19E-7A1C832DD24A}"/>
    <cellStyle name="20% - Accent5 15 2 2" xfId="4260" xr:uid="{53694856-0B05-4CC2-A703-30A3D9E58DD1}"/>
    <cellStyle name="20% - Accent5 15 3" xfId="2948" xr:uid="{BC773766-98E1-448B-BDCA-68763ACA9AE8}"/>
    <cellStyle name="20% - Accent5 16" xfId="338" xr:uid="{3073E80F-0AA6-4345-812C-DEF06AA2BB47}"/>
    <cellStyle name="20% - Accent5 16 2" xfId="1660" xr:uid="{097FA8DC-10D7-4828-BC23-57D21771021F}"/>
    <cellStyle name="20% - Accent5 16 2 2" xfId="4280" xr:uid="{83976C67-9960-40D9-A02F-7906D47D20A1}"/>
    <cellStyle name="20% - Accent5 16 3" xfId="2968" xr:uid="{E1C8AD00-AF69-4D92-8047-4228068CFDCB}"/>
    <cellStyle name="20% - Accent5 17" xfId="358" xr:uid="{3766EF79-831E-4AAB-B950-D815F5F04C5C}"/>
    <cellStyle name="20% - Accent5 17 2" xfId="1680" xr:uid="{F7A8B114-4AB8-46AD-89B6-A6DF8CA0207B}"/>
    <cellStyle name="20% - Accent5 17 2 2" xfId="4300" xr:uid="{B5E10B20-E9A7-4E6E-9288-E512AA185253}"/>
    <cellStyle name="20% - Accent5 17 3" xfId="2988" xr:uid="{FFB163A0-BFCB-4A45-AB9C-E199005D1879}"/>
    <cellStyle name="20% - Accent5 18" xfId="378" xr:uid="{F4505190-59C4-43CA-9C08-B9F2B226E112}"/>
    <cellStyle name="20% - Accent5 18 2" xfId="1700" xr:uid="{7D10D8DD-7399-42D8-94AD-D17E45DF6CA6}"/>
    <cellStyle name="20% - Accent5 18 2 2" xfId="4320" xr:uid="{865941F2-D839-461C-A576-C75F09C76F06}"/>
    <cellStyle name="20% - Accent5 18 3" xfId="3008" xr:uid="{4B4D75E3-AFF6-459C-B0CE-3064ED4CEA0D}"/>
    <cellStyle name="20% - Accent5 19" xfId="398" xr:uid="{CCFF75A6-8F01-42E9-96E4-D9BC9B260AD5}"/>
    <cellStyle name="20% - Accent5 19 2" xfId="1720" xr:uid="{CCBB94C1-68BA-4DF2-A695-641427C8D1F3}"/>
    <cellStyle name="20% - Accent5 19 2 2" xfId="4340" xr:uid="{0D5C5757-779D-4D50-B7D7-446BE54F7A60}"/>
    <cellStyle name="20% - Accent5 19 3" xfId="3028" xr:uid="{C6DC2AB6-B2A6-434B-A2BE-D21C1502B6C7}"/>
    <cellStyle name="20% - Accent5 2" xfId="57" xr:uid="{A5E10399-43BF-4286-865B-984AE4308249}"/>
    <cellStyle name="20% - Accent5 2 2" xfId="1379" xr:uid="{1D6C9E65-0A74-45B6-9C7A-1B2C159217C5}"/>
    <cellStyle name="20% - Accent5 2 2 2" xfId="4000" xr:uid="{31D4B7D7-042E-47A5-BD88-196C5D0C2B43}"/>
    <cellStyle name="20% - Accent5 2 3" xfId="2688" xr:uid="{0BFE828F-1EE3-4472-AAF5-99BC141559A7}"/>
    <cellStyle name="20% - Accent5 20" xfId="418" xr:uid="{CE150360-C727-4C8F-ADC1-9E8A4AF02026}"/>
    <cellStyle name="20% - Accent5 20 2" xfId="1740" xr:uid="{CCAED31B-78F3-46EA-A301-2E12854BE547}"/>
    <cellStyle name="20% - Accent5 20 2 2" xfId="4360" xr:uid="{9E607152-AE55-47B2-B2D0-D621C8538A82}"/>
    <cellStyle name="20% - Accent5 20 3" xfId="3048" xr:uid="{1490CDBE-3844-44CE-906D-B912EF9341C1}"/>
    <cellStyle name="20% - Accent5 21" xfId="438" xr:uid="{66194D6B-3E82-42F6-A7BB-0A2AC4DEEF8F}"/>
    <cellStyle name="20% - Accent5 21 2" xfId="1760" xr:uid="{71416FAB-6AB6-4BE6-9EBC-A72D7D41B675}"/>
    <cellStyle name="20% - Accent5 21 2 2" xfId="4380" xr:uid="{2AE843CA-BF7B-4134-A4B4-D722773F8D46}"/>
    <cellStyle name="20% - Accent5 21 3" xfId="3068" xr:uid="{1647E191-4C90-4AA7-BD28-CB28B04B0E5B}"/>
    <cellStyle name="20% - Accent5 22" xfId="458" xr:uid="{D88446B8-36A6-45C6-8AFC-A8BE5B01E981}"/>
    <cellStyle name="20% - Accent5 22 2" xfId="1780" xr:uid="{D949ADED-3ABD-4EBC-87DD-10862D134531}"/>
    <cellStyle name="20% - Accent5 22 2 2" xfId="4400" xr:uid="{1ADBA217-AF72-4FE6-9BE6-B2F162B4FC06}"/>
    <cellStyle name="20% - Accent5 22 3" xfId="3088" xr:uid="{E1989924-57F2-47E2-8661-1B34E00F7C9A}"/>
    <cellStyle name="20% - Accent5 23" xfId="478" xr:uid="{95E8A94B-50D8-40AC-83E6-1EF249894A5E}"/>
    <cellStyle name="20% - Accent5 23 2" xfId="1800" xr:uid="{257BE2B9-01C5-4700-8734-8BF223552AD0}"/>
    <cellStyle name="20% - Accent5 23 2 2" xfId="4420" xr:uid="{5AB1CAC7-7780-4288-A070-B045E16EABA9}"/>
    <cellStyle name="20% - Accent5 23 3" xfId="3108" xr:uid="{EBE90E2E-878C-4F97-B752-C66D19D3B367}"/>
    <cellStyle name="20% - Accent5 24" xfId="498" xr:uid="{34F33F07-9642-46BF-A835-3D21A54FA962}"/>
    <cellStyle name="20% - Accent5 24 2" xfId="1820" xr:uid="{8D416117-0075-4057-8465-69F174AA7E9B}"/>
    <cellStyle name="20% - Accent5 24 2 2" xfId="4440" xr:uid="{C1D05952-4732-4173-AC0C-1D5F456B8128}"/>
    <cellStyle name="20% - Accent5 24 3" xfId="3128" xr:uid="{009A9A52-EA4E-432D-AC43-0B0E2D19B5EF}"/>
    <cellStyle name="20% - Accent5 25" xfId="518" xr:uid="{312FC454-877F-448A-AD39-8B223671F59B}"/>
    <cellStyle name="20% - Accent5 25 2" xfId="1840" xr:uid="{D7216C4C-6813-4361-84C5-AC5FDCF79C9A}"/>
    <cellStyle name="20% - Accent5 25 2 2" xfId="4460" xr:uid="{FA59C470-1D6A-4F43-A6FB-54256763457C}"/>
    <cellStyle name="20% - Accent5 25 3" xfId="3148" xr:uid="{11EC7E15-E960-4D6E-BE4C-30CC8AFEEA4A}"/>
    <cellStyle name="20% - Accent5 26" xfId="538" xr:uid="{FD9FBB6A-2B06-44C0-BA12-C92A3684A7A3}"/>
    <cellStyle name="20% - Accent5 26 2" xfId="1860" xr:uid="{A4182396-D255-429F-A865-BEE7DE13D3B7}"/>
    <cellStyle name="20% - Accent5 26 2 2" xfId="4480" xr:uid="{B3D8F997-DF88-443F-B00B-BC31E185A1CB}"/>
    <cellStyle name="20% - Accent5 26 3" xfId="3168" xr:uid="{BF8570BE-EC4C-4372-BFBD-A4B2A703BEAF}"/>
    <cellStyle name="20% - Accent5 27" xfId="558" xr:uid="{24A14A0A-D3C2-4FF6-A9D4-8AF8048FECFE}"/>
    <cellStyle name="20% - Accent5 27 2" xfId="1880" xr:uid="{7A153F1F-1E16-4E7A-9169-C68AAC128715}"/>
    <cellStyle name="20% - Accent5 27 2 2" xfId="4500" xr:uid="{7D6835CC-436D-4839-8F93-C22C0F4F5FAB}"/>
    <cellStyle name="20% - Accent5 27 3" xfId="3188" xr:uid="{22899C1A-D08F-4B78-AF4A-E894BDECFBD5}"/>
    <cellStyle name="20% - Accent5 28" xfId="1058" xr:uid="{DBAE2520-96F7-4BEB-BE65-0DC2342F6300}"/>
    <cellStyle name="20% - Accent5 28 2" xfId="2380" xr:uid="{F582E173-C890-4B16-A088-8924BCB9BC4C}"/>
    <cellStyle name="20% - Accent5 28 2 2" xfId="5000" xr:uid="{40D152E3-DA86-43F0-BD54-B1EDB8FB68F5}"/>
    <cellStyle name="20% - Accent5 28 3" xfId="3688" xr:uid="{4AF91570-3689-4E93-9A46-8071BA7F6AB2}"/>
    <cellStyle name="20% - Accent5 29" xfId="1078" xr:uid="{4B024D6F-0C99-447A-A340-74946ADA9768}"/>
    <cellStyle name="20% - Accent5 29 2" xfId="2400" xr:uid="{8AF886DC-020C-4968-A321-1B0D35F37BE9}"/>
    <cellStyle name="20% - Accent5 29 2 2" xfId="5020" xr:uid="{98EC4345-679C-4603-8948-794047111AB7}"/>
    <cellStyle name="20% - Accent5 29 3" xfId="3708" xr:uid="{94C474BB-4996-4963-A601-453F0B7D1743}"/>
    <cellStyle name="20% - Accent5 3" xfId="77" xr:uid="{A98E1BA8-E6CB-4F2D-BDC6-D887ABB8D808}"/>
    <cellStyle name="20% - Accent5 3 2" xfId="1399" xr:uid="{55761E99-15E1-44A9-883E-7DC1747F07DA}"/>
    <cellStyle name="20% - Accent5 3 2 2" xfId="4020" xr:uid="{E73AD82A-0042-45F0-8F04-BA4B7F4F0E79}"/>
    <cellStyle name="20% - Accent5 3 3" xfId="2708" xr:uid="{98E656C6-5C83-4B0A-B58D-C87427D1223C}"/>
    <cellStyle name="20% - Accent5 30" xfId="1098" xr:uid="{19B1106A-4635-413D-8B8C-80AD7E70546F}"/>
    <cellStyle name="20% - Accent5 30 2" xfId="2420" xr:uid="{D8FC4FC0-6A55-44A4-B41B-266B9E157256}"/>
    <cellStyle name="20% - Accent5 30 2 2" xfId="5040" xr:uid="{1D180589-2036-482A-AD0F-1B2476ED0299}"/>
    <cellStyle name="20% - Accent5 30 3" xfId="3728" xr:uid="{A6E78CC2-1B68-4354-8CFE-3E49E866AA43}"/>
    <cellStyle name="20% - Accent5 31" xfId="1118" xr:uid="{56E8D0F1-7621-42A2-BFB6-D55B671D16F9}"/>
    <cellStyle name="20% - Accent5 31 2" xfId="2440" xr:uid="{D020D4C4-3CB5-48F4-9416-8E3D0686C1C2}"/>
    <cellStyle name="20% - Accent5 31 2 2" xfId="5060" xr:uid="{9C3181B6-91E2-466B-A9FA-C67C4ADDBC2D}"/>
    <cellStyle name="20% - Accent5 31 3" xfId="3748" xr:uid="{B97EF7B1-DA39-4039-B682-8E1C039DC06C}"/>
    <cellStyle name="20% - Accent5 4" xfId="98" xr:uid="{62D6C5B0-1157-4574-A08C-FBBDD119DEA0}"/>
    <cellStyle name="20% - Accent5 4 2" xfId="1420" xr:uid="{874F7F98-BF38-4DDA-9D10-224C1166B5BA}"/>
    <cellStyle name="20% - Accent5 4 2 2" xfId="4040" xr:uid="{F7083346-D4FB-4AF6-84E8-E3B1D3B6D11D}"/>
    <cellStyle name="20% - Accent5 4 3" xfId="2728" xr:uid="{DF507209-C956-4BCE-B305-A7130163CC2F}"/>
    <cellStyle name="20% - Accent5 5" xfId="118" xr:uid="{713933D7-146D-4249-83AB-1D35E214F372}"/>
    <cellStyle name="20% - Accent5 5 2" xfId="1440" xr:uid="{0AFDA5D5-5535-40F7-A3B2-D45CFA6938FD}"/>
    <cellStyle name="20% - Accent5 5 2 2" xfId="4060" xr:uid="{EC43BB49-8795-4B91-A3E3-235BAF47478E}"/>
    <cellStyle name="20% - Accent5 5 3" xfId="2748" xr:uid="{D2ACD58A-45FA-4B80-A5D3-9A424CB6C352}"/>
    <cellStyle name="20% - Accent5 6" xfId="138" xr:uid="{AD9D6696-A1B8-4477-AD21-489CECB4BFC8}"/>
    <cellStyle name="20% - Accent5 6 2" xfId="1460" xr:uid="{C285838A-4D12-4C39-8AF8-EF7659794C44}"/>
    <cellStyle name="20% - Accent5 6 2 2" xfId="4080" xr:uid="{58A9E150-DA5C-45CE-899D-2EDAC707B3A1}"/>
    <cellStyle name="20% - Accent5 6 3" xfId="2768" xr:uid="{27A467B2-6676-4765-89BC-538654F904D2}"/>
    <cellStyle name="20% - Accent5 7" xfId="158" xr:uid="{22E6E9F9-A9C7-4ACF-B2CC-B6D7C6A46977}"/>
    <cellStyle name="20% - Accent5 7 2" xfId="1480" xr:uid="{BA469F28-E484-49DB-98DA-98310FB379A3}"/>
    <cellStyle name="20% - Accent5 7 2 2" xfId="4100" xr:uid="{A1133B6C-52B5-4603-8A61-0CC3FC008898}"/>
    <cellStyle name="20% - Accent5 7 3" xfId="2788" xr:uid="{ADF31564-9BB0-4DAB-94C9-51A990F14618}"/>
    <cellStyle name="20% - Accent5 8" xfId="178" xr:uid="{EEE1606F-71FA-4501-9BED-BEE6A7A55516}"/>
    <cellStyle name="20% - Accent5 8 2" xfId="1500" xr:uid="{81DADF2D-7D8F-4244-BF5A-9CE8691358F1}"/>
    <cellStyle name="20% - Accent5 8 2 2" xfId="4120" xr:uid="{25D4F6B5-E9A9-483D-8487-6C5B2140C8F8}"/>
    <cellStyle name="20% - Accent5 8 3" xfId="2808" xr:uid="{160839B4-D490-4D27-9292-5793E0775A67}"/>
    <cellStyle name="20% - Accent5 9" xfId="198" xr:uid="{ABCD13A6-D710-484C-BA2A-C36DC32FB30B}"/>
    <cellStyle name="20% - Accent5 9 2" xfId="1520" xr:uid="{CF7A15FC-08D7-47B4-9433-0C38014B595D}"/>
    <cellStyle name="20% - Accent5 9 2 2" xfId="4140" xr:uid="{4FA086F7-1502-4396-B841-D93157C17649}"/>
    <cellStyle name="20% - Accent5 9 3" xfId="2828" xr:uid="{42E547FC-328A-4153-A938-020D6314D83D}"/>
    <cellStyle name="20% - Accent6 10" xfId="221" xr:uid="{6A08C324-5370-47BB-B3E6-82FDF2D09679}"/>
    <cellStyle name="20% - Accent6 10 2" xfId="1543" xr:uid="{B5B78191-2A44-46FE-8363-FAF3C0CE7E40}"/>
    <cellStyle name="20% - Accent6 10 2 2" xfId="4163" xr:uid="{8847A78A-D997-4FE5-ACC0-A98223CB261A}"/>
    <cellStyle name="20% - Accent6 10 3" xfId="2851" xr:uid="{1FA3688E-1B84-41AF-A8F0-F0A2AE42ACAF}"/>
    <cellStyle name="20% - Accent6 11" xfId="241" xr:uid="{E5E82EAC-6DEF-4D1B-A011-ACA2FC3B7EB2}"/>
    <cellStyle name="20% - Accent6 11 2" xfId="1563" xr:uid="{1365BC88-349F-4114-B672-238A9028CC1A}"/>
    <cellStyle name="20% - Accent6 11 2 2" xfId="4183" xr:uid="{D28DCB70-A416-48E5-B10C-F28E4988BBE7}"/>
    <cellStyle name="20% - Accent6 11 3" xfId="2871" xr:uid="{701687ED-EFB3-41C2-ADCD-41354914E0AE}"/>
    <cellStyle name="20% - Accent6 12" xfId="261" xr:uid="{13E2D388-379E-4E9F-B93F-6C38F4998207}"/>
    <cellStyle name="20% - Accent6 12 2" xfId="1583" xr:uid="{8C26DBCC-FD30-4F34-AFFF-517CD5AEE493}"/>
    <cellStyle name="20% - Accent6 12 2 2" xfId="4203" xr:uid="{51EABA0C-F41B-45B3-9245-AD544C6A90B2}"/>
    <cellStyle name="20% - Accent6 12 3" xfId="2891" xr:uid="{24F3CF82-47B0-4F12-B121-6D5976009E44}"/>
    <cellStyle name="20% - Accent6 13" xfId="281" xr:uid="{B04D4487-63F1-4B55-A947-573B8D384EC1}"/>
    <cellStyle name="20% - Accent6 13 2" xfId="1603" xr:uid="{E1E6E80E-CE72-4CE8-9C99-4F99B48DAD56}"/>
    <cellStyle name="20% - Accent6 13 2 2" xfId="4223" xr:uid="{28B4E967-5C85-4655-83A0-7D31B0F517C5}"/>
    <cellStyle name="20% - Accent6 13 3" xfId="2911" xr:uid="{75418A75-FDB5-49FA-918A-D2D08409AFC3}"/>
    <cellStyle name="20% - Accent6 14" xfId="301" xr:uid="{3CB3ECC8-B5CA-432A-B161-24A5A77E84E4}"/>
    <cellStyle name="20% - Accent6 14 2" xfId="1623" xr:uid="{AB4CF0AB-C937-4201-8EBE-453CC74A28FD}"/>
    <cellStyle name="20% - Accent6 14 2 2" xfId="4243" xr:uid="{38858F17-7B3F-4983-AF82-7E8F4D989F24}"/>
    <cellStyle name="20% - Accent6 14 3" xfId="2931" xr:uid="{984C7F67-099A-4AF3-8CA3-0BB584841EF0}"/>
    <cellStyle name="20% - Accent6 15" xfId="321" xr:uid="{47C8903A-02B8-4191-875D-44712B69A5CD}"/>
    <cellStyle name="20% - Accent6 15 2" xfId="1643" xr:uid="{924F20DA-0A3B-4FAA-BB00-C0977FDD04FD}"/>
    <cellStyle name="20% - Accent6 15 2 2" xfId="4263" xr:uid="{B5E10161-6140-4D7B-8F4B-8D3286583516}"/>
    <cellStyle name="20% - Accent6 15 3" xfId="2951" xr:uid="{93F3957A-8C47-4C46-B756-8B15C97DD2AC}"/>
    <cellStyle name="20% - Accent6 16" xfId="341" xr:uid="{DDEF2F1E-6C4F-4E62-9E11-C4FE2A8D5EE5}"/>
    <cellStyle name="20% - Accent6 16 2" xfId="1663" xr:uid="{8E906793-33D1-4172-9277-32B50D3DFA3F}"/>
    <cellStyle name="20% - Accent6 16 2 2" xfId="4283" xr:uid="{763B853A-8889-48F3-A01A-41279B27B800}"/>
    <cellStyle name="20% - Accent6 16 3" xfId="2971" xr:uid="{685A3802-71FE-4F1C-BB09-012508EAC21B}"/>
    <cellStyle name="20% - Accent6 17" xfId="361" xr:uid="{EA028AC9-F547-4C39-937A-092AFF56B4EF}"/>
    <cellStyle name="20% - Accent6 17 2" xfId="1683" xr:uid="{7E11FD3C-52E4-4352-81B3-2729BFA7EB78}"/>
    <cellStyle name="20% - Accent6 17 2 2" xfId="4303" xr:uid="{BED57B9A-D448-45F8-9F98-E3A814EBB296}"/>
    <cellStyle name="20% - Accent6 17 3" xfId="2991" xr:uid="{0B4877FD-229A-420D-B65F-B1C2395FA965}"/>
    <cellStyle name="20% - Accent6 18" xfId="381" xr:uid="{CCC12F07-0341-4C37-B4B7-5C9D717526F9}"/>
    <cellStyle name="20% - Accent6 18 2" xfId="1703" xr:uid="{E86480E4-D3A4-46BA-8B34-190ECEF67113}"/>
    <cellStyle name="20% - Accent6 18 2 2" xfId="4323" xr:uid="{6E7D7132-EC3D-445A-8100-C7B02E5AFDA5}"/>
    <cellStyle name="20% - Accent6 18 3" xfId="3011" xr:uid="{47125755-FE74-4F42-9C21-71D2915B4CBD}"/>
    <cellStyle name="20% - Accent6 19" xfId="401" xr:uid="{B056CE39-A5BA-4B78-9057-26E982C9C32D}"/>
    <cellStyle name="20% - Accent6 19 2" xfId="1723" xr:uid="{B74DBB39-9183-4FA8-8876-5901A19B4DA7}"/>
    <cellStyle name="20% - Accent6 19 2 2" xfId="4343" xr:uid="{D7DC5FD9-408C-4A5E-843A-3D0D32D830FE}"/>
    <cellStyle name="20% - Accent6 19 3" xfId="3031" xr:uid="{19142FC9-B0A7-4F32-A1EA-05D932EA6CE3}"/>
    <cellStyle name="20% - Accent6 2" xfId="60" xr:uid="{CA97E937-3CB9-4C87-8B9A-D7CB503387FA}"/>
    <cellStyle name="20% - Accent6 2 2" xfId="1382" xr:uid="{CAEF28D5-648A-4D5B-8448-38DF15D48015}"/>
    <cellStyle name="20% - Accent6 2 2 2" xfId="4003" xr:uid="{3DF2E69F-6BA9-430E-B305-85D6D6E797DD}"/>
    <cellStyle name="20% - Accent6 2 3" xfId="2691" xr:uid="{B4FC1727-0749-4C18-B8F5-BB25C8F5715E}"/>
    <cellStyle name="20% - Accent6 20" xfId="421" xr:uid="{E1E0012F-22C4-48AB-B1D5-F9ED7C35781D}"/>
    <cellStyle name="20% - Accent6 20 2" xfId="1743" xr:uid="{A50E0284-F776-4D30-AE98-A4A626203DD5}"/>
    <cellStyle name="20% - Accent6 20 2 2" xfId="4363" xr:uid="{23847501-9427-4529-A302-A07C8EF0F53B}"/>
    <cellStyle name="20% - Accent6 20 3" xfId="3051" xr:uid="{5F7C4DA7-50D2-457B-A442-03D7AFD1EAD7}"/>
    <cellStyle name="20% - Accent6 21" xfId="441" xr:uid="{FE8A9813-6685-4B48-ABF0-CACF1751CACB}"/>
    <cellStyle name="20% - Accent6 21 2" xfId="1763" xr:uid="{C5897636-95D2-4931-AB8A-98C4BD2E53AD}"/>
    <cellStyle name="20% - Accent6 21 2 2" xfId="4383" xr:uid="{CDAE54C2-16A3-4C7A-A820-3F0125D93FFB}"/>
    <cellStyle name="20% - Accent6 21 3" xfId="3071" xr:uid="{1254D1FF-CB5D-4AB7-A52D-2D65A03FC9C5}"/>
    <cellStyle name="20% - Accent6 22" xfId="461" xr:uid="{CE47947A-4A2B-45FF-96FA-719698289984}"/>
    <cellStyle name="20% - Accent6 22 2" xfId="1783" xr:uid="{7C2D85A1-4888-4E8C-B49F-26E8ED281CAA}"/>
    <cellStyle name="20% - Accent6 22 2 2" xfId="4403" xr:uid="{3F2C664F-76EB-44DA-99A9-E35DC09437F0}"/>
    <cellStyle name="20% - Accent6 22 3" xfId="3091" xr:uid="{41545C2B-772A-4414-BC0D-C63F840F1A54}"/>
    <cellStyle name="20% - Accent6 23" xfId="481" xr:uid="{6F271E27-70A9-42CC-83AE-4935FE005470}"/>
    <cellStyle name="20% - Accent6 23 2" xfId="1803" xr:uid="{EA068688-CB8E-45E3-9C8C-29E99E806A6C}"/>
    <cellStyle name="20% - Accent6 23 2 2" xfId="4423" xr:uid="{A6DFD2B9-37DE-4FD7-B5BA-F167CAA74B3B}"/>
    <cellStyle name="20% - Accent6 23 3" xfId="3111" xr:uid="{62C7C9D4-600A-4D85-BC7D-600399D3DBBA}"/>
    <cellStyle name="20% - Accent6 24" xfId="501" xr:uid="{EF2AE281-34E0-40C3-A488-B2B0932E2589}"/>
    <cellStyle name="20% - Accent6 24 2" xfId="1823" xr:uid="{2EE0CAAA-C123-4441-9439-5F601EBCDEC3}"/>
    <cellStyle name="20% - Accent6 24 2 2" xfId="4443" xr:uid="{96540D99-1095-4DAB-9308-462FA48D84BE}"/>
    <cellStyle name="20% - Accent6 24 3" xfId="3131" xr:uid="{12D4B4F8-8EE9-4405-AB47-988D64AD4FC5}"/>
    <cellStyle name="20% - Accent6 25" xfId="521" xr:uid="{5692579B-3772-4C9F-BE69-8D296FBAD19B}"/>
    <cellStyle name="20% - Accent6 25 2" xfId="1843" xr:uid="{14154BEE-D025-48BC-98D6-6943A7CFE02A}"/>
    <cellStyle name="20% - Accent6 25 2 2" xfId="4463" xr:uid="{6D143BBF-22AB-4F91-992A-E959146CC724}"/>
    <cellStyle name="20% - Accent6 25 3" xfId="3151" xr:uid="{721EBB22-B770-4423-89A8-63C2328C1FE1}"/>
    <cellStyle name="20% - Accent6 26" xfId="541" xr:uid="{95AD1B4A-802E-4954-A747-D9FE2BFA4993}"/>
    <cellStyle name="20% - Accent6 26 2" xfId="1863" xr:uid="{D3AF181E-4A50-48BC-AEEE-1D0B1A276EA0}"/>
    <cellStyle name="20% - Accent6 26 2 2" xfId="4483" xr:uid="{086C3F34-9066-40FB-9187-F99D69880937}"/>
    <cellStyle name="20% - Accent6 26 3" xfId="3171" xr:uid="{6EE82E4F-EFDB-4D1E-8D04-C88CB25BD506}"/>
    <cellStyle name="20% - Accent6 27" xfId="561" xr:uid="{603DF59A-4EFF-41CA-856F-B8ABF7351CCF}"/>
    <cellStyle name="20% - Accent6 27 2" xfId="1883" xr:uid="{DEE3CA3E-CDAA-413F-9DB7-ACE55E095ED0}"/>
    <cellStyle name="20% - Accent6 27 2 2" xfId="4503" xr:uid="{136D8337-78FA-415E-B86F-5433FDF47289}"/>
    <cellStyle name="20% - Accent6 27 3" xfId="3191" xr:uid="{07A6F489-2E8E-4471-9BFA-D8652B64922A}"/>
    <cellStyle name="20% - Accent6 28" xfId="1061" xr:uid="{B43E3839-B98A-4DAC-8166-AD342F9E4FD0}"/>
    <cellStyle name="20% - Accent6 28 2" xfId="2383" xr:uid="{063EE3FB-6C16-4F20-A4B4-024F514EB4E9}"/>
    <cellStyle name="20% - Accent6 28 2 2" xfId="5003" xr:uid="{C15DCEE9-47AC-4088-BEAD-323A6876974D}"/>
    <cellStyle name="20% - Accent6 28 3" xfId="3691" xr:uid="{BB6CBE45-3819-4796-B9E7-89C5033704C1}"/>
    <cellStyle name="20% - Accent6 29" xfId="1081" xr:uid="{F6D689E7-C962-42C2-ACEC-FACD7BBE60EA}"/>
    <cellStyle name="20% - Accent6 29 2" xfId="2403" xr:uid="{FB55CF9E-53BD-45D5-B526-48309DF1E2C9}"/>
    <cellStyle name="20% - Accent6 29 2 2" xfId="5023" xr:uid="{05E7B672-E947-4DA2-BDCE-72D9F249E360}"/>
    <cellStyle name="20% - Accent6 29 3" xfId="3711" xr:uid="{3A36BB4C-E2B9-486F-BCFA-93893064016E}"/>
    <cellStyle name="20% - Accent6 3" xfId="80" xr:uid="{8FCF5F51-7FE5-441F-A318-8EBBB6E88581}"/>
    <cellStyle name="20% - Accent6 3 2" xfId="1402" xr:uid="{F9A19D32-8415-4671-A529-13B5F56DE566}"/>
    <cellStyle name="20% - Accent6 3 2 2" xfId="4023" xr:uid="{8A395081-0877-4848-B5F7-EEDA46CF5D73}"/>
    <cellStyle name="20% - Accent6 3 3" xfId="2711" xr:uid="{D0D588B2-5FF1-4DC4-814C-E94042170FCB}"/>
    <cellStyle name="20% - Accent6 30" xfId="1101" xr:uid="{FFF4F4F2-C505-4394-BD0E-57C5EDB98A34}"/>
    <cellStyle name="20% - Accent6 30 2" xfId="2423" xr:uid="{FD892950-9F66-4A80-9E3A-BE9E7259E5DB}"/>
    <cellStyle name="20% - Accent6 30 2 2" xfId="5043" xr:uid="{3433B25B-1D11-4C6F-AD3C-2BB6FAFD6D8E}"/>
    <cellStyle name="20% - Accent6 30 3" xfId="3731" xr:uid="{B568AD03-53FC-483B-9F14-C213EAAFB9DD}"/>
    <cellStyle name="20% - Accent6 31" xfId="1121" xr:uid="{AFE57895-46E5-4358-AD17-C6A300FD0E67}"/>
    <cellStyle name="20% - Accent6 31 2" xfId="2443" xr:uid="{9065E5B4-19D3-47E9-BC5F-E8E09CD611E0}"/>
    <cellStyle name="20% - Accent6 31 2 2" xfId="5063" xr:uid="{E5DD5DE8-6BFF-4B6F-B215-D89072D146B0}"/>
    <cellStyle name="20% - Accent6 31 3" xfId="3751" xr:uid="{491630BD-F8F7-4D37-A82A-01B16C765926}"/>
    <cellStyle name="20% - Accent6 4" xfId="101" xr:uid="{DE404C88-853E-4B01-B893-37D951CE0207}"/>
    <cellStyle name="20% - Accent6 4 2" xfId="1423" xr:uid="{D86E2B1A-23E9-4956-ADC7-6B9A089B9877}"/>
    <cellStyle name="20% - Accent6 4 2 2" xfId="4043" xr:uid="{5AA0BB8B-810E-4E7E-AB93-A3395BFDB8A0}"/>
    <cellStyle name="20% - Accent6 4 3" xfId="2731" xr:uid="{6D90A064-F8A1-437D-93B7-A45904640A3C}"/>
    <cellStyle name="20% - Accent6 5" xfId="121" xr:uid="{2A7BD112-37D4-479E-A751-B02381B92D32}"/>
    <cellStyle name="20% - Accent6 5 2" xfId="1443" xr:uid="{5A6BD565-1FD2-4760-B15A-348E811BF32F}"/>
    <cellStyle name="20% - Accent6 5 2 2" xfId="4063" xr:uid="{73DFA4A6-F1E8-4A44-BA90-D5306EBDCC3F}"/>
    <cellStyle name="20% - Accent6 5 3" xfId="2751" xr:uid="{2C9A9B17-21F3-4FA1-94C0-FCE5782B7F9E}"/>
    <cellStyle name="20% - Accent6 6" xfId="141" xr:uid="{ED72F9D3-B3A3-4F34-AC9C-4C503EA91A42}"/>
    <cellStyle name="20% - Accent6 6 2" xfId="1463" xr:uid="{ED33D801-95C9-4159-8CC2-B74DA7184F3F}"/>
    <cellStyle name="20% - Accent6 6 2 2" xfId="4083" xr:uid="{2C2A31CD-961E-44AD-8784-00AD0C4740C3}"/>
    <cellStyle name="20% - Accent6 6 3" xfId="2771" xr:uid="{ED7F712E-087F-4757-A48E-D3B053340082}"/>
    <cellStyle name="20% - Accent6 7" xfId="161" xr:uid="{2371B674-0C54-4772-8AC8-912D444279CE}"/>
    <cellStyle name="20% - Accent6 7 2" xfId="1483" xr:uid="{F0724D93-FDBD-49CF-A6DE-BAE2866A5362}"/>
    <cellStyle name="20% - Accent6 7 2 2" xfId="4103" xr:uid="{9ACE9CAB-46EA-4221-B464-2B6E55AA6888}"/>
    <cellStyle name="20% - Accent6 7 3" xfId="2791" xr:uid="{1CDCCB4A-F63D-4C23-AD2C-3600A5CCEF12}"/>
    <cellStyle name="20% - Accent6 8" xfId="181" xr:uid="{DB9B8509-8F9B-4884-AB4C-46A71D9CAC15}"/>
    <cellStyle name="20% - Accent6 8 2" xfId="1503" xr:uid="{406B3883-1084-463F-AED3-731F1E319E68}"/>
    <cellStyle name="20% - Accent6 8 2 2" xfId="4123" xr:uid="{507A1F80-F7F5-44DB-BCC6-6C97EB3B9D52}"/>
    <cellStyle name="20% - Accent6 8 3" xfId="2811" xr:uid="{D5B50FA3-EF13-4136-BA7E-3CA725C7F495}"/>
    <cellStyle name="20% - Accent6 9" xfId="201" xr:uid="{FB086620-391C-435A-BC46-52030444E441}"/>
    <cellStyle name="20% - Accent6 9 2" xfId="1523" xr:uid="{74E44D71-13A0-4B38-8FF2-F5885BD9C5D3}"/>
    <cellStyle name="20% - Accent6 9 2 2" xfId="4143" xr:uid="{B7A1272B-2881-4CF4-AFCD-AAD377A5CCAF}"/>
    <cellStyle name="20% - Accent6 9 3" xfId="2831" xr:uid="{905D1AFD-519D-4B18-9520-8DF3966E0423}"/>
    <cellStyle name="20% - Énfasis1" xfId="18" builtinId="30" customBuiltin="1"/>
    <cellStyle name="20% - Énfasis1 10" xfId="726" xr:uid="{FE08999A-C1B4-480E-8E90-0A97CBD7F232}"/>
    <cellStyle name="20% - Énfasis1 10 2" xfId="2048" xr:uid="{4344F99A-FE8C-4D35-AA5D-7206A84B0A84}"/>
    <cellStyle name="20% - Énfasis1 10 2 2" xfId="4668" xr:uid="{019B29D1-7CEE-48FC-8D79-6BCBE0CFD84D}"/>
    <cellStyle name="20% - Énfasis1 10 3" xfId="3356" xr:uid="{862D34F0-07E6-4214-9B2A-F3A2BC87CCD6}"/>
    <cellStyle name="20% - Énfasis1 11" xfId="746" xr:uid="{D191539B-9951-4E8A-8E18-68C9A8079317}"/>
    <cellStyle name="20% - Énfasis1 11 2" xfId="2068" xr:uid="{AA5DE02B-8B19-4947-BB18-3D754855694A}"/>
    <cellStyle name="20% - Énfasis1 11 2 2" xfId="4688" xr:uid="{BEDC5B6B-BD91-459D-9AFD-A9BE4E45384D}"/>
    <cellStyle name="20% - Énfasis1 11 3" xfId="3376" xr:uid="{8C20435B-4BB9-41D4-B066-7D43F322A400}"/>
    <cellStyle name="20% - Énfasis1 12" xfId="766" xr:uid="{E2DBDBDB-FDCC-48FC-8847-476F9E05EF8D}"/>
    <cellStyle name="20% - Énfasis1 12 2" xfId="2088" xr:uid="{37DE7B5A-142A-4069-92D4-5D805E568CA9}"/>
    <cellStyle name="20% - Énfasis1 12 2 2" xfId="4708" xr:uid="{A95A2EE8-A023-49D4-96CB-AA67615FF4AC}"/>
    <cellStyle name="20% - Énfasis1 12 3" xfId="3396" xr:uid="{CDF83F50-89AA-49B7-9062-AF431C131CBC}"/>
    <cellStyle name="20% - Énfasis1 13" xfId="786" xr:uid="{9E90D35E-9863-45E6-A0BB-5A2034FB69CF}"/>
    <cellStyle name="20% - Énfasis1 13 2" xfId="2108" xr:uid="{68289C10-00F4-494E-83F5-15A5486879CC}"/>
    <cellStyle name="20% - Énfasis1 13 2 2" xfId="4728" xr:uid="{EEF651D3-493F-49D6-A585-8B46439AC38D}"/>
    <cellStyle name="20% - Énfasis1 13 3" xfId="3416" xr:uid="{BFE7635D-3D1A-4263-B543-95A3ACA5AF3F}"/>
    <cellStyle name="20% - Énfasis1 14" xfId="806" xr:uid="{40DF2CA3-706E-49CC-BFB1-995CFE8E93FD}"/>
    <cellStyle name="20% - Énfasis1 14 2" xfId="2128" xr:uid="{36D1C6AC-BC50-4368-A7C9-403F2848BD33}"/>
    <cellStyle name="20% - Énfasis1 14 2 2" xfId="4748" xr:uid="{6D6AE210-9C9B-42C3-8A1E-25F76BA2F777}"/>
    <cellStyle name="20% - Énfasis1 14 3" xfId="3436" xr:uid="{93FD4B04-E063-4985-AF24-E5814CCAD6D3}"/>
    <cellStyle name="20% - Énfasis1 15" xfId="826" xr:uid="{37C7A754-089A-42F1-A3D6-27F77DC6820C}"/>
    <cellStyle name="20% - Énfasis1 15 2" xfId="2148" xr:uid="{00FCFED1-5031-4132-B010-295217E29004}"/>
    <cellStyle name="20% - Énfasis1 15 2 2" xfId="4768" xr:uid="{B9F0EE2F-ABBF-4146-9CFB-6546312D3378}"/>
    <cellStyle name="20% - Énfasis1 15 3" xfId="3456" xr:uid="{F5B43273-3E05-424A-9B13-658F4BE8951E}"/>
    <cellStyle name="20% - Énfasis1 16" xfId="846" xr:uid="{EC2EC24B-B211-45A7-935D-D20D1F86B01F}"/>
    <cellStyle name="20% - Énfasis1 16 2" xfId="2168" xr:uid="{55AB05BD-05EF-4C91-8551-D787F51D6ED8}"/>
    <cellStyle name="20% - Énfasis1 16 2 2" xfId="4788" xr:uid="{9C1784BD-B10A-4B03-A8D2-3BF253230AEB}"/>
    <cellStyle name="20% - Énfasis1 16 3" xfId="3476" xr:uid="{F42BCA47-CB27-48B9-BA33-D24E6873BDD8}"/>
    <cellStyle name="20% - Énfasis1 17" xfId="866" xr:uid="{7B9E2D86-FDC6-47D2-8D47-71EA603D601F}"/>
    <cellStyle name="20% - Énfasis1 17 2" xfId="2188" xr:uid="{60545C7E-F94D-4913-9CF7-3E1D952D3E94}"/>
    <cellStyle name="20% - Énfasis1 17 2 2" xfId="4808" xr:uid="{DD978985-9CB2-46FC-9D1A-86D221388D78}"/>
    <cellStyle name="20% - Énfasis1 17 3" xfId="3496" xr:uid="{A9569545-127C-46A5-AA6D-CECD3E758FE9}"/>
    <cellStyle name="20% - Énfasis1 18" xfId="886" xr:uid="{48C6C175-1A62-4028-BDDF-00044202057D}"/>
    <cellStyle name="20% - Énfasis1 18 2" xfId="2208" xr:uid="{B9BA7A6E-AC44-4B8A-9C7F-1F14942A0491}"/>
    <cellStyle name="20% - Énfasis1 18 2 2" xfId="4828" xr:uid="{30AC22FE-1CBE-41F8-8D22-2EC115668371}"/>
    <cellStyle name="20% - Énfasis1 18 3" xfId="3516" xr:uid="{60CBEFBF-9EB8-4D6C-BB70-022792F1240C}"/>
    <cellStyle name="20% - Énfasis1 19" xfId="906" xr:uid="{06678B16-6D5C-4665-AB65-2F89B6993C4E}"/>
    <cellStyle name="20% - Énfasis1 19 2" xfId="2228" xr:uid="{5953538C-4E89-4B9F-8B79-DC89AB0760E9}"/>
    <cellStyle name="20% - Énfasis1 19 2 2" xfId="4848" xr:uid="{4C29CA57-D73B-40BB-AD1A-BCB4EFCF732F}"/>
    <cellStyle name="20% - Énfasis1 19 3" xfId="3536" xr:uid="{C363CCBE-D0A5-4794-82D1-0200A5E58B66}"/>
    <cellStyle name="20% - Énfasis1 2" xfId="566" xr:uid="{6C02A535-A2D4-4B03-BB8F-7633C0C61581}"/>
    <cellStyle name="20% - Énfasis1 2 2" xfId="1888" xr:uid="{6CE7D2C3-CDBA-4D1D-BC58-19F55CDB7A64}"/>
    <cellStyle name="20% - Énfasis1 2 2 2" xfId="4508" xr:uid="{E0A68145-EEAD-4999-937F-BAA5C2B7CED8}"/>
    <cellStyle name="20% - Énfasis1 2 3" xfId="3196" xr:uid="{E4FA57F2-2A8B-478F-9D9D-3BC4F1E11DAF}"/>
    <cellStyle name="20% - Énfasis1 20" xfId="926" xr:uid="{123E5069-EC44-423B-9125-A6787DEF7877}"/>
    <cellStyle name="20% - Énfasis1 20 2" xfId="2248" xr:uid="{34710398-33AF-49C7-AEB0-F02F1E77E430}"/>
    <cellStyle name="20% - Énfasis1 20 2 2" xfId="4868" xr:uid="{179C5408-6316-44C8-A5F4-BD76A34B13D2}"/>
    <cellStyle name="20% - Énfasis1 20 3" xfId="3556" xr:uid="{E8B0B470-4E4C-45FA-8473-1311DB22AA0D}"/>
    <cellStyle name="20% - Énfasis1 21" xfId="946" xr:uid="{1E07C653-FAF4-40A8-8DFB-90F787A7805D}"/>
    <cellStyle name="20% - Énfasis1 21 2" xfId="2268" xr:uid="{3C032814-CA33-48DF-9A30-619FD2F6D2A8}"/>
    <cellStyle name="20% - Énfasis1 21 2 2" xfId="4888" xr:uid="{16830E46-2009-4462-A432-7255BD6813E4}"/>
    <cellStyle name="20% - Énfasis1 21 3" xfId="3576" xr:uid="{94231216-A907-42C9-88F4-1482A8BCF9C9}"/>
    <cellStyle name="20% - Énfasis1 22" xfId="966" xr:uid="{0249B61E-AC0C-4C9B-9FDD-9FA5D2BCC710}"/>
    <cellStyle name="20% - Énfasis1 22 2" xfId="2288" xr:uid="{FDCBCF88-7F77-4186-825D-5569873CE04C}"/>
    <cellStyle name="20% - Énfasis1 22 2 2" xfId="4908" xr:uid="{651EDDA9-6DC6-4FDB-A295-290AF042A87A}"/>
    <cellStyle name="20% - Énfasis1 22 3" xfId="3596" xr:uid="{724C3B73-7817-4C12-8429-2921529D53B4}"/>
    <cellStyle name="20% - Énfasis1 23" xfId="986" xr:uid="{0004C06A-0700-4499-A7D1-F938D2D4C2B7}"/>
    <cellStyle name="20% - Énfasis1 23 2" xfId="2308" xr:uid="{4C4024CC-8C2B-401D-8CF9-8AA58E7C2290}"/>
    <cellStyle name="20% - Énfasis1 23 2 2" xfId="4928" xr:uid="{D925B8FA-234C-4265-B987-2A8617DDB580}"/>
    <cellStyle name="20% - Énfasis1 23 3" xfId="3616" xr:uid="{619F589B-AB00-40A7-814A-61795C89597B}"/>
    <cellStyle name="20% - Énfasis1 24" xfId="1006" xr:uid="{31380F74-5A98-4FC0-BCC1-52C14E884AFC}"/>
    <cellStyle name="20% - Énfasis1 24 2" xfId="2328" xr:uid="{923F45BD-9DED-4A7B-96A7-CBDF592899A1}"/>
    <cellStyle name="20% - Énfasis1 24 2 2" xfId="4948" xr:uid="{0B5EBB90-4E6A-4053-8F39-BD61319E6C42}"/>
    <cellStyle name="20% - Énfasis1 24 3" xfId="3636" xr:uid="{FF76BC62-D037-41E7-A8C3-F3D3479E1655}"/>
    <cellStyle name="20% - Énfasis1 25" xfId="1026" xr:uid="{152A9CD5-2CC4-49FD-8AEE-D9E6FB305C36}"/>
    <cellStyle name="20% - Énfasis1 25 2" xfId="2348" xr:uid="{F042368E-6665-4EB0-9458-C0817E2A981E}"/>
    <cellStyle name="20% - Énfasis1 25 2 2" xfId="4968" xr:uid="{F9D8AAE9-BB0F-4AAA-B671-8E2A90BC4B25}"/>
    <cellStyle name="20% - Énfasis1 25 3" xfId="3656" xr:uid="{D8D6E3F0-30FF-41CD-895E-B1CEF5EF7570}"/>
    <cellStyle name="20% - Énfasis1 26" xfId="1126" xr:uid="{56623DFB-A9AA-44EC-8D60-F79E1765FFD8}"/>
    <cellStyle name="20% - Énfasis1 26 2" xfId="2448" xr:uid="{3157F2E1-AFED-48CE-9E97-2D4A910B92A6}"/>
    <cellStyle name="20% - Énfasis1 26 2 2" xfId="5068" xr:uid="{699DC4C5-8807-437A-8911-8823B90F6F81}"/>
    <cellStyle name="20% - Énfasis1 26 3" xfId="3756" xr:uid="{67552CD7-955A-4082-AB92-2EF84AA1B732}"/>
    <cellStyle name="20% - Énfasis1 27" xfId="1146" xr:uid="{3E53D4E8-D3F2-4082-9C4C-A547A01B0C77}"/>
    <cellStyle name="20% - Énfasis1 27 2" xfId="2468" xr:uid="{AA5C3F94-9A9E-4059-8912-EDF93E91B561}"/>
    <cellStyle name="20% - Énfasis1 27 2 2" xfId="5088" xr:uid="{7F17174F-ACC4-410D-BA74-72129D601D7B}"/>
    <cellStyle name="20% - Énfasis1 27 3" xfId="3776" xr:uid="{1D7C28C0-266E-4179-8A2A-16D57367811E}"/>
    <cellStyle name="20% - Énfasis1 28" xfId="1166" xr:uid="{813ECA1E-8481-48E3-8DFB-2A7F56CE9157}"/>
    <cellStyle name="20% - Énfasis1 28 2" xfId="2488" xr:uid="{27567646-B809-49E5-BDAD-7EA2B94A8CE1}"/>
    <cellStyle name="20% - Énfasis1 28 2 2" xfId="5108" xr:uid="{D26E9525-AA0C-4D5B-A2F7-611859BB4D22}"/>
    <cellStyle name="20% - Énfasis1 28 3" xfId="3796" xr:uid="{8F5B7875-19A7-423E-B10B-028A9CB833C8}"/>
    <cellStyle name="20% - Énfasis1 29" xfId="1186" xr:uid="{27647B42-984F-4F58-AED0-616FB974BF18}"/>
    <cellStyle name="20% - Énfasis1 29 2" xfId="2508" xr:uid="{032476CE-A4FA-461A-AA1F-52BA776A0F40}"/>
    <cellStyle name="20% - Énfasis1 29 2 2" xfId="5128" xr:uid="{5819F7B8-827C-464F-AE0C-E08110F25592}"/>
    <cellStyle name="20% - Énfasis1 29 3" xfId="3816" xr:uid="{AAB266D5-5DEF-4FDF-8FAB-7BE2C849C757}"/>
    <cellStyle name="20% - Énfasis1 3" xfId="586" xr:uid="{E4F3EE20-5D7A-4314-B214-B02A4491F86E}"/>
    <cellStyle name="20% - Énfasis1 3 2" xfId="1908" xr:uid="{46EA4033-5AEB-4407-8EFE-44246B084B75}"/>
    <cellStyle name="20% - Énfasis1 3 2 2" xfId="4528" xr:uid="{B47DBE40-7B39-444F-8112-FB6E34FBAB95}"/>
    <cellStyle name="20% - Énfasis1 3 3" xfId="3216" xr:uid="{0400CD83-684F-4EC6-B3BF-9EADEA8DABE0}"/>
    <cellStyle name="20% - Énfasis1 30" xfId="1206" xr:uid="{E35305AD-4C64-4166-A36F-1EE3F1544A8C}"/>
    <cellStyle name="20% - Énfasis1 30 2" xfId="2528" xr:uid="{0B367F77-96B2-4B17-9974-B87BC361D285}"/>
    <cellStyle name="20% - Énfasis1 30 2 2" xfId="5148" xr:uid="{68547C49-D69E-4C07-BCDA-C39AE69EBBE7}"/>
    <cellStyle name="20% - Énfasis1 30 3" xfId="3836" xr:uid="{BFB1B98A-A696-4C46-A5A8-9BFA4B314C56}"/>
    <cellStyle name="20% - Énfasis1 31" xfId="1226" xr:uid="{2E400C23-3BFB-4E65-A951-1ABB3F33AF77}"/>
    <cellStyle name="20% - Énfasis1 31 2" xfId="2548" xr:uid="{AB722157-C438-4449-A92D-BC5543B7F5FD}"/>
    <cellStyle name="20% - Énfasis1 31 2 2" xfId="5168" xr:uid="{4285A14F-6D8D-4C52-9870-43167D5B1EFD}"/>
    <cellStyle name="20% - Énfasis1 31 3" xfId="3856" xr:uid="{16361818-46EC-4FA2-972F-0A2AD15E7B41}"/>
    <cellStyle name="20% - Énfasis1 32" xfId="1246" xr:uid="{E6D01553-2A4E-48FB-BF8B-BCE344EA361D}"/>
    <cellStyle name="20% - Énfasis1 32 2" xfId="2568" xr:uid="{F506A967-13C7-4CE7-B75A-F376C5052D06}"/>
    <cellStyle name="20% - Énfasis1 32 2 2" xfId="5188" xr:uid="{C85CCECB-5EE5-477B-99FA-4FE26BB9FBB1}"/>
    <cellStyle name="20% - Énfasis1 32 3" xfId="3876" xr:uid="{0310D4B5-D10D-46EA-A675-3CCF4540C858}"/>
    <cellStyle name="20% - Énfasis1 33" xfId="1266" xr:uid="{4B7913FE-A801-425D-9DD4-0496F4DAD120}"/>
    <cellStyle name="20% - Énfasis1 33 2" xfId="2588" xr:uid="{E3217EA6-6AF0-4764-9295-EE0BFE49E4FF}"/>
    <cellStyle name="20% - Énfasis1 33 2 2" xfId="5208" xr:uid="{8A5D0890-410C-48E9-87CE-5C9AC126F66A}"/>
    <cellStyle name="20% - Énfasis1 33 3" xfId="3896" xr:uid="{8F3B59A2-53B9-4125-95A1-7F88FE5BCF5A}"/>
    <cellStyle name="20% - Énfasis1 34" xfId="1286" xr:uid="{F3C55B86-B5E3-4B65-B5B6-362C43C4DA39}"/>
    <cellStyle name="20% - Énfasis1 34 2" xfId="2608" xr:uid="{A9FC6E79-F1BE-4849-90BB-64F5961989AF}"/>
    <cellStyle name="20% - Énfasis1 34 2 2" xfId="5228" xr:uid="{F3DC4A25-0C60-41A7-949B-82F7EBAC5157}"/>
    <cellStyle name="20% - Énfasis1 34 3" xfId="3916" xr:uid="{5BF0B366-4F91-4435-960B-C4575B5EAC62}"/>
    <cellStyle name="20% - Énfasis1 35" xfId="1306" xr:uid="{273F2133-3A10-4FA6-AD8D-27DC557C989C}"/>
    <cellStyle name="20% - Énfasis1 35 2" xfId="2628" xr:uid="{599CB88A-6CCB-4084-B19A-716CC826417A}"/>
    <cellStyle name="20% - Énfasis1 35 2 2" xfId="5248" xr:uid="{1E68C3BB-80E1-45F4-85CA-CBB1408BC506}"/>
    <cellStyle name="20% - Énfasis1 35 3" xfId="3936" xr:uid="{AE28100A-E78A-4D36-AA56-EADC5CB6CB53}"/>
    <cellStyle name="20% - Énfasis1 36" xfId="1344" xr:uid="{D35E0D2A-8DE8-41D1-A2D9-116DDF5C766E}"/>
    <cellStyle name="20% - Énfasis1 36 2" xfId="3966" xr:uid="{A81DC8D7-41FE-425B-8966-863153CFFA68}"/>
    <cellStyle name="20% - Énfasis1 37" xfId="2654" xr:uid="{7B3B8E06-012D-4A46-ABDE-6EBD86E2818D}"/>
    <cellStyle name="20% - Énfasis1 4" xfId="606" xr:uid="{DD636CB6-D789-4E03-B6E4-9092C25451B3}"/>
    <cellStyle name="20% - Énfasis1 4 2" xfId="1928" xr:uid="{A1F05994-47B8-45AE-9CC2-A83049EF8EB1}"/>
    <cellStyle name="20% - Énfasis1 4 2 2" xfId="4548" xr:uid="{4276454E-DB52-4744-A94E-C927ED2EF183}"/>
    <cellStyle name="20% - Énfasis1 4 3" xfId="3236" xr:uid="{DD3803B5-EB0D-4A5D-929C-83E07ED6AF1A}"/>
    <cellStyle name="20% - Énfasis1 5" xfId="626" xr:uid="{0D2E99ED-B67D-461F-B7F6-1F4336F620F8}"/>
    <cellStyle name="20% - Énfasis1 5 2" xfId="1948" xr:uid="{10E5C6A1-427A-45EF-B682-EEE6FB7B0A06}"/>
    <cellStyle name="20% - Énfasis1 5 2 2" xfId="4568" xr:uid="{3FBD1259-CB14-4D3C-9022-44BF0023E431}"/>
    <cellStyle name="20% - Énfasis1 5 3" xfId="3256" xr:uid="{2A1473BA-5764-4728-8896-9E5ABD98ED6A}"/>
    <cellStyle name="20% - Énfasis1 6" xfId="646" xr:uid="{EA6DBDF5-16A1-4362-8048-635F2D7B26F3}"/>
    <cellStyle name="20% - Énfasis1 6 2" xfId="1968" xr:uid="{D7053D77-5ACC-43A1-A6F9-0EBAA8136187}"/>
    <cellStyle name="20% - Énfasis1 6 2 2" xfId="4588" xr:uid="{14F3D162-45FD-408B-9197-3593D5F2E369}"/>
    <cellStyle name="20% - Énfasis1 6 3" xfId="3276" xr:uid="{715B9717-E9E4-49B2-B55E-577B0588CCD3}"/>
    <cellStyle name="20% - Énfasis1 7" xfId="666" xr:uid="{00C905E6-6F9A-4756-8A94-089DB5CA8C9B}"/>
    <cellStyle name="20% - Énfasis1 7 2" xfId="1988" xr:uid="{509B08F4-C3F2-458C-BF58-7BF022ECF67B}"/>
    <cellStyle name="20% - Énfasis1 7 2 2" xfId="4608" xr:uid="{4F8226FE-FDEC-4384-BBEC-CC896DFB1FF1}"/>
    <cellStyle name="20% - Énfasis1 7 3" xfId="3296" xr:uid="{F9598348-8DAD-4FC7-AF85-783698C287D8}"/>
    <cellStyle name="20% - Énfasis1 8" xfId="686" xr:uid="{AE7B6229-4543-4C1C-9EB9-498559F96895}"/>
    <cellStyle name="20% - Énfasis1 8 2" xfId="2008" xr:uid="{0DB91333-3C16-4E7D-8F5D-72C9C3C91BEF}"/>
    <cellStyle name="20% - Énfasis1 8 2 2" xfId="4628" xr:uid="{E295FD31-AD1B-4BBD-A369-B623C696B189}"/>
    <cellStyle name="20% - Énfasis1 8 3" xfId="3316" xr:uid="{1F49FB53-4B68-41E1-BB21-54FC19C67605}"/>
    <cellStyle name="20% - Énfasis1 9" xfId="706" xr:uid="{6EE3E99A-E7F1-4F9E-836D-585A41F1C6DE}"/>
    <cellStyle name="20% - Énfasis1 9 2" xfId="2028" xr:uid="{DBFA2619-409C-477E-94EE-BC57F7BB7044}"/>
    <cellStyle name="20% - Énfasis1 9 2 2" xfId="4648" xr:uid="{1EF51D07-809E-4B59-8B44-2C812EF563A6}"/>
    <cellStyle name="20% - Énfasis1 9 3" xfId="3336" xr:uid="{2FDCEAB6-63EE-4AA0-9689-D99ED8B2F88F}"/>
    <cellStyle name="20% - Énfasis2" xfId="22" builtinId="34" customBuiltin="1"/>
    <cellStyle name="20% - Énfasis2 10" xfId="729" xr:uid="{335283E3-896B-4E97-9081-3E018C827617}"/>
    <cellStyle name="20% - Énfasis2 10 2" xfId="2051" xr:uid="{4FFCB1FA-642F-43FE-B6F9-D06A60047067}"/>
    <cellStyle name="20% - Énfasis2 10 2 2" xfId="4671" xr:uid="{BFE9C45A-E6B7-41EE-91BD-E6634B563ADA}"/>
    <cellStyle name="20% - Énfasis2 10 3" xfId="3359" xr:uid="{CA351C16-DBB3-47F1-B395-B68C7FD32FF8}"/>
    <cellStyle name="20% - Énfasis2 11" xfId="749" xr:uid="{6287E13C-1CC0-4FD7-8CE8-2AE6921781FA}"/>
    <cellStyle name="20% - Énfasis2 11 2" xfId="2071" xr:uid="{76D07C57-8D0F-423D-B6A7-EFF3D52F455A}"/>
    <cellStyle name="20% - Énfasis2 11 2 2" xfId="4691" xr:uid="{A996D107-33F9-4D09-A548-8EBC121F158F}"/>
    <cellStyle name="20% - Énfasis2 11 3" xfId="3379" xr:uid="{462B1B87-486B-4EBD-8871-4FE773F49D63}"/>
    <cellStyle name="20% - Énfasis2 12" xfId="769" xr:uid="{7005F4CA-9841-43EB-87AC-C4FEADB626F2}"/>
    <cellStyle name="20% - Énfasis2 12 2" xfId="2091" xr:uid="{F053D798-1673-4493-9480-2E99AEA8FF8C}"/>
    <cellStyle name="20% - Énfasis2 12 2 2" xfId="4711" xr:uid="{167CE8F8-03BE-4CFA-B911-4DCB7B30AE10}"/>
    <cellStyle name="20% - Énfasis2 12 3" xfId="3399" xr:uid="{F4EB49AA-D162-4278-B3D5-0A2CC505D4E5}"/>
    <cellStyle name="20% - Énfasis2 13" xfId="789" xr:uid="{1D7884AE-8A9E-4ACC-9684-49C0EBE43421}"/>
    <cellStyle name="20% - Énfasis2 13 2" xfId="2111" xr:uid="{835B9BDB-1CCD-4CF1-9D3D-EB9C3E66F9E2}"/>
    <cellStyle name="20% - Énfasis2 13 2 2" xfId="4731" xr:uid="{705AAF48-0E33-4682-B75C-D2C64AB36AEC}"/>
    <cellStyle name="20% - Énfasis2 13 3" xfId="3419" xr:uid="{F3E3E6EC-ECC5-4676-A49A-44713038F543}"/>
    <cellStyle name="20% - Énfasis2 14" xfId="809" xr:uid="{10AF33ED-CD6B-4309-A77F-77AC63FEFD64}"/>
    <cellStyle name="20% - Énfasis2 14 2" xfId="2131" xr:uid="{718A7B20-DF65-4521-9DC7-53914119F508}"/>
    <cellStyle name="20% - Énfasis2 14 2 2" xfId="4751" xr:uid="{946848BA-D12A-4C2A-83CB-84C713DF1E4A}"/>
    <cellStyle name="20% - Énfasis2 14 3" xfId="3439" xr:uid="{DB20F709-65B0-4F01-9D99-02D6D06044C3}"/>
    <cellStyle name="20% - Énfasis2 15" xfId="829" xr:uid="{1E23F06D-E499-4A5C-8FCE-7B039338D3EB}"/>
    <cellStyle name="20% - Énfasis2 15 2" xfId="2151" xr:uid="{CCE20D6F-0818-4006-8D1A-0A077D34408C}"/>
    <cellStyle name="20% - Énfasis2 15 2 2" xfId="4771" xr:uid="{50D58062-E97F-431C-AE3D-DE6E8F4A7B04}"/>
    <cellStyle name="20% - Énfasis2 15 3" xfId="3459" xr:uid="{82F052F3-2B3F-4561-A65B-7213602EDB20}"/>
    <cellStyle name="20% - Énfasis2 16" xfId="849" xr:uid="{A809101E-C034-4DB7-AFC1-CB72A900A36F}"/>
    <cellStyle name="20% - Énfasis2 16 2" xfId="2171" xr:uid="{881F072F-080B-43EE-B0DA-59D7B7F720E6}"/>
    <cellStyle name="20% - Énfasis2 16 2 2" xfId="4791" xr:uid="{5C26F720-94B2-4B3A-9962-71B46F683D44}"/>
    <cellStyle name="20% - Énfasis2 16 3" xfId="3479" xr:uid="{5B86B016-8CF1-49F9-8025-8C1AC6A0494B}"/>
    <cellStyle name="20% - Énfasis2 17" xfId="869" xr:uid="{E655D01F-9C0E-4CFB-8785-B2FC34812E63}"/>
    <cellStyle name="20% - Énfasis2 17 2" xfId="2191" xr:uid="{F407873B-DFF7-4D5C-AC61-5231983737E2}"/>
    <cellStyle name="20% - Énfasis2 17 2 2" xfId="4811" xr:uid="{559A97E4-65FE-4222-9584-CB43DB426D73}"/>
    <cellStyle name="20% - Énfasis2 17 3" xfId="3499" xr:uid="{873258ED-43BE-4724-A3ED-22A5D1F208CB}"/>
    <cellStyle name="20% - Énfasis2 18" xfId="889" xr:uid="{EC4A725E-C3E0-4940-907B-E7E865EA2AAF}"/>
    <cellStyle name="20% - Énfasis2 18 2" xfId="2211" xr:uid="{3CCB8349-0B06-434B-88DE-440D18B3B245}"/>
    <cellStyle name="20% - Énfasis2 18 2 2" xfId="4831" xr:uid="{A918C717-86C9-4E7D-B924-60D4B0F01689}"/>
    <cellStyle name="20% - Énfasis2 18 3" xfId="3519" xr:uid="{0146A2EC-61A9-4B36-88D9-318717F886F3}"/>
    <cellStyle name="20% - Énfasis2 19" xfId="909" xr:uid="{80EDEA23-FB25-4B12-AE65-7D23A7F4C228}"/>
    <cellStyle name="20% - Énfasis2 19 2" xfId="2231" xr:uid="{719DB153-EEC6-4EAF-8C2E-5283D01EB54C}"/>
    <cellStyle name="20% - Énfasis2 19 2 2" xfId="4851" xr:uid="{91C69394-308A-4B5C-9A31-9B155212B6DE}"/>
    <cellStyle name="20% - Énfasis2 19 3" xfId="3539" xr:uid="{55737AEE-EA2D-4242-9EEE-6F55EE18E221}"/>
    <cellStyle name="20% - Énfasis2 2" xfId="569" xr:uid="{70A0ACBC-BB85-4620-AA52-89EA8114F28F}"/>
    <cellStyle name="20% - Énfasis2 2 2" xfId="1891" xr:uid="{8F8EEBB3-BD71-4ED6-8A3A-5FE4B7D1B173}"/>
    <cellStyle name="20% - Énfasis2 2 2 2" xfId="4511" xr:uid="{553D2681-02F9-4F15-B83C-7CD882ED5127}"/>
    <cellStyle name="20% - Énfasis2 2 3" xfId="3199" xr:uid="{AB9F78AE-B0F6-440E-BD14-6CF3B45A384E}"/>
    <cellStyle name="20% - Énfasis2 20" xfId="929" xr:uid="{FC3ECFD7-3834-4765-A960-EA10BF3E6A5D}"/>
    <cellStyle name="20% - Énfasis2 20 2" xfId="2251" xr:uid="{150F2461-F3D8-4E4A-8913-9A043759B46E}"/>
    <cellStyle name="20% - Énfasis2 20 2 2" xfId="4871" xr:uid="{4B735313-0FCD-4C09-AA21-67D7F4A3FFD6}"/>
    <cellStyle name="20% - Énfasis2 20 3" xfId="3559" xr:uid="{A3D32453-D962-4162-8AAC-51DD3BB6D71E}"/>
    <cellStyle name="20% - Énfasis2 21" xfId="949" xr:uid="{37689513-D16A-4707-9248-E743844DA2CE}"/>
    <cellStyle name="20% - Énfasis2 21 2" xfId="2271" xr:uid="{5CBCAE12-F3EB-4664-BFBD-5E485790B4BF}"/>
    <cellStyle name="20% - Énfasis2 21 2 2" xfId="4891" xr:uid="{FBF757B4-738D-4D76-99F2-5CD2610E9687}"/>
    <cellStyle name="20% - Énfasis2 21 3" xfId="3579" xr:uid="{0703DAEB-05A9-4FF0-BF1F-6DF6678966FA}"/>
    <cellStyle name="20% - Énfasis2 22" xfId="969" xr:uid="{811692A6-246F-44A6-9393-386D505C778F}"/>
    <cellStyle name="20% - Énfasis2 22 2" xfId="2291" xr:uid="{839DD675-4C12-4118-9E44-8D2785270CB6}"/>
    <cellStyle name="20% - Énfasis2 22 2 2" xfId="4911" xr:uid="{AEA5A931-6DFF-424F-8CCC-78D17C8A5000}"/>
    <cellStyle name="20% - Énfasis2 22 3" xfId="3599" xr:uid="{6C4AA87F-2F40-4290-8FD1-B288EA454B1E}"/>
    <cellStyle name="20% - Énfasis2 23" xfId="989" xr:uid="{67DCD040-C7E0-47BD-ACE2-9DF38DCC14D8}"/>
    <cellStyle name="20% - Énfasis2 23 2" xfId="2311" xr:uid="{53E96CBD-53D0-4751-B85B-44D855BE94E4}"/>
    <cellStyle name="20% - Énfasis2 23 2 2" xfId="4931" xr:uid="{DE74933C-8734-41D9-944C-6474916FE8A9}"/>
    <cellStyle name="20% - Énfasis2 23 3" xfId="3619" xr:uid="{FAF5D40A-90A2-4B48-B6DD-10540D301017}"/>
    <cellStyle name="20% - Énfasis2 24" xfId="1009" xr:uid="{54F64DA6-60CD-4955-86B6-85BC5A8A1DC7}"/>
    <cellStyle name="20% - Énfasis2 24 2" xfId="2331" xr:uid="{4E76CA25-076E-4B90-8FDD-75101B80D788}"/>
    <cellStyle name="20% - Énfasis2 24 2 2" xfId="4951" xr:uid="{BB9C373E-15DE-4F66-AA30-51D3F8821219}"/>
    <cellStyle name="20% - Énfasis2 24 3" xfId="3639" xr:uid="{507EDEA4-523D-44E1-A650-F105959D7E5A}"/>
    <cellStyle name="20% - Énfasis2 25" xfId="1029" xr:uid="{01FBB611-61FE-4594-A650-C18474B5AD6C}"/>
    <cellStyle name="20% - Énfasis2 25 2" xfId="2351" xr:uid="{3CDB7D38-3C72-4A3A-8AA1-8D556D34015D}"/>
    <cellStyle name="20% - Énfasis2 25 2 2" xfId="4971" xr:uid="{88CDF930-4AFF-4082-B4C8-4B27EA653195}"/>
    <cellStyle name="20% - Énfasis2 25 3" xfId="3659" xr:uid="{ACC68A88-7FA9-4D14-9493-FF57EDE237C0}"/>
    <cellStyle name="20% - Énfasis2 26" xfId="1129" xr:uid="{000D8765-D544-4D9F-8B5D-CE46040B4549}"/>
    <cellStyle name="20% - Énfasis2 26 2" xfId="2451" xr:uid="{7A1810CD-F4AB-4E7D-AF1B-F22952B07E87}"/>
    <cellStyle name="20% - Énfasis2 26 2 2" xfId="5071" xr:uid="{3CAA02B8-5C43-4CB7-8023-CE484EC181CF}"/>
    <cellStyle name="20% - Énfasis2 26 3" xfId="3759" xr:uid="{B1119F63-F878-4F2B-916B-4BBF459BBE74}"/>
    <cellStyle name="20% - Énfasis2 27" xfId="1149" xr:uid="{51A22AC4-63DF-46D1-95FF-9D19AE152571}"/>
    <cellStyle name="20% - Énfasis2 27 2" xfId="2471" xr:uid="{652D5C32-87D6-4825-B2F3-5CE180AF7DEA}"/>
    <cellStyle name="20% - Énfasis2 27 2 2" xfId="5091" xr:uid="{ECE9FD61-FC5A-4A7C-9B2C-C8BC9EFF077B}"/>
    <cellStyle name="20% - Énfasis2 27 3" xfId="3779" xr:uid="{4D5B90FE-C488-4150-87F5-B57B24F84B5A}"/>
    <cellStyle name="20% - Énfasis2 28" xfId="1169" xr:uid="{8FDB3A59-8E78-4CE2-AB6D-6F14F0BB33C5}"/>
    <cellStyle name="20% - Énfasis2 28 2" xfId="2491" xr:uid="{206F3D04-D6D0-4209-A734-1CC77ACA0CCA}"/>
    <cellStyle name="20% - Énfasis2 28 2 2" xfId="5111" xr:uid="{0371C1CD-849B-48BF-990B-326034AFC5B6}"/>
    <cellStyle name="20% - Énfasis2 28 3" xfId="3799" xr:uid="{D715E74D-CAB7-4039-9F76-F7BA16CCAA0C}"/>
    <cellStyle name="20% - Énfasis2 29" xfId="1189" xr:uid="{1CAC7310-88ED-4ABF-AEB8-53254A4991CA}"/>
    <cellStyle name="20% - Énfasis2 29 2" xfId="2511" xr:uid="{75E3A4D6-5ACC-4991-84E2-394CE399D24C}"/>
    <cellStyle name="20% - Énfasis2 29 2 2" xfId="5131" xr:uid="{FF6AE43E-F858-4888-8558-CB71C5A3D0D7}"/>
    <cellStyle name="20% - Énfasis2 29 3" xfId="3819" xr:uid="{0EBF4C0A-8FFC-4FFD-BF33-5487BAE67A9F}"/>
    <cellStyle name="20% - Énfasis2 3" xfId="589" xr:uid="{65B0E1E5-9F4C-4505-8920-99AC138C4DFC}"/>
    <cellStyle name="20% - Énfasis2 3 2" xfId="1911" xr:uid="{7D07DB9E-1E7B-4CAB-8670-9308B4021337}"/>
    <cellStyle name="20% - Énfasis2 3 2 2" xfId="4531" xr:uid="{A1959372-C82D-46B1-AD60-C0FC65C03C68}"/>
    <cellStyle name="20% - Énfasis2 3 3" xfId="3219" xr:uid="{D2EA0288-921B-4B2F-8231-962BFE2AB531}"/>
    <cellStyle name="20% - Énfasis2 30" xfId="1209" xr:uid="{F52FEF0A-5360-4A20-A18F-3984923B0BA8}"/>
    <cellStyle name="20% - Énfasis2 30 2" xfId="2531" xr:uid="{3B6040F4-D660-47EB-903C-B6B076249B70}"/>
    <cellStyle name="20% - Énfasis2 30 2 2" xfId="5151" xr:uid="{C060765A-9A1E-40C2-B671-9E37A50CB974}"/>
    <cellStyle name="20% - Énfasis2 30 3" xfId="3839" xr:uid="{7314DF00-79BE-40F5-B60B-7B252A59ACC4}"/>
    <cellStyle name="20% - Énfasis2 31" xfId="1229" xr:uid="{A3713873-20B8-40AE-BF7A-5947C11D8653}"/>
    <cellStyle name="20% - Énfasis2 31 2" xfId="2551" xr:uid="{66C88A5B-8DDA-4EF6-BC13-17E3A9B888F2}"/>
    <cellStyle name="20% - Énfasis2 31 2 2" xfId="5171" xr:uid="{AA598C9D-419D-4C3A-8191-ED005E053C67}"/>
    <cellStyle name="20% - Énfasis2 31 3" xfId="3859" xr:uid="{5633E34A-9A6C-478B-9485-D78771BD7104}"/>
    <cellStyle name="20% - Énfasis2 32" xfId="1249" xr:uid="{AB682791-5170-4653-A540-81E99753362D}"/>
    <cellStyle name="20% - Énfasis2 32 2" xfId="2571" xr:uid="{FEC0C4ED-8BA7-4737-A18B-80E8763A7131}"/>
    <cellStyle name="20% - Énfasis2 32 2 2" xfId="5191" xr:uid="{91CE2A39-BB56-4CA9-AC44-774B08C92FDD}"/>
    <cellStyle name="20% - Énfasis2 32 3" xfId="3879" xr:uid="{98E87081-ECB4-4A4F-B1D7-EFA617597AA0}"/>
    <cellStyle name="20% - Énfasis2 33" xfId="1269" xr:uid="{E2BB7620-2D48-4906-88A7-4A00803FB561}"/>
    <cellStyle name="20% - Énfasis2 33 2" xfId="2591" xr:uid="{C48C4F73-3E92-49B4-907D-296A2F37F5B6}"/>
    <cellStyle name="20% - Énfasis2 33 2 2" xfId="5211" xr:uid="{F73F6DA4-4330-4CFE-860B-124B6A111271}"/>
    <cellStyle name="20% - Énfasis2 33 3" xfId="3899" xr:uid="{C681D493-4584-447D-B037-0A84D386CEA4}"/>
    <cellStyle name="20% - Énfasis2 34" xfId="1289" xr:uid="{2871FD18-EE4A-4CF6-BA2E-20ACD7759463}"/>
    <cellStyle name="20% - Énfasis2 34 2" xfId="2611" xr:uid="{7B35805A-D336-4AD5-B6A3-A650A68456B3}"/>
    <cellStyle name="20% - Énfasis2 34 2 2" xfId="5231" xr:uid="{AA7A8518-F1FE-4615-8313-ED75D555112D}"/>
    <cellStyle name="20% - Énfasis2 34 3" xfId="3919" xr:uid="{8D428B9A-4DC4-4BFA-B1F2-DCBAB33F080D}"/>
    <cellStyle name="20% - Énfasis2 35" xfId="1309" xr:uid="{BF06AF3B-D5FF-48D7-A938-0D97A8CA36B8}"/>
    <cellStyle name="20% - Énfasis2 35 2" xfId="2631" xr:uid="{E852D8BE-B5A7-43A8-BB29-646A93BBF5CE}"/>
    <cellStyle name="20% - Énfasis2 35 2 2" xfId="5251" xr:uid="{13BB0A25-7A50-4733-B6CB-76F20240B453}"/>
    <cellStyle name="20% - Énfasis2 35 3" xfId="3939" xr:uid="{8FD6ECD8-5657-4193-9B07-242BDFF6901A}"/>
    <cellStyle name="20% - Énfasis2 36" xfId="1347" xr:uid="{9EEF3D0E-A0A3-46F4-BA32-7AD8980717FE}"/>
    <cellStyle name="20% - Énfasis2 36 2" xfId="3969" xr:uid="{72C3C749-AF7C-4C5B-9FB2-290D9B9352E3}"/>
    <cellStyle name="20% - Énfasis2 37" xfId="2657" xr:uid="{9BDA9DC3-D3E5-417A-9EF6-86E572D06DE1}"/>
    <cellStyle name="20% - Énfasis2 4" xfId="609" xr:uid="{A3A34A9B-1698-44D9-ABE9-4FAA87209AA6}"/>
    <cellStyle name="20% - Énfasis2 4 2" xfId="1931" xr:uid="{F2F8CDED-EF77-40B2-8CEE-B7566B267D72}"/>
    <cellStyle name="20% - Énfasis2 4 2 2" xfId="4551" xr:uid="{9EFEC05C-08F5-4FF7-AD3A-6D0C4862C225}"/>
    <cellStyle name="20% - Énfasis2 4 3" xfId="3239" xr:uid="{B0A76157-2877-4A02-8900-B61DF52902B2}"/>
    <cellStyle name="20% - Énfasis2 5" xfId="629" xr:uid="{F23DCAA0-0663-4021-B5FA-58C2B0D557B1}"/>
    <cellStyle name="20% - Énfasis2 5 2" xfId="1951" xr:uid="{D05B1093-96AD-48D1-9460-0E8062CEE63B}"/>
    <cellStyle name="20% - Énfasis2 5 2 2" xfId="4571" xr:uid="{08687132-6EB3-497F-99C7-443D918903B9}"/>
    <cellStyle name="20% - Énfasis2 5 3" xfId="3259" xr:uid="{A56A56A6-2F8B-4226-810E-18AE4598C421}"/>
    <cellStyle name="20% - Énfasis2 6" xfId="649" xr:uid="{A6D0BCA9-8299-43B4-BBD9-33F75CBD49D9}"/>
    <cellStyle name="20% - Énfasis2 6 2" xfId="1971" xr:uid="{2A35100A-6474-46E9-97B5-D46F7AABE812}"/>
    <cellStyle name="20% - Énfasis2 6 2 2" xfId="4591" xr:uid="{921FCCFF-6A6E-46B4-983F-2A80D0B9DBD7}"/>
    <cellStyle name="20% - Énfasis2 6 3" xfId="3279" xr:uid="{FEF275E7-7D53-4FC9-A270-10BF69CD346A}"/>
    <cellStyle name="20% - Énfasis2 7" xfId="669" xr:uid="{6C983C85-BA10-4FC3-9A4C-2865B995E7E6}"/>
    <cellStyle name="20% - Énfasis2 7 2" xfId="1991" xr:uid="{48E9A9F2-D576-4745-A245-A56A1F71A459}"/>
    <cellStyle name="20% - Énfasis2 7 2 2" xfId="4611" xr:uid="{BE217EF8-2A5F-4ADA-8837-949752D78F22}"/>
    <cellStyle name="20% - Énfasis2 7 3" xfId="3299" xr:uid="{DC54D383-B7B0-4D75-8A2D-4A1BC47FE378}"/>
    <cellStyle name="20% - Énfasis2 8" xfId="689" xr:uid="{8C7E28A6-EAC5-4D26-B016-8E04A5CB2A98}"/>
    <cellStyle name="20% - Énfasis2 8 2" xfId="2011" xr:uid="{8ADC182B-4D06-4081-AAED-2BA98193AEB4}"/>
    <cellStyle name="20% - Énfasis2 8 2 2" xfId="4631" xr:uid="{A52A84BC-F94B-40AE-B0DD-79B2EFEF3E5E}"/>
    <cellStyle name="20% - Énfasis2 8 3" xfId="3319" xr:uid="{397F1539-A3E7-4761-B888-24F7864CA62C}"/>
    <cellStyle name="20% - Énfasis2 9" xfId="709" xr:uid="{280A60B1-18F3-4554-BFED-460ECD87608B}"/>
    <cellStyle name="20% - Énfasis2 9 2" xfId="2031" xr:uid="{31E2B02D-72B9-43DE-8EC2-28F01541D242}"/>
    <cellStyle name="20% - Énfasis2 9 2 2" xfId="4651" xr:uid="{903C1211-1062-4EE9-896E-94E60541D840}"/>
    <cellStyle name="20% - Énfasis2 9 3" xfId="3339" xr:uid="{FA1E88C7-F62E-4DC7-A1B7-0B857E825329}"/>
    <cellStyle name="20% - Énfasis3" xfId="26" builtinId="38" customBuiltin="1"/>
    <cellStyle name="20% - Énfasis3 10" xfId="732" xr:uid="{C1B4A9E9-53BB-4CF2-89F2-A342BF5B672B}"/>
    <cellStyle name="20% - Énfasis3 10 2" xfId="2054" xr:uid="{466C8E7F-9E57-4AF4-B2F1-F9F77A9E648C}"/>
    <cellStyle name="20% - Énfasis3 10 2 2" xfId="4674" xr:uid="{183A6583-CBD2-4139-8006-ACEF80EB817E}"/>
    <cellStyle name="20% - Énfasis3 10 3" xfId="3362" xr:uid="{E52C4B62-982A-4FE1-BDA5-14350D31BE4D}"/>
    <cellStyle name="20% - Énfasis3 11" xfId="752" xr:uid="{5246E7BF-3CC1-4A2A-926B-CA8FD2D573F5}"/>
    <cellStyle name="20% - Énfasis3 11 2" xfId="2074" xr:uid="{CDFA93CE-D698-42EF-BC55-50BC46706142}"/>
    <cellStyle name="20% - Énfasis3 11 2 2" xfId="4694" xr:uid="{8B639C25-C541-42AE-B728-8289FF6BF9F8}"/>
    <cellStyle name="20% - Énfasis3 11 3" xfId="3382" xr:uid="{5110DE09-ACA7-4E17-9E29-519EA9CEF547}"/>
    <cellStyle name="20% - Énfasis3 12" xfId="772" xr:uid="{180F20E4-AD28-4D84-B50F-D9ADC9255142}"/>
    <cellStyle name="20% - Énfasis3 12 2" xfId="2094" xr:uid="{7CBC4951-43C3-4D8E-B6AD-9C0A855F91AA}"/>
    <cellStyle name="20% - Énfasis3 12 2 2" xfId="4714" xr:uid="{066179A8-0D5C-4142-9CE3-FEC0FDF8E399}"/>
    <cellStyle name="20% - Énfasis3 12 3" xfId="3402" xr:uid="{8193D6B8-2BE4-4695-BBD3-C2D8046EB50E}"/>
    <cellStyle name="20% - Énfasis3 13" xfId="792" xr:uid="{9838CD95-8562-414F-8F3C-31CBF02BB9C0}"/>
    <cellStyle name="20% - Énfasis3 13 2" xfId="2114" xr:uid="{920BE1AA-5B63-463C-88D5-D242AB7147F2}"/>
    <cellStyle name="20% - Énfasis3 13 2 2" xfId="4734" xr:uid="{6915617E-BDB0-44EF-A711-4B6F0BECCB9B}"/>
    <cellStyle name="20% - Énfasis3 13 3" xfId="3422" xr:uid="{A200E08C-762F-429E-BB16-275C172F47E1}"/>
    <cellStyle name="20% - Énfasis3 14" xfId="812" xr:uid="{5269BBF2-76B0-4F25-9756-81DAD1292D90}"/>
    <cellStyle name="20% - Énfasis3 14 2" xfId="2134" xr:uid="{3AEBA7F4-A444-4A51-9AA9-A04CB403E179}"/>
    <cellStyle name="20% - Énfasis3 14 2 2" xfId="4754" xr:uid="{D604D01B-C7C4-4A83-A22B-271AD855D54D}"/>
    <cellStyle name="20% - Énfasis3 14 3" xfId="3442" xr:uid="{F950D847-B931-4182-AACA-F82AB151B04D}"/>
    <cellStyle name="20% - Énfasis3 15" xfId="832" xr:uid="{B5B67AA2-7E0F-4955-B60D-69EF2F772A91}"/>
    <cellStyle name="20% - Énfasis3 15 2" xfId="2154" xr:uid="{74F928EE-D866-43F9-962A-28DEC1894E91}"/>
    <cellStyle name="20% - Énfasis3 15 2 2" xfId="4774" xr:uid="{E3BF1A16-DBF2-41F0-BBC1-CCA4262D9320}"/>
    <cellStyle name="20% - Énfasis3 15 3" xfId="3462" xr:uid="{5C2B1B41-3A71-4B4F-8300-29424AC42C07}"/>
    <cellStyle name="20% - Énfasis3 16" xfId="852" xr:uid="{75169803-AADF-4708-A06C-17DCF55B22EB}"/>
    <cellStyle name="20% - Énfasis3 16 2" xfId="2174" xr:uid="{68481E63-B2E8-401D-864E-2F61DA6D2BC6}"/>
    <cellStyle name="20% - Énfasis3 16 2 2" xfId="4794" xr:uid="{F9084256-59FE-4BA7-9F8D-AF6FF2A87828}"/>
    <cellStyle name="20% - Énfasis3 16 3" xfId="3482" xr:uid="{E619A6F9-9CA7-4B2A-8654-28E97229F145}"/>
    <cellStyle name="20% - Énfasis3 17" xfId="872" xr:uid="{7C5C7FAB-9A77-4AFA-9057-638614B8844D}"/>
    <cellStyle name="20% - Énfasis3 17 2" xfId="2194" xr:uid="{2F37A827-57A6-4BEF-B30F-751D671E741D}"/>
    <cellStyle name="20% - Énfasis3 17 2 2" xfId="4814" xr:uid="{385FF51C-7767-4820-84C5-66AA5948206D}"/>
    <cellStyle name="20% - Énfasis3 17 3" xfId="3502" xr:uid="{7C070597-B672-413D-9D71-5AD04EE0AC7B}"/>
    <cellStyle name="20% - Énfasis3 18" xfId="892" xr:uid="{AFFA64DE-65BE-4FA7-9795-31FEF6123A9E}"/>
    <cellStyle name="20% - Énfasis3 18 2" xfId="2214" xr:uid="{CCE205BD-9CF9-4669-8C1A-5A5024C9D608}"/>
    <cellStyle name="20% - Énfasis3 18 2 2" xfId="4834" xr:uid="{032C65B0-98F1-4AA7-A904-59A94083F627}"/>
    <cellStyle name="20% - Énfasis3 18 3" xfId="3522" xr:uid="{F70A4AF6-B4A6-4F3F-9CBB-CB68EBAC0FDA}"/>
    <cellStyle name="20% - Énfasis3 19" xfId="912" xr:uid="{7987C01F-C5F4-4C8D-A555-BBB8D298B44E}"/>
    <cellStyle name="20% - Énfasis3 19 2" xfId="2234" xr:uid="{4BA86F00-F42F-4CA9-8524-30FDC48226BD}"/>
    <cellStyle name="20% - Énfasis3 19 2 2" xfId="4854" xr:uid="{8616265A-1232-4141-A466-D8752020C712}"/>
    <cellStyle name="20% - Énfasis3 19 3" xfId="3542" xr:uid="{AED5C35A-BA73-4186-8108-2CFC45E196CB}"/>
    <cellStyle name="20% - Énfasis3 2" xfId="572" xr:uid="{CC2B9D1A-E451-4E91-9F28-F9D3A203064D}"/>
    <cellStyle name="20% - Énfasis3 2 2" xfId="1894" xr:uid="{55148016-0225-440F-89BD-BEA9B57FF738}"/>
    <cellStyle name="20% - Énfasis3 2 2 2" xfId="4514" xr:uid="{520CDAD2-B2B7-4442-BD37-007AE383C11F}"/>
    <cellStyle name="20% - Énfasis3 2 3" xfId="3202" xr:uid="{36ADCB2E-8AE9-44E4-A317-036CF28973AA}"/>
    <cellStyle name="20% - Énfasis3 20" xfId="932" xr:uid="{A0344AB1-2502-4BA4-B611-E0AD6279F286}"/>
    <cellStyle name="20% - Énfasis3 20 2" xfId="2254" xr:uid="{B5DCF4D9-4EC1-4156-B74E-F53F0DF5F1F0}"/>
    <cellStyle name="20% - Énfasis3 20 2 2" xfId="4874" xr:uid="{8F22E48A-C25A-4A33-9A8E-A16684602A70}"/>
    <cellStyle name="20% - Énfasis3 20 3" xfId="3562" xr:uid="{0AA39587-BF22-4F3E-870D-76707A6E7D0D}"/>
    <cellStyle name="20% - Énfasis3 21" xfId="952" xr:uid="{6D438EA7-39FE-4D47-82C7-2F047797C8BE}"/>
    <cellStyle name="20% - Énfasis3 21 2" xfId="2274" xr:uid="{E42B5C5E-5934-4B3C-8DB1-F41337237684}"/>
    <cellStyle name="20% - Énfasis3 21 2 2" xfId="4894" xr:uid="{323CFDB2-09BA-4278-AA6D-8A320D942C78}"/>
    <cellStyle name="20% - Énfasis3 21 3" xfId="3582" xr:uid="{9075219C-D8BE-46FE-A3F0-F9C50DCF10DC}"/>
    <cellStyle name="20% - Énfasis3 22" xfId="972" xr:uid="{A64758B0-C1FD-4F91-87C6-C11B89DA8DBC}"/>
    <cellStyle name="20% - Énfasis3 22 2" xfId="2294" xr:uid="{60126324-8563-496F-B094-E76222FFB613}"/>
    <cellStyle name="20% - Énfasis3 22 2 2" xfId="4914" xr:uid="{E76A5568-934B-4964-B3F6-25D912617878}"/>
    <cellStyle name="20% - Énfasis3 22 3" xfId="3602" xr:uid="{E49C3208-56F9-4457-AA79-94464A8475F3}"/>
    <cellStyle name="20% - Énfasis3 23" xfId="992" xr:uid="{9EDB67C9-D0DF-4599-BA4E-1A18AD8AD44D}"/>
    <cellStyle name="20% - Énfasis3 23 2" xfId="2314" xr:uid="{5CAA141F-C65C-463F-B17A-B4D470577A7D}"/>
    <cellStyle name="20% - Énfasis3 23 2 2" xfId="4934" xr:uid="{0F73F00B-0F3C-44B1-8F8C-A230CC403860}"/>
    <cellStyle name="20% - Énfasis3 23 3" xfId="3622" xr:uid="{862585C2-4A67-4FDA-905F-D75A9AA7337D}"/>
    <cellStyle name="20% - Énfasis3 24" xfId="1012" xr:uid="{9ED655C3-B43A-4DD7-98F5-1CB3E8E7A745}"/>
    <cellStyle name="20% - Énfasis3 24 2" xfId="2334" xr:uid="{52CD0022-0413-45D4-8840-42AC04F0AD10}"/>
    <cellStyle name="20% - Énfasis3 24 2 2" xfId="4954" xr:uid="{CC480CF4-4D2C-495D-A514-208C4FB57478}"/>
    <cellStyle name="20% - Énfasis3 24 3" xfId="3642" xr:uid="{5FC77E97-320C-4EF3-94E0-D3718A1003F8}"/>
    <cellStyle name="20% - Énfasis3 25" xfId="1032" xr:uid="{271DDD18-9473-4511-A8F9-CE34B9BD5CC4}"/>
    <cellStyle name="20% - Énfasis3 25 2" xfId="2354" xr:uid="{645D30B2-8EC7-4F3E-9F5A-1B35151C90AA}"/>
    <cellStyle name="20% - Énfasis3 25 2 2" xfId="4974" xr:uid="{A3FE2C57-DE96-45EA-AEED-C860F1DDC369}"/>
    <cellStyle name="20% - Énfasis3 25 3" xfId="3662" xr:uid="{9448A62E-C7E6-47DE-8722-602FBB16C0FF}"/>
    <cellStyle name="20% - Énfasis3 26" xfId="1132" xr:uid="{408047CD-9538-44D0-8A69-18BAA42DD671}"/>
    <cellStyle name="20% - Énfasis3 26 2" xfId="2454" xr:uid="{A36160C7-C7CC-47CA-B8F6-A73C3E8E6F84}"/>
    <cellStyle name="20% - Énfasis3 26 2 2" xfId="5074" xr:uid="{113F12E1-584B-4706-8857-8C03C8E069A8}"/>
    <cellStyle name="20% - Énfasis3 26 3" xfId="3762" xr:uid="{D04E761C-F93E-407C-BC15-7446F24BAB09}"/>
    <cellStyle name="20% - Énfasis3 27" xfId="1152" xr:uid="{ACDE2AC7-7767-4A77-9A21-1B3781560735}"/>
    <cellStyle name="20% - Énfasis3 27 2" xfId="2474" xr:uid="{B7C1A00F-56DC-4DAC-B54E-E8D7777BCF2B}"/>
    <cellStyle name="20% - Énfasis3 27 2 2" xfId="5094" xr:uid="{75989700-AEE1-4531-B167-7A66618FB6BD}"/>
    <cellStyle name="20% - Énfasis3 27 3" xfId="3782" xr:uid="{40700EDD-FE28-4234-84D2-08B6575FF776}"/>
    <cellStyle name="20% - Énfasis3 28" xfId="1172" xr:uid="{FF40D069-C224-4E36-8A02-F06DCDFC632A}"/>
    <cellStyle name="20% - Énfasis3 28 2" xfId="2494" xr:uid="{AAAD957E-706E-42F6-B1AE-EA19AB060157}"/>
    <cellStyle name="20% - Énfasis3 28 2 2" xfId="5114" xr:uid="{E4681195-92EC-4E5F-943E-DF79EEDC8E9F}"/>
    <cellStyle name="20% - Énfasis3 28 3" xfId="3802" xr:uid="{89EF855B-182D-4619-828E-879663A72CD1}"/>
    <cellStyle name="20% - Énfasis3 29" xfId="1192" xr:uid="{C2F6112B-7983-469E-AF15-25F469421B03}"/>
    <cellStyle name="20% - Énfasis3 29 2" xfId="2514" xr:uid="{10314E79-C29B-44E5-9539-0360AD1F2A77}"/>
    <cellStyle name="20% - Énfasis3 29 2 2" xfId="5134" xr:uid="{4632A77B-1DEC-48FB-BE0E-D474492F5999}"/>
    <cellStyle name="20% - Énfasis3 29 3" xfId="3822" xr:uid="{6E1C47DC-DCD1-42F3-9DC3-67D6E46E9553}"/>
    <cellStyle name="20% - Énfasis3 3" xfId="592" xr:uid="{CD95FCF0-D64A-468A-B225-809902558EA2}"/>
    <cellStyle name="20% - Énfasis3 3 2" xfId="1914" xr:uid="{7DAA12E3-07B5-46FD-A368-4BD04842156D}"/>
    <cellStyle name="20% - Énfasis3 3 2 2" xfId="4534" xr:uid="{193F6D4D-5554-4206-9BBF-95B80259FD3C}"/>
    <cellStyle name="20% - Énfasis3 3 3" xfId="3222" xr:uid="{43E2373B-2F93-4618-965F-FD0B6934245E}"/>
    <cellStyle name="20% - Énfasis3 30" xfId="1212" xr:uid="{A7BC2660-312F-4CD7-9FAF-D0250DF36C74}"/>
    <cellStyle name="20% - Énfasis3 30 2" xfId="2534" xr:uid="{B8BAE329-A268-449F-A577-72BB8F4590E9}"/>
    <cellStyle name="20% - Énfasis3 30 2 2" xfId="5154" xr:uid="{F056637D-921E-4188-926A-4C066E6D8D31}"/>
    <cellStyle name="20% - Énfasis3 30 3" xfId="3842" xr:uid="{32365B1C-355F-4345-95CE-5807661F969A}"/>
    <cellStyle name="20% - Énfasis3 31" xfId="1232" xr:uid="{8550B594-B258-4D07-9BC8-1A53D36865EE}"/>
    <cellStyle name="20% - Énfasis3 31 2" xfId="2554" xr:uid="{A9DBA6C8-64F2-4AF2-9CBC-540EF92B258A}"/>
    <cellStyle name="20% - Énfasis3 31 2 2" xfId="5174" xr:uid="{DF5E0936-7F03-482E-8AB4-9B5223036FAB}"/>
    <cellStyle name="20% - Énfasis3 31 3" xfId="3862" xr:uid="{66D7CA62-0D5A-4300-B903-4CC333930238}"/>
    <cellStyle name="20% - Énfasis3 32" xfId="1252" xr:uid="{64F694E5-DAD1-41A6-9782-E30223B8CC1F}"/>
    <cellStyle name="20% - Énfasis3 32 2" xfId="2574" xr:uid="{38B2A5CF-0AC8-4D1D-B9D7-383DEC8A3BE8}"/>
    <cellStyle name="20% - Énfasis3 32 2 2" xfId="5194" xr:uid="{5C966FE2-7FDE-4F9C-BA24-58A4DCB6636D}"/>
    <cellStyle name="20% - Énfasis3 32 3" xfId="3882" xr:uid="{8BEEFCD1-78F7-4E9B-887A-6785CE6A8243}"/>
    <cellStyle name="20% - Énfasis3 33" xfId="1272" xr:uid="{F22141E6-6F98-47D5-BC7F-8986DBCACBC3}"/>
    <cellStyle name="20% - Énfasis3 33 2" xfId="2594" xr:uid="{110A9A83-B1C1-4836-8402-008EE56C4E25}"/>
    <cellStyle name="20% - Énfasis3 33 2 2" xfId="5214" xr:uid="{D5878D6E-CFEF-4396-94F0-7774D1133085}"/>
    <cellStyle name="20% - Énfasis3 33 3" xfId="3902" xr:uid="{48402488-E8ED-486E-B318-0753947BCCA9}"/>
    <cellStyle name="20% - Énfasis3 34" xfId="1292" xr:uid="{812DBAFC-DBBA-4A85-8000-DBCFC927A0EF}"/>
    <cellStyle name="20% - Énfasis3 34 2" xfId="2614" xr:uid="{DCF79FBD-1504-4B77-B23C-C146118A647C}"/>
    <cellStyle name="20% - Énfasis3 34 2 2" xfId="5234" xr:uid="{84228C5A-A815-4B3E-A57C-8E725E43AB1D}"/>
    <cellStyle name="20% - Énfasis3 34 3" xfId="3922" xr:uid="{4C3C15E9-E4C2-425A-9896-D88B1FF746DD}"/>
    <cellStyle name="20% - Énfasis3 35" xfId="1312" xr:uid="{91EFE124-3C19-479D-8C2F-CC5BC27B3364}"/>
    <cellStyle name="20% - Énfasis3 35 2" xfId="2634" xr:uid="{950FC330-2EF8-4E8F-912D-75995946EBF8}"/>
    <cellStyle name="20% - Énfasis3 35 2 2" xfId="5254" xr:uid="{8E3877D8-82DB-4057-A343-E1995F875400}"/>
    <cellStyle name="20% - Énfasis3 35 3" xfId="3942" xr:uid="{5E98605B-BB9A-4526-A087-C5015B9FD25E}"/>
    <cellStyle name="20% - Énfasis3 36" xfId="1350" xr:uid="{25B95B04-A506-4471-B5DC-167FCDB02C49}"/>
    <cellStyle name="20% - Énfasis3 36 2" xfId="3972" xr:uid="{AA4E485F-DA41-4408-932F-B8D9B2C9BE54}"/>
    <cellStyle name="20% - Énfasis3 37" xfId="2660" xr:uid="{20EA5681-ED7A-4C89-948F-3FA2D75E4B31}"/>
    <cellStyle name="20% - Énfasis3 4" xfId="612" xr:uid="{0980D7CE-8CA2-4F28-A004-AEB512385ACB}"/>
    <cellStyle name="20% - Énfasis3 4 2" xfId="1934" xr:uid="{B87A8C4B-961A-4A40-A793-97980AD99019}"/>
    <cellStyle name="20% - Énfasis3 4 2 2" xfId="4554" xr:uid="{94908EBB-5564-46A1-B8A6-F2A077A09213}"/>
    <cellStyle name="20% - Énfasis3 4 3" xfId="3242" xr:uid="{6119B222-837B-4CE8-A32D-0A50F5E4CCFA}"/>
    <cellStyle name="20% - Énfasis3 5" xfId="632" xr:uid="{DE95CEBB-6419-48BD-8694-D1C8187AE2BF}"/>
    <cellStyle name="20% - Énfasis3 5 2" xfId="1954" xr:uid="{0950425D-443F-4290-87ED-5FB8773C551B}"/>
    <cellStyle name="20% - Énfasis3 5 2 2" xfId="4574" xr:uid="{C8053CF4-7B75-48EE-8958-49647194A55E}"/>
    <cellStyle name="20% - Énfasis3 5 3" xfId="3262" xr:uid="{DB635593-7B44-4F61-8181-4147DF0FC583}"/>
    <cellStyle name="20% - Énfasis3 6" xfId="652" xr:uid="{CD1A07FD-9B0E-410B-99A4-9F0FAC396ABE}"/>
    <cellStyle name="20% - Énfasis3 6 2" xfId="1974" xr:uid="{6C8269AE-A65D-4AD4-AA4A-4C68A7A97922}"/>
    <cellStyle name="20% - Énfasis3 6 2 2" xfId="4594" xr:uid="{2A3F2E25-9901-4DF2-8EDC-5E01DBB14F50}"/>
    <cellStyle name="20% - Énfasis3 6 3" xfId="3282" xr:uid="{9F60822D-7B8E-4958-B9B9-EC7E9A04C4FA}"/>
    <cellStyle name="20% - Énfasis3 7" xfId="672" xr:uid="{BF8B09D2-F513-4F7C-8822-54B8813F446B}"/>
    <cellStyle name="20% - Énfasis3 7 2" xfId="1994" xr:uid="{FB1BC972-EC29-4FE7-945E-53077BE42168}"/>
    <cellStyle name="20% - Énfasis3 7 2 2" xfId="4614" xr:uid="{BD4A907C-E804-4127-9C02-27ACDBA285F4}"/>
    <cellStyle name="20% - Énfasis3 7 3" xfId="3302" xr:uid="{137B0467-7D21-49F2-8A99-6B1B4A2908BF}"/>
    <cellStyle name="20% - Énfasis3 8" xfId="692" xr:uid="{08906B81-1A8B-4CAA-AEEC-542D331D45F7}"/>
    <cellStyle name="20% - Énfasis3 8 2" xfId="2014" xr:uid="{5D0A6872-AF54-4DAE-B036-863253E1C710}"/>
    <cellStyle name="20% - Énfasis3 8 2 2" xfId="4634" xr:uid="{FB4D319A-DA7D-40A4-9943-98B03596DB08}"/>
    <cellStyle name="20% - Énfasis3 8 3" xfId="3322" xr:uid="{74EE8912-0C66-4ED0-A121-4EF2DD4CEABD}"/>
    <cellStyle name="20% - Énfasis3 9" xfId="712" xr:uid="{1C90BAFC-8275-43BB-88DC-AEC28E39D750}"/>
    <cellStyle name="20% - Énfasis3 9 2" xfId="2034" xr:uid="{B92C61EF-7FEC-4C62-B773-D32BCD2A0313}"/>
    <cellStyle name="20% - Énfasis3 9 2 2" xfId="4654" xr:uid="{91E49777-4FCA-4139-A239-461BDA601168}"/>
    <cellStyle name="20% - Énfasis3 9 3" xfId="3342" xr:uid="{D4D45C18-985A-4FD9-AF1D-6E916BA612D1}"/>
    <cellStyle name="20% - Énfasis4" xfId="30" builtinId="42" customBuiltin="1"/>
    <cellStyle name="20% - Énfasis4 10" xfId="735" xr:uid="{8128F4DC-2A79-410E-A9FD-032562841F6D}"/>
    <cellStyle name="20% - Énfasis4 10 2" xfId="2057" xr:uid="{B055E9F3-5989-43EA-9DFD-7FFC1BEBD5AD}"/>
    <cellStyle name="20% - Énfasis4 10 2 2" xfId="4677" xr:uid="{9C98F3EC-EEED-4756-8E44-AB38BD583784}"/>
    <cellStyle name="20% - Énfasis4 10 3" xfId="3365" xr:uid="{5C4BB57A-25DF-4407-89EB-5674FB24B059}"/>
    <cellStyle name="20% - Énfasis4 11" xfId="755" xr:uid="{110DEEC4-6CA0-4D16-8546-FD3BDAA47ED4}"/>
    <cellStyle name="20% - Énfasis4 11 2" xfId="2077" xr:uid="{DA52F712-F45F-4D67-8F9E-C4FE511A0AF0}"/>
    <cellStyle name="20% - Énfasis4 11 2 2" xfId="4697" xr:uid="{01EBAEF8-F478-4ADA-B4EA-20855CAE34C7}"/>
    <cellStyle name="20% - Énfasis4 11 3" xfId="3385" xr:uid="{7E933A17-62EA-44F9-AE8E-0A027CACA79B}"/>
    <cellStyle name="20% - Énfasis4 12" xfId="775" xr:uid="{E77066EA-9B07-416A-8C90-069BD6FC7017}"/>
    <cellStyle name="20% - Énfasis4 12 2" xfId="2097" xr:uid="{7C584D11-8937-4297-ACCF-DEAC3F5BD979}"/>
    <cellStyle name="20% - Énfasis4 12 2 2" xfId="4717" xr:uid="{AA20E9EF-1F39-42F0-8CB0-37B18871376F}"/>
    <cellStyle name="20% - Énfasis4 12 3" xfId="3405" xr:uid="{4A1CF3F7-3BAC-4845-BA15-B46D6430DABD}"/>
    <cellStyle name="20% - Énfasis4 13" xfId="795" xr:uid="{4CF2E8BC-E354-4926-9E95-04000EF48252}"/>
    <cellStyle name="20% - Énfasis4 13 2" xfId="2117" xr:uid="{1D6EFC6E-F06D-447C-9057-42CEB39F107B}"/>
    <cellStyle name="20% - Énfasis4 13 2 2" xfId="4737" xr:uid="{222970FD-BE38-4ED6-AD75-D075D0EF90D6}"/>
    <cellStyle name="20% - Énfasis4 13 3" xfId="3425" xr:uid="{4124C75A-B011-4BF3-B99C-A422AB87A122}"/>
    <cellStyle name="20% - Énfasis4 14" xfId="815" xr:uid="{8C9FD6BA-D097-4904-8362-E4222F32D572}"/>
    <cellStyle name="20% - Énfasis4 14 2" xfId="2137" xr:uid="{E07BF1CF-BD24-401A-8596-11C3BCB8B447}"/>
    <cellStyle name="20% - Énfasis4 14 2 2" xfId="4757" xr:uid="{F5BD759A-EB74-4471-A6EF-65F96C005B7E}"/>
    <cellStyle name="20% - Énfasis4 14 3" xfId="3445" xr:uid="{3144CA4E-86E1-45F2-A4CB-76862747C58B}"/>
    <cellStyle name="20% - Énfasis4 15" xfId="835" xr:uid="{F19B54BA-1C7F-4C99-854C-DAECE46D4E82}"/>
    <cellStyle name="20% - Énfasis4 15 2" xfId="2157" xr:uid="{E1A43219-CC1F-4377-8685-9E146DF35934}"/>
    <cellStyle name="20% - Énfasis4 15 2 2" xfId="4777" xr:uid="{D6C9FB81-3DD6-42EA-B445-3E2E766567E5}"/>
    <cellStyle name="20% - Énfasis4 15 3" xfId="3465" xr:uid="{BE35D3B4-CE0B-4C22-AF73-7EC67A63E981}"/>
    <cellStyle name="20% - Énfasis4 16" xfId="855" xr:uid="{85987926-D231-40BC-8E65-02CAE8741AA2}"/>
    <cellStyle name="20% - Énfasis4 16 2" xfId="2177" xr:uid="{045376CC-0E67-45E6-B1C3-718BCF11A91D}"/>
    <cellStyle name="20% - Énfasis4 16 2 2" xfId="4797" xr:uid="{AD79810C-4FFC-45AB-AC77-265DA0D98B72}"/>
    <cellStyle name="20% - Énfasis4 16 3" xfId="3485" xr:uid="{9FDF2F36-5AEC-4AE4-ACF6-D28A1EBDF25C}"/>
    <cellStyle name="20% - Énfasis4 17" xfId="875" xr:uid="{CBBC30BC-4659-4556-AB3B-504868B47679}"/>
    <cellStyle name="20% - Énfasis4 17 2" xfId="2197" xr:uid="{FC540EA4-4AD0-4A11-91F0-3CB5E8CEFBEA}"/>
    <cellStyle name="20% - Énfasis4 17 2 2" xfId="4817" xr:uid="{5494F5EA-33C2-4706-BF32-EB1C77691EFE}"/>
    <cellStyle name="20% - Énfasis4 17 3" xfId="3505" xr:uid="{970000BC-8EA9-4C27-AD20-0A412237DE37}"/>
    <cellStyle name="20% - Énfasis4 18" xfId="895" xr:uid="{77036EF3-96A9-41A7-A690-C291F9FFA11A}"/>
    <cellStyle name="20% - Énfasis4 18 2" xfId="2217" xr:uid="{9817BD9F-FA6A-4B9A-80DD-127773BC42C9}"/>
    <cellStyle name="20% - Énfasis4 18 2 2" xfId="4837" xr:uid="{556BFFA0-E88B-4C51-A93A-8445F8F75803}"/>
    <cellStyle name="20% - Énfasis4 18 3" xfId="3525" xr:uid="{4BEA29BB-95B0-44E1-9B5B-D8BBD14EE966}"/>
    <cellStyle name="20% - Énfasis4 19" xfId="915" xr:uid="{687FE8F8-6339-4B99-B1D5-6BB86B73FBCC}"/>
    <cellStyle name="20% - Énfasis4 19 2" xfId="2237" xr:uid="{9358C72B-8A6B-4F31-9182-072DEAE39D1E}"/>
    <cellStyle name="20% - Énfasis4 19 2 2" xfId="4857" xr:uid="{515395EA-B3F1-4F13-961D-D7D97026F694}"/>
    <cellStyle name="20% - Énfasis4 19 3" xfId="3545" xr:uid="{530EF178-4FE7-430A-8338-570EA37049AE}"/>
    <cellStyle name="20% - Énfasis4 2" xfId="575" xr:uid="{07689D37-D9F1-406E-801B-7926177C592D}"/>
    <cellStyle name="20% - Énfasis4 2 2" xfId="1897" xr:uid="{7F95DA48-7CA5-4033-B3DC-5A420D438179}"/>
    <cellStyle name="20% - Énfasis4 2 2 2" xfId="4517" xr:uid="{5DA3AC29-FFA7-489F-90BB-E78F316EADD1}"/>
    <cellStyle name="20% - Énfasis4 2 3" xfId="3205" xr:uid="{510634D7-78F3-45E7-91D5-DB8F25624A94}"/>
    <cellStyle name="20% - Énfasis4 20" xfId="935" xr:uid="{91D634CD-64AE-47D7-8D3E-B0A203718289}"/>
    <cellStyle name="20% - Énfasis4 20 2" xfId="2257" xr:uid="{3897EE2F-A533-4DFB-BBCA-143B0F8E5CE5}"/>
    <cellStyle name="20% - Énfasis4 20 2 2" xfId="4877" xr:uid="{8EFE9A86-73BD-4458-B788-CBE1DDA96BA5}"/>
    <cellStyle name="20% - Énfasis4 20 3" xfId="3565" xr:uid="{7F21B333-F6A9-481D-8239-1A1C19F907F2}"/>
    <cellStyle name="20% - Énfasis4 21" xfId="955" xr:uid="{4E847A6C-E9F6-4056-9C43-899C222325A2}"/>
    <cellStyle name="20% - Énfasis4 21 2" xfId="2277" xr:uid="{A68509BE-5134-4DEE-8F5E-2662029ACA53}"/>
    <cellStyle name="20% - Énfasis4 21 2 2" xfId="4897" xr:uid="{4834B450-A4BD-44EF-AA22-2249D97CFB05}"/>
    <cellStyle name="20% - Énfasis4 21 3" xfId="3585" xr:uid="{021F778D-DEAB-4AAA-9300-76E66E875C4E}"/>
    <cellStyle name="20% - Énfasis4 22" xfId="975" xr:uid="{23B98A09-FB0D-417E-809E-D3FE7DF0992C}"/>
    <cellStyle name="20% - Énfasis4 22 2" xfId="2297" xr:uid="{0517150B-2BC1-44E8-8012-492E30B26FC0}"/>
    <cellStyle name="20% - Énfasis4 22 2 2" xfId="4917" xr:uid="{717A0C0A-C466-49E1-9F0E-B140AC0D42E3}"/>
    <cellStyle name="20% - Énfasis4 22 3" xfId="3605" xr:uid="{BFCF7213-A634-4E1A-A675-B5025E68686F}"/>
    <cellStyle name="20% - Énfasis4 23" xfId="995" xr:uid="{655E34CB-9F55-4118-837F-9D4D4E689E32}"/>
    <cellStyle name="20% - Énfasis4 23 2" xfId="2317" xr:uid="{960982C0-C717-48DD-AB9F-CBA4F5A21FF0}"/>
    <cellStyle name="20% - Énfasis4 23 2 2" xfId="4937" xr:uid="{0BDA3589-8400-4A48-8109-FE849AB6A3F0}"/>
    <cellStyle name="20% - Énfasis4 23 3" xfId="3625" xr:uid="{9ABE6DD1-E19D-4C94-80AC-3C61BF907B96}"/>
    <cellStyle name="20% - Énfasis4 24" xfId="1015" xr:uid="{FF22E69D-6EDC-4176-AC7D-83226FE8E6D2}"/>
    <cellStyle name="20% - Énfasis4 24 2" xfId="2337" xr:uid="{CFAEA1C1-2EF9-4A2A-B5C1-0E1B8F1A9482}"/>
    <cellStyle name="20% - Énfasis4 24 2 2" xfId="4957" xr:uid="{907ECD92-719F-407B-BD82-772B27342FC8}"/>
    <cellStyle name="20% - Énfasis4 24 3" xfId="3645" xr:uid="{E348CD5A-3C9C-47AF-BD90-168E7602F362}"/>
    <cellStyle name="20% - Énfasis4 25" xfId="1035" xr:uid="{84575658-6570-4583-881B-FCD108B6825E}"/>
    <cellStyle name="20% - Énfasis4 25 2" xfId="2357" xr:uid="{261E3309-EF22-430E-853F-A1B981652203}"/>
    <cellStyle name="20% - Énfasis4 25 2 2" xfId="4977" xr:uid="{B89C85B5-C074-4108-9927-84FA7B17B3AF}"/>
    <cellStyle name="20% - Énfasis4 25 3" xfId="3665" xr:uid="{9956E2EB-4282-4C44-A4EF-244F66D278A8}"/>
    <cellStyle name="20% - Énfasis4 26" xfId="1135" xr:uid="{F7DB203B-0E8A-4EAB-9862-4407F238A932}"/>
    <cellStyle name="20% - Énfasis4 26 2" xfId="2457" xr:uid="{F7DAD2F0-70EE-459A-BD3C-A00628C5C59B}"/>
    <cellStyle name="20% - Énfasis4 26 2 2" xfId="5077" xr:uid="{1ED9FFC0-BDA8-4E95-B3C8-5611F1E36589}"/>
    <cellStyle name="20% - Énfasis4 26 3" xfId="3765" xr:uid="{3C1B058B-14ED-40A1-AB0C-466973DD73FC}"/>
    <cellStyle name="20% - Énfasis4 27" xfId="1155" xr:uid="{A908409C-659E-452F-A95C-5E0E28619A30}"/>
    <cellStyle name="20% - Énfasis4 27 2" xfId="2477" xr:uid="{255DD626-AB15-4178-8BE9-0868A9BCC7B2}"/>
    <cellStyle name="20% - Énfasis4 27 2 2" xfId="5097" xr:uid="{4E363AEB-03FC-415C-837D-6B23CC189C81}"/>
    <cellStyle name="20% - Énfasis4 27 3" xfId="3785" xr:uid="{163B81CA-5585-4D3A-801D-CE898A10A7DE}"/>
    <cellStyle name="20% - Énfasis4 28" xfId="1175" xr:uid="{B918F3D5-B3A3-440C-B577-67D6D8A2C00B}"/>
    <cellStyle name="20% - Énfasis4 28 2" xfId="2497" xr:uid="{0D5DF50C-AA5A-4CCE-9955-00BB5D45C37D}"/>
    <cellStyle name="20% - Énfasis4 28 2 2" xfId="5117" xr:uid="{D1300A2D-BE00-4761-A7F4-017C4AB778B2}"/>
    <cellStyle name="20% - Énfasis4 28 3" xfId="3805" xr:uid="{F5093736-32CF-4708-8622-88BBED58E93A}"/>
    <cellStyle name="20% - Énfasis4 29" xfId="1195" xr:uid="{0528F85D-5AD2-44FF-8B67-DE73C9767416}"/>
    <cellStyle name="20% - Énfasis4 29 2" xfId="2517" xr:uid="{14F7925C-929C-4230-A71E-FC692AE1F81E}"/>
    <cellStyle name="20% - Énfasis4 29 2 2" xfId="5137" xr:uid="{3A799969-F974-45CD-8A03-545C1A79195B}"/>
    <cellStyle name="20% - Énfasis4 29 3" xfId="3825" xr:uid="{247B7AAA-CA86-4B21-9FE8-8035846BDAF4}"/>
    <cellStyle name="20% - Énfasis4 3" xfId="595" xr:uid="{7B155F3B-7A05-4F1C-B577-FDE830D50F25}"/>
    <cellStyle name="20% - Énfasis4 3 2" xfId="1917" xr:uid="{8B7C8831-357A-444E-A3F2-56BFCD6E5304}"/>
    <cellStyle name="20% - Énfasis4 3 2 2" xfId="4537" xr:uid="{8155D79A-2568-4D55-8B92-195CC5BC7C7C}"/>
    <cellStyle name="20% - Énfasis4 3 3" xfId="3225" xr:uid="{C8AD3555-237F-4839-9C9B-AB64CF68F8AC}"/>
    <cellStyle name="20% - Énfasis4 30" xfId="1215" xr:uid="{02AF3A7D-6C1C-4743-AF56-9D6DE326ED13}"/>
    <cellStyle name="20% - Énfasis4 30 2" xfId="2537" xr:uid="{67CA4DF9-8AEA-449F-84AA-CDBC008DC799}"/>
    <cellStyle name="20% - Énfasis4 30 2 2" xfId="5157" xr:uid="{5E507516-6213-41B6-8C4E-BBE05EE1E4D9}"/>
    <cellStyle name="20% - Énfasis4 30 3" xfId="3845" xr:uid="{2C8448C1-EE2C-4CCB-B681-1F92880C1BD8}"/>
    <cellStyle name="20% - Énfasis4 31" xfId="1235" xr:uid="{55597F9B-58C1-46C2-9613-EB740D2A0721}"/>
    <cellStyle name="20% - Énfasis4 31 2" xfId="2557" xr:uid="{2C7DF10B-BD1C-497E-AD4A-846D9875DB5F}"/>
    <cellStyle name="20% - Énfasis4 31 2 2" xfId="5177" xr:uid="{9F9A057B-CD6E-4B38-AA1F-6E51067E9434}"/>
    <cellStyle name="20% - Énfasis4 31 3" xfId="3865" xr:uid="{C5A8521B-E678-4F12-A462-0B699B618348}"/>
    <cellStyle name="20% - Énfasis4 32" xfId="1255" xr:uid="{DFFEEA7E-8A28-4A86-9AAE-F633AB5DCC09}"/>
    <cellStyle name="20% - Énfasis4 32 2" xfId="2577" xr:uid="{11F06A1A-2DF4-4D2E-A05A-DA6A73BB5D6C}"/>
    <cellStyle name="20% - Énfasis4 32 2 2" xfId="5197" xr:uid="{5E785E13-CB71-47C2-BBA8-FAD222FF6E9D}"/>
    <cellStyle name="20% - Énfasis4 32 3" xfId="3885" xr:uid="{227505F0-7344-4637-91F4-7B54A9A54552}"/>
    <cellStyle name="20% - Énfasis4 33" xfId="1275" xr:uid="{12586AEF-F7C4-4807-B4E0-FFDFCD79F990}"/>
    <cellStyle name="20% - Énfasis4 33 2" xfId="2597" xr:uid="{C66D0487-6249-4001-974A-28B3F7D32A96}"/>
    <cellStyle name="20% - Énfasis4 33 2 2" xfId="5217" xr:uid="{F9774FCA-B4D6-4592-A15D-4355F9694159}"/>
    <cellStyle name="20% - Énfasis4 33 3" xfId="3905" xr:uid="{B60E4D09-54D7-4E77-A4DF-10AD360EE178}"/>
    <cellStyle name="20% - Énfasis4 34" xfId="1295" xr:uid="{11EAD2E4-4680-400C-9751-E3554D89E66C}"/>
    <cellStyle name="20% - Énfasis4 34 2" xfId="2617" xr:uid="{D63412CD-BAF3-4A80-BB35-FE74F8B7B846}"/>
    <cellStyle name="20% - Énfasis4 34 2 2" xfId="5237" xr:uid="{E6590744-2243-47C3-A366-4FF30A321E17}"/>
    <cellStyle name="20% - Énfasis4 34 3" xfId="3925" xr:uid="{755F7C1D-25EC-480E-9707-B4186B316420}"/>
    <cellStyle name="20% - Énfasis4 35" xfId="1315" xr:uid="{9E844C43-6E1C-4FA7-AF7C-60CCE229247D}"/>
    <cellStyle name="20% - Énfasis4 35 2" xfId="2637" xr:uid="{226780F9-EEAE-4096-AF9F-F7CB43E45F44}"/>
    <cellStyle name="20% - Énfasis4 35 2 2" xfId="5257" xr:uid="{387EB9F3-9E38-49E7-8325-3623790FBD24}"/>
    <cellStyle name="20% - Énfasis4 35 3" xfId="3945" xr:uid="{AD65CDB2-F155-4406-95F5-D17879D50834}"/>
    <cellStyle name="20% - Énfasis4 36" xfId="1353" xr:uid="{FF5B2552-F7DF-4FEF-B835-85CB6343E226}"/>
    <cellStyle name="20% - Énfasis4 36 2" xfId="3975" xr:uid="{1E28AB82-11A9-4DE0-9F3E-341A9FEF42BE}"/>
    <cellStyle name="20% - Énfasis4 37" xfId="2663" xr:uid="{B0DCB6E4-B03D-4F6A-9B0A-A461952379D2}"/>
    <cellStyle name="20% - Énfasis4 4" xfId="615" xr:uid="{42E82586-60A5-44C2-8E4A-4A132B604A23}"/>
    <cellStyle name="20% - Énfasis4 4 2" xfId="1937" xr:uid="{E12C8C55-A3F0-494F-9190-EA5253553F82}"/>
    <cellStyle name="20% - Énfasis4 4 2 2" xfId="4557" xr:uid="{ACA542B6-319E-4E29-BD68-1F2C8695A921}"/>
    <cellStyle name="20% - Énfasis4 4 3" xfId="3245" xr:uid="{F5CCAEB1-53B4-4F26-9930-49D6183F426F}"/>
    <cellStyle name="20% - Énfasis4 5" xfId="635" xr:uid="{D9455C4C-C9D4-4312-B25E-15A95B68F982}"/>
    <cellStyle name="20% - Énfasis4 5 2" xfId="1957" xr:uid="{611C1CD5-966B-4227-AE60-188BA357EE9F}"/>
    <cellStyle name="20% - Énfasis4 5 2 2" xfId="4577" xr:uid="{AA6D59F0-1D0A-4520-BDC7-766801F7AA60}"/>
    <cellStyle name="20% - Énfasis4 5 3" xfId="3265" xr:uid="{EA6F75E5-85B6-4786-9734-8A4E55AF9CC6}"/>
    <cellStyle name="20% - Énfasis4 6" xfId="655" xr:uid="{C309B348-F83A-45C8-91CE-64E2F633C74D}"/>
    <cellStyle name="20% - Énfasis4 6 2" xfId="1977" xr:uid="{82B372B1-A11D-49FC-A8DC-1178171E30FF}"/>
    <cellStyle name="20% - Énfasis4 6 2 2" xfId="4597" xr:uid="{CD0ED16F-D10D-4FA3-AF30-836D67DF2445}"/>
    <cellStyle name="20% - Énfasis4 6 3" xfId="3285" xr:uid="{FF087024-7203-4BC4-B128-4CFC30914BCB}"/>
    <cellStyle name="20% - Énfasis4 7" xfId="675" xr:uid="{9F506FD1-2CA3-4D71-8FD3-DD2D82068A2F}"/>
    <cellStyle name="20% - Énfasis4 7 2" xfId="1997" xr:uid="{506C38AC-C432-48D6-9318-E0C30C5CD0D5}"/>
    <cellStyle name="20% - Énfasis4 7 2 2" xfId="4617" xr:uid="{51AC19C5-5AD4-4D41-91C1-4579C9C3D282}"/>
    <cellStyle name="20% - Énfasis4 7 3" xfId="3305" xr:uid="{6D057091-719C-4F71-AE79-0738B04964D0}"/>
    <cellStyle name="20% - Énfasis4 8" xfId="695" xr:uid="{5891749E-6F00-4FD0-9B21-E114D422FFC4}"/>
    <cellStyle name="20% - Énfasis4 8 2" xfId="2017" xr:uid="{FEFAA378-9BC8-4697-9E26-EC28CC9B3269}"/>
    <cellStyle name="20% - Énfasis4 8 2 2" xfId="4637" xr:uid="{BEE7B984-2519-49B6-B446-BDA0C5F4BD65}"/>
    <cellStyle name="20% - Énfasis4 8 3" xfId="3325" xr:uid="{9568C194-FF5D-4B6A-A2EF-45ABD4A8A249}"/>
    <cellStyle name="20% - Énfasis4 9" xfId="715" xr:uid="{1F0D30FD-A85F-4A1F-8081-236258281706}"/>
    <cellStyle name="20% - Énfasis4 9 2" xfId="2037" xr:uid="{44DD9FFF-64B2-4F40-9F86-FD46AD722738}"/>
    <cellStyle name="20% - Énfasis4 9 2 2" xfId="4657" xr:uid="{84AC8D4C-13DC-4D6E-BFCA-A5213FFD254F}"/>
    <cellStyle name="20% - Énfasis4 9 3" xfId="3345" xr:uid="{E7D9436F-513E-4F42-AF10-C0EC6C5E27F2}"/>
    <cellStyle name="20% - Énfasis5" xfId="34" builtinId="46" customBuiltin="1"/>
    <cellStyle name="20% - Énfasis5 10" xfId="738" xr:uid="{283214B9-904B-41BF-8838-579D9F8C97FE}"/>
    <cellStyle name="20% - Énfasis5 10 2" xfId="2060" xr:uid="{6FDB3D6A-9599-4DF6-BCA6-F98CFC8C82A4}"/>
    <cellStyle name="20% - Énfasis5 10 2 2" xfId="4680" xr:uid="{D4973702-82C3-4574-9C90-812F9B543CB9}"/>
    <cellStyle name="20% - Énfasis5 10 3" xfId="3368" xr:uid="{60BDECA1-E144-4181-B659-D783ACF99905}"/>
    <cellStyle name="20% - Énfasis5 11" xfId="758" xr:uid="{D8DD261A-AA2C-479C-8729-71504D43963B}"/>
    <cellStyle name="20% - Énfasis5 11 2" xfId="2080" xr:uid="{1E608FE0-B841-410B-A727-17687CEB36E3}"/>
    <cellStyle name="20% - Énfasis5 11 2 2" xfId="4700" xr:uid="{2507F3B2-BE53-48DB-A31F-622F86BA4920}"/>
    <cellStyle name="20% - Énfasis5 11 3" xfId="3388" xr:uid="{75BA1869-2EEF-488D-A543-BD5EB6881B5F}"/>
    <cellStyle name="20% - Énfasis5 12" xfId="778" xr:uid="{B225CBC8-F32B-4688-8C69-61E195212566}"/>
    <cellStyle name="20% - Énfasis5 12 2" xfId="2100" xr:uid="{6A1E734E-E3DC-4BA7-9AC8-03FF7C8B3DA1}"/>
    <cellStyle name="20% - Énfasis5 12 2 2" xfId="4720" xr:uid="{79FE0C44-E6FA-4108-9790-F29D5B3B5B16}"/>
    <cellStyle name="20% - Énfasis5 12 3" xfId="3408" xr:uid="{69C4F925-8E37-44BE-B65C-9B413228DD82}"/>
    <cellStyle name="20% - Énfasis5 13" xfId="798" xr:uid="{69C6CE4A-C652-46EF-B930-5BF114CA9E77}"/>
    <cellStyle name="20% - Énfasis5 13 2" xfId="2120" xr:uid="{CEEE23A5-5FFF-46E5-BF54-231DC9BDD9F5}"/>
    <cellStyle name="20% - Énfasis5 13 2 2" xfId="4740" xr:uid="{7FB36770-95FE-48D7-A23F-A427C68031A6}"/>
    <cellStyle name="20% - Énfasis5 13 3" xfId="3428" xr:uid="{41A97509-1102-4EE6-8B75-637EC0D206EE}"/>
    <cellStyle name="20% - Énfasis5 14" xfId="818" xr:uid="{FBD0BD47-A412-468A-9A90-125D8EB4DF61}"/>
    <cellStyle name="20% - Énfasis5 14 2" xfId="2140" xr:uid="{1E6CA760-FB7F-4E23-B764-E069B3236D71}"/>
    <cellStyle name="20% - Énfasis5 14 2 2" xfId="4760" xr:uid="{9A66F760-11CB-4BF5-B94D-D6B612689C15}"/>
    <cellStyle name="20% - Énfasis5 14 3" xfId="3448" xr:uid="{715C5E53-031B-4227-912B-AFC38D4AEA96}"/>
    <cellStyle name="20% - Énfasis5 15" xfId="838" xr:uid="{58B88600-8F5B-44BC-B124-90BFAB2CF2A5}"/>
    <cellStyle name="20% - Énfasis5 15 2" xfId="2160" xr:uid="{DD55DEA4-06E4-4071-B263-C3711E3CDED8}"/>
    <cellStyle name="20% - Énfasis5 15 2 2" xfId="4780" xr:uid="{19C2E5C0-5845-418B-BEE4-0B1F39E4C83C}"/>
    <cellStyle name="20% - Énfasis5 15 3" xfId="3468" xr:uid="{63E1A40B-F4B5-4DA4-8F09-C07BB79B813A}"/>
    <cellStyle name="20% - Énfasis5 16" xfId="858" xr:uid="{AC03D9ED-76A0-4B92-9DCC-09B851EFD58B}"/>
    <cellStyle name="20% - Énfasis5 16 2" xfId="2180" xr:uid="{50A2BA2B-237D-4878-8478-D4C4BD3E4B68}"/>
    <cellStyle name="20% - Énfasis5 16 2 2" xfId="4800" xr:uid="{94910F08-8509-4248-A953-A323CE8F8BFB}"/>
    <cellStyle name="20% - Énfasis5 16 3" xfId="3488" xr:uid="{80474101-4499-423C-B8B8-310CBC582735}"/>
    <cellStyle name="20% - Énfasis5 17" xfId="878" xr:uid="{6B644CD0-2408-469B-BA76-CFF77F3BCC79}"/>
    <cellStyle name="20% - Énfasis5 17 2" xfId="2200" xr:uid="{435D3685-C324-4E18-AE8E-495AA0AB2DAD}"/>
    <cellStyle name="20% - Énfasis5 17 2 2" xfId="4820" xr:uid="{9C6C2321-DBB9-4E63-A3B7-C80F5807C64B}"/>
    <cellStyle name="20% - Énfasis5 17 3" xfId="3508" xr:uid="{0D8B10D0-78C5-413F-89A5-B4E9CC1AF89C}"/>
    <cellStyle name="20% - Énfasis5 18" xfId="898" xr:uid="{0CFC07FD-A30B-4891-B984-2A60B6FF8FAA}"/>
    <cellStyle name="20% - Énfasis5 18 2" xfId="2220" xr:uid="{EA0C38BE-291F-45A6-AC02-52E78BDFA562}"/>
    <cellStyle name="20% - Énfasis5 18 2 2" xfId="4840" xr:uid="{3EB36529-0CF6-4DCB-807A-5907567FF0BE}"/>
    <cellStyle name="20% - Énfasis5 18 3" xfId="3528" xr:uid="{68C20D41-2B57-4D54-B18B-CDAC944F0459}"/>
    <cellStyle name="20% - Énfasis5 19" xfId="918" xr:uid="{E58F818C-CC19-4D84-9730-793F6FB9E959}"/>
    <cellStyle name="20% - Énfasis5 19 2" xfId="2240" xr:uid="{09796531-E950-4DE6-A4CB-A3739534BB6C}"/>
    <cellStyle name="20% - Énfasis5 19 2 2" xfId="4860" xr:uid="{836C2CEC-20CF-4064-92C1-3661FB2F6158}"/>
    <cellStyle name="20% - Énfasis5 19 3" xfId="3548" xr:uid="{77AFC13D-3070-4999-9150-BCAE147C72A1}"/>
    <cellStyle name="20% - Énfasis5 2" xfId="578" xr:uid="{E614CED7-D49E-4871-9E72-9BA4E8CB7544}"/>
    <cellStyle name="20% - Énfasis5 2 2" xfId="1900" xr:uid="{7094E70C-C9F7-41AF-8C4D-DF163480EE77}"/>
    <cellStyle name="20% - Énfasis5 2 2 2" xfId="4520" xr:uid="{C7EE0E3A-3885-4D9C-BF09-3B2864B354D9}"/>
    <cellStyle name="20% - Énfasis5 2 3" xfId="3208" xr:uid="{42ECAA47-F5F6-4A2D-952B-DA55E3BD1290}"/>
    <cellStyle name="20% - Énfasis5 20" xfId="938" xr:uid="{BC2174F2-0A98-4DDC-A672-9AAC03FE53C0}"/>
    <cellStyle name="20% - Énfasis5 20 2" xfId="2260" xr:uid="{DE7EA983-7B9A-45C8-858B-A014A5490F19}"/>
    <cellStyle name="20% - Énfasis5 20 2 2" xfId="4880" xr:uid="{8D470BA0-BEEA-4CCA-AD25-8D999FAB105E}"/>
    <cellStyle name="20% - Énfasis5 20 3" xfId="3568" xr:uid="{B310B16B-4868-4D3A-88FE-1A39B6191680}"/>
    <cellStyle name="20% - Énfasis5 21" xfId="958" xr:uid="{5E2F48B0-4C32-4A7B-B3DD-BFD616B8D36C}"/>
    <cellStyle name="20% - Énfasis5 21 2" xfId="2280" xr:uid="{20D6F1C9-0A4B-4A06-B849-84CC31BBB97B}"/>
    <cellStyle name="20% - Énfasis5 21 2 2" xfId="4900" xr:uid="{3BB73B05-FE39-4600-A0A7-6C7615D161E7}"/>
    <cellStyle name="20% - Énfasis5 21 3" xfId="3588" xr:uid="{C1FE8600-83CE-47A3-83FE-DDBAC52D6672}"/>
    <cellStyle name="20% - Énfasis5 22" xfId="978" xr:uid="{7BF67642-C16F-4381-8F84-0DDDD03EBBF4}"/>
    <cellStyle name="20% - Énfasis5 22 2" xfId="2300" xr:uid="{20025204-D9CD-43DC-B73B-BF1CD2FD3508}"/>
    <cellStyle name="20% - Énfasis5 22 2 2" xfId="4920" xr:uid="{5CEA706D-61A3-4669-8483-9131D8EC0EEC}"/>
    <cellStyle name="20% - Énfasis5 22 3" xfId="3608" xr:uid="{C4230278-ED9C-48A2-B5FC-2775D60463FB}"/>
    <cellStyle name="20% - Énfasis5 23" xfId="998" xr:uid="{7F9C5CE2-2FF5-4608-A310-9867CF12146F}"/>
    <cellStyle name="20% - Énfasis5 23 2" xfId="2320" xr:uid="{D1D76A8C-C725-431C-8AD6-C258EB9E4FC8}"/>
    <cellStyle name="20% - Énfasis5 23 2 2" xfId="4940" xr:uid="{331D1437-007D-4EFD-90DC-A406561FDEC7}"/>
    <cellStyle name="20% - Énfasis5 23 3" xfId="3628" xr:uid="{72994AF6-9813-4F9C-9884-E009C6DDF7D3}"/>
    <cellStyle name="20% - Énfasis5 24" xfId="1018" xr:uid="{C0DF4176-C872-4A3D-8B54-DB14887603AC}"/>
    <cellStyle name="20% - Énfasis5 24 2" xfId="2340" xr:uid="{65950B08-FB66-4B80-B345-6B64E06CC524}"/>
    <cellStyle name="20% - Énfasis5 24 2 2" xfId="4960" xr:uid="{4692A4CC-30BD-4CBA-B433-6360FC32AAB6}"/>
    <cellStyle name="20% - Énfasis5 24 3" xfId="3648" xr:uid="{8E32003C-E0AE-4673-A771-EDDBE499441E}"/>
    <cellStyle name="20% - Énfasis5 25" xfId="1038" xr:uid="{F5809F62-430C-4812-93B4-8A129208E01D}"/>
    <cellStyle name="20% - Énfasis5 25 2" xfId="2360" xr:uid="{05980DCE-4DC7-47C9-A6A2-0B80D73572D4}"/>
    <cellStyle name="20% - Énfasis5 25 2 2" xfId="4980" xr:uid="{E759ED60-3BA1-4424-9232-28E1C1F3B613}"/>
    <cellStyle name="20% - Énfasis5 25 3" xfId="3668" xr:uid="{05C6BBCE-A3BD-43B6-BEA7-C10CBB8339D7}"/>
    <cellStyle name="20% - Énfasis5 26" xfId="1138" xr:uid="{AF30A43B-CDC7-4008-9BE3-1767005A2564}"/>
    <cellStyle name="20% - Énfasis5 26 2" xfId="2460" xr:uid="{B80E4B07-7D06-45DB-B424-EBF391201EE7}"/>
    <cellStyle name="20% - Énfasis5 26 2 2" xfId="5080" xr:uid="{8C4DAEF5-E616-4003-9597-7B26E6286B3D}"/>
    <cellStyle name="20% - Énfasis5 26 3" xfId="3768" xr:uid="{E1282A6F-0476-41FD-9CEF-C94F66779608}"/>
    <cellStyle name="20% - Énfasis5 27" xfId="1158" xr:uid="{F7259D53-30FA-4266-BDE1-19A613E35BF2}"/>
    <cellStyle name="20% - Énfasis5 27 2" xfId="2480" xr:uid="{64D6FAB0-0F5C-4E7A-9E8B-18D45F277D48}"/>
    <cellStyle name="20% - Énfasis5 27 2 2" xfId="5100" xr:uid="{75C501A7-8130-4DBE-BC28-B3760507C40E}"/>
    <cellStyle name="20% - Énfasis5 27 3" xfId="3788" xr:uid="{3E9C6757-4F0A-45C6-841F-0ADF6F45BFE4}"/>
    <cellStyle name="20% - Énfasis5 28" xfId="1178" xr:uid="{C0A5BEF7-7F0E-4AD8-8DDC-7152812A9912}"/>
    <cellStyle name="20% - Énfasis5 28 2" xfId="2500" xr:uid="{1563CA8D-E840-4131-8CE0-B8ED31C9E165}"/>
    <cellStyle name="20% - Énfasis5 28 2 2" xfId="5120" xr:uid="{9924D6BC-B11F-4010-86C1-659003459B48}"/>
    <cellStyle name="20% - Énfasis5 28 3" xfId="3808" xr:uid="{7F5A339F-7937-4AF8-B98F-141E9B2415EC}"/>
    <cellStyle name="20% - Énfasis5 29" xfId="1198" xr:uid="{78253B1A-5D3C-460B-A568-32FA6095A8A4}"/>
    <cellStyle name="20% - Énfasis5 29 2" xfId="2520" xr:uid="{A4F6E81D-21C6-4F3F-9B07-33BFC77DBBA4}"/>
    <cellStyle name="20% - Énfasis5 29 2 2" xfId="5140" xr:uid="{80CBFDCB-F2AD-400D-A65A-097151FD8962}"/>
    <cellStyle name="20% - Énfasis5 29 3" xfId="3828" xr:uid="{0ADAD894-AE91-48A3-AE5D-241F84ABD1E1}"/>
    <cellStyle name="20% - Énfasis5 3" xfId="598" xr:uid="{ABC177CA-BC7A-4C08-A5FC-A17F1F618B03}"/>
    <cellStyle name="20% - Énfasis5 3 2" xfId="1920" xr:uid="{14FC6704-460D-42B4-BA9E-DB58AF8C9504}"/>
    <cellStyle name="20% - Énfasis5 3 2 2" xfId="4540" xr:uid="{2BBF0D7F-86B8-4051-81DF-D76383BC825C}"/>
    <cellStyle name="20% - Énfasis5 3 3" xfId="3228" xr:uid="{E4DCD9CF-BF9C-48EF-830A-5D331414769C}"/>
    <cellStyle name="20% - Énfasis5 30" xfId="1218" xr:uid="{EF8C651F-9759-4DEE-B8DE-A1860EF6388A}"/>
    <cellStyle name="20% - Énfasis5 30 2" xfId="2540" xr:uid="{B2589ACD-931F-491E-A8C0-AB597C5CE046}"/>
    <cellStyle name="20% - Énfasis5 30 2 2" xfId="5160" xr:uid="{916A2D7B-7455-4645-8CDA-9A92BB2F1E9A}"/>
    <cellStyle name="20% - Énfasis5 30 3" xfId="3848" xr:uid="{4657CB63-A4E4-4958-835B-3BD4C320ADC9}"/>
    <cellStyle name="20% - Énfasis5 31" xfId="1238" xr:uid="{078CD975-A617-44BF-A11C-0274E0BEEABE}"/>
    <cellStyle name="20% - Énfasis5 31 2" xfId="2560" xr:uid="{78FFF5CD-FB14-463C-AD88-53CAA8C3526A}"/>
    <cellStyle name="20% - Énfasis5 31 2 2" xfId="5180" xr:uid="{F1DCC1C1-A05E-48A4-84AF-9BB0EFFE4C24}"/>
    <cellStyle name="20% - Énfasis5 31 3" xfId="3868" xr:uid="{46633CCE-C25C-4185-B5CA-D8B215CCA4A9}"/>
    <cellStyle name="20% - Énfasis5 32" xfId="1258" xr:uid="{E9AC5A58-8ECC-4C21-A5C0-46360934046C}"/>
    <cellStyle name="20% - Énfasis5 32 2" xfId="2580" xr:uid="{511215E4-A902-42CF-A266-40941708CDDA}"/>
    <cellStyle name="20% - Énfasis5 32 2 2" xfId="5200" xr:uid="{AD93D490-2389-4D11-A94E-45729575ED0E}"/>
    <cellStyle name="20% - Énfasis5 32 3" xfId="3888" xr:uid="{8BA7A261-58FA-4513-B96A-D9A135107AF8}"/>
    <cellStyle name="20% - Énfasis5 33" xfId="1278" xr:uid="{CFE39F93-A3AE-429A-B07B-3F7BC37C4563}"/>
    <cellStyle name="20% - Énfasis5 33 2" xfId="2600" xr:uid="{5A90194D-CB99-48BF-BEC9-1AD9F9CA7429}"/>
    <cellStyle name="20% - Énfasis5 33 2 2" xfId="5220" xr:uid="{D4DDEA79-E850-469F-9C86-9CB139BFE801}"/>
    <cellStyle name="20% - Énfasis5 33 3" xfId="3908" xr:uid="{6641FB35-97F6-45A9-8BE1-480CAC53E51A}"/>
    <cellStyle name="20% - Énfasis5 34" xfId="1298" xr:uid="{1CDA07E6-A1C1-4004-8D0F-013A859A7A74}"/>
    <cellStyle name="20% - Énfasis5 34 2" xfId="2620" xr:uid="{21D41222-C8ED-4045-A5A8-D150473838F8}"/>
    <cellStyle name="20% - Énfasis5 34 2 2" xfId="5240" xr:uid="{E7E0FA53-471F-49FD-ACD4-D6284D246685}"/>
    <cellStyle name="20% - Énfasis5 34 3" xfId="3928" xr:uid="{55D5AD2B-67DA-4518-85D0-32913700DCD4}"/>
    <cellStyle name="20% - Énfasis5 35" xfId="1318" xr:uid="{41560642-68DF-4EA3-85AD-291E077984C7}"/>
    <cellStyle name="20% - Énfasis5 35 2" xfId="2640" xr:uid="{0B1D617C-AD7A-4CAF-9846-5B8735046EAD}"/>
    <cellStyle name="20% - Énfasis5 35 2 2" xfId="5260" xr:uid="{87AE864C-ADF4-45B0-93F8-937CCFA20849}"/>
    <cellStyle name="20% - Énfasis5 35 3" xfId="3948" xr:uid="{0C1C47BB-B628-4E82-8791-6B1270B5CA9A}"/>
    <cellStyle name="20% - Énfasis5 36" xfId="1356" xr:uid="{0D0B6FAA-8206-465A-A587-7AA6108341CE}"/>
    <cellStyle name="20% - Énfasis5 36 2" xfId="3978" xr:uid="{044791A5-7540-46B6-AF49-031B9A62AB04}"/>
    <cellStyle name="20% - Énfasis5 37" xfId="2666" xr:uid="{755AF96A-7DB4-45EA-8DFC-0D5B469270A6}"/>
    <cellStyle name="20% - Énfasis5 4" xfId="618" xr:uid="{85CB62F3-CEB9-4C3F-A394-3A32ECB3A0D8}"/>
    <cellStyle name="20% - Énfasis5 4 2" xfId="1940" xr:uid="{C81F813E-6990-4FC8-A0F4-ECFE55EC14E4}"/>
    <cellStyle name="20% - Énfasis5 4 2 2" xfId="4560" xr:uid="{05F4401D-297B-40D1-8DEC-77D9F8007494}"/>
    <cellStyle name="20% - Énfasis5 4 3" xfId="3248" xr:uid="{0322C628-63B7-435B-8F6D-B174F0616CEB}"/>
    <cellStyle name="20% - Énfasis5 5" xfId="638" xr:uid="{4D8E7E3C-9289-446B-B166-10AC655077DE}"/>
    <cellStyle name="20% - Énfasis5 5 2" xfId="1960" xr:uid="{C892EEB9-3DED-42B2-AC39-E87814E57703}"/>
    <cellStyle name="20% - Énfasis5 5 2 2" xfId="4580" xr:uid="{5272506D-DAE8-4D9F-9560-B1C0BCDA88ED}"/>
    <cellStyle name="20% - Énfasis5 5 3" xfId="3268" xr:uid="{5D70B100-C090-4AC7-973C-25DE9ABE46CC}"/>
    <cellStyle name="20% - Énfasis5 6" xfId="658" xr:uid="{FE6B3760-0C86-4098-9272-3CFDE0E5BEE3}"/>
    <cellStyle name="20% - Énfasis5 6 2" xfId="1980" xr:uid="{8B5DA7B6-B93F-48E0-BA56-6DD625B4CC61}"/>
    <cellStyle name="20% - Énfasis5 6 2 2" xfId="4600" xr:uid="{061328D9-00A7-4576-8060-F2E69732F2D1}"/>
    <cellStyle name="20% - Énfasis5 6 3" xfId="3288" xr:uid="{9CD45763-4062-4F77-B598-1443DAB0063D}"/>
    <cellStyle name="20% - Énfasis5 7" xfId="678" xr:uid="{2B57AF99-5F8A-4235-9A2A-D88A00D92F6A}"/>
    <cellStyle name="20% - Énfasis5 7 2" xfId="2000" xr:uid="{3F4661C2-A7EE-4A8D-8BD8-D89434413335}"/>
    <cellStyle name="20% - Énfasis5 7 2 2" xfId="4620" xr:uid="{34185F3D-4222-4C7C-A99B-F022648E7514}"/>
    <cellStyle name="20% - Énfasis5 7 3" xfId="3308" xr:uid="{D624A3AC-822F-4BB4-9631-CE3FB7BA0217}"/>
    <cellStyle name="20% - Énfasis5 8" xfId="698" xr:uid="{6F70446D-899C-47EB-AAAB-835F4F63490A}"/>
    <cellStyle name="20% - Énfasis5 8 2" xfId="2020" xr:uid="{8B189897-3370-47A4-B66B-98AB8C04958E}"/>
    <cellStyle name="20% - Énfasis5 8 2 2" xfId="4640" xr:uid="{64E78E8B-DAAF-4DAA-B499-09189DD4A357}"/>
    <cellStyle name="20% - Énfasis5 8 3" xfId="3328" xr:uid="{88BEA093-D027-46B3-A070-78D96F43B3FC}"/>
    <cellStyle name="20% - Énfasis5 9" xfId="718" xr:uid="{9286C8A4-55C8-449B-8064-7061221FD909}"/>
    <cellStyle name="20% - Énfasis5 9 2" xfId="2040" xr:uid="{8E26373C-F467-4E65-8A21-DAB91A4592B0}"/>
    <cellStyle name="20% - Énfasis5 9 2 2" xfId="4660" xr:uid="{FAA5B9C8-8119-430C-A520-51C48950FADE}"/>
    <cellStyle name="20% - Énfasis5 9 3" xfId="3348" xr:uid="{A3E6C141-ADF0-46E0-AD83-7C2A305E0226}"/>
    <cellStyle name="20% - Énfasis6" xfId="38" builtinId="50" customBuiltin="1"/>
    <cellStyle name="20% - Énfasis6 10" xfId="741" xr:uid="{E1ACB60B-C9F6-434B-80CA-8A139699E468}"/>
    <cellStyle name="20% - Énfasis6 10 2" xfId="2063" xr:uid="{70C1621C-F50D-4C3A-86E9-49EC3E8DAB29}"/>
    <cellStyle name="20% - Énfasis6 10 2 2" xfId="4683" xr:uid="{9F075D98-6D8A-4D3C-B74A-498EF9A0DD99}"/>
    <cellStyle name="20% - Énfasis6 10 3" xfId="3371" xr:uid="{67DD8C36-9DB5-40D9-A492-7AA97751F782}"/>
    <cellStyle name="20% - Énfasis6 11" xfId="761" xr:uid="{B3E965B9-80B0-4652-9718-FC1E1995D1D5}"/>
    <cellStyle name="20% - Énfasis6 11 2" xfId="2083" xr:uid="{5F11F2F5-F801-45A3-9B82-447870151749}"/>
    <cellStyle name="20% - Énfasis6 11 2 2" xfId="4703" xr:uid="{054904B6-93F7-440B-9323-26E9DE12F21C}"/>
    <cellStyle name="20% - Énfasis6 11 3" xfId="3391" xr:uid="{F8576AAA-26EA-452E-8FFB-9A6624014BB1}"/>
    <cellStyle name="20% - Énfasis6 12" xfId="781" xr:uid="{90E6D74B-1BAA-4B81-AA4B-33DC3F2203B4}"/>
    <cellStyle name="20% - Énfasis6 12 2" xfId="2103" xr:uid="{21E749FE-8E02-4648-ACFE-CAF3B6FAD364}"/>
    <cellStyle name="20% - Énfasis6 12 2 2" xfId="4723" xr:uid="{565DC38C-93CF-4856-8A1E-CF5C1DD4FEE4}"/>
    <cellStyle name="20% - Énfasis6 12 3" xfId="3411" xr:uid="{83F1019B-9D40-4E34-A207-44F06AB0104E}"/>
    <cellStyle name="20% - Énfasis6 13" xfId="801" xr:uid="{4F8D286D-0816-4E8B-9866-914F8BEF62E2}"/>
    <cellStyle name="20% - Énfasis6 13 2" xfId="2123" xr:uid="{8B14416A-33BE-4F3D-90C4-A14722360A07}"/>
    <cellStyle name="20% - Énfasis6 13 2 2" xfId="4743" xr:uid="{C89E3E8D-B41F-42F0-AA4D-2B09CAB88190}"/>
    <cellStyle name="20% - Énfasis6 13 3" xfId="3431" xr:uid="{7BA2EEFF-9E28-4182-8806-E4E0301B3151}"/>
    <cellStyle name="20% - Énfasis6 14" xfId="821" xr:uid="{D6F300AF-7C54-4791-937F-D8686498F4BD}"/>
    <cellStyle name="20% - Énfasis6 14 2" xfId="2143" xr:uid="{042BF743-8D1A-4D90-98D7-240A2EBEBBE1}"/>
    <cellStyle name="20% - Énfasis6 14 2 2" xfId="4763" xr:uid="{A1C405AE-5840-4265-9B19-907CB0229D2E}"/>
    <cellStyle name="20% - Énfasis6 14 3" xfId="3451" xr:uid="{28EB8837-CF3D-443A-9FA5-0D4095A48EB8}"/>
    <cellStyle name="20% - Énfasis6 15" xfId="841" xr:uid="{65A0947A-8AC8-4F5E-A084-5CE5D524B486}"/>
    <cellStyle name="20% - Énfasis6 15 2" xfId="2163" xr:uid="{7FF8523D-87A2-43CB-A35F-61DE52128816}"/>
    <cellStyle name="20% - Énfasis6 15 2 2" xfId="4783" xr:uid="{94F1EB35-7BBE-4086-BAA9-F9379B439C99}"/>
    <cellStyle name="20% - Énfasis6 15 3" xfId="3471" xr:uid="{3B94E6EA-72A8-457F-B983-4B30CC9CD7F8}"/>
    <cellStyle name="20% - Énfasis6 16" xfId="861" xr:uid="{4F3EC6ED-BCEF-4F0E-9AA1-120A258DF5D2}"/>
    <cellStyle name="20% - Énfasis6 16 2" xfId="2183" xr:uid="{3AEED275-3D3E-44A1-9F1D-C84CBF6405D3}"/>
    <cellStyle name="20% - Énfasis6 16 2 2" xfId="4803" xr:uid="{C3D354AF-AE00-4EC2-8CF8-FE981FAB6DFF}"/>
    <cellStyle name="20% - Énfasis6 16 3" xfId="3491" xr:uid="{898CB01D-E68D-45E7-AC7D-F80AC8AC0E96}"/>
    <cellStyle name="20% - Énfasis6 17" xfId="881" xr:uid="{2CF1E55E-CA13-47E8-BE2C-4989667ABD2D}"/>
    <cellStyle name="20% - Énfasis6 17 2" xfId="2203" xr:uid="{9C443B3F-A004-4BDA-B67F-15FA2E8AC73C}"/>
    <cellStyle name="20% - Énfasis6 17 2 2" xfId="4823" xr:uid="{E8C0FC79-B864-4DC2-9156-845C3AA86B50}"/>
    <cellStyle name="20% - Énfasis6 17 3" xfId="3511" xr:uid="{C7C30F90-7521-4624-B501-3554A9EE207B}"/>
    <cellStyle name="20% - Énfasis6 18" xfId="901" xr:uid="{4CC6306D-5145-4D68-A74E-673CC4D3AA5E}"/>
    <cellStyle name="20% - Énfasis6 18 2" xfId="2223" xr:uid="{1C038927-290E-4111-852C-8DB26F4B8DCC}"/>
    <cellStyle name="20% - Énfasis6 18 2 2" xfId="4843" xr:uid="{0FAA936B-E741-40A4-8B09-DE34657D3723}"/>
    <cellStyle name="20% - Énfasis6 18 3" xfId="3531" xr:uid="{73394637-0F90-47BF-96AD-28B9AEE50AEA}"/>
    <cellStyle name="20% - Énfasis6 19" xfId="921" xr:uid="{2D3AF1AC-9694-43CF-BFD8-EBC85C46F9CC}"/>
    <cellStyle name="20% - Énfasis6 19 2" xfId="2243" xr:uid="{8F1C14CE-B74E-4D99-95FD-ED27FD5C36CB}"/>
    <cellStyle name="20% - Énfasis6 19 2 2" xfId="4863" xr:uid="{6CCDBD5D-D60D-4D8A-B956-D41FAACC3DBF}"/>
    <cellStyle name="20% - Énfasis6 19 3" xfId="3551" xr:uid="{DE286B93-8E93-4A51-A99E-D8141F670B83}"/>
    <cellStyle name="20% - Énfasis6 2" xfId="581" xr:uid="{166AD582-DA63-487D-BB53-EFD9A253DEBB}"/>
    <cellStyle name="20% - Énfasis6 2 2" xfId="1903" xr:uid="{27EF3CD5-6499-49BC-A339-7EE601BB61FC}"/>
    <cellStyle name="20% - Énfasis6 2 2 2" xfId="4523" xr:uid="{A7D18C33-8F37-4F8F-A2A4-080A0407CD7B}"/>
    <cellStyle name="20% - Énfasis6 2 3" xfId="3211" xr:uid="{5A0E9074-55E7-4E33-8A80-2E62BCE70363}"/>
    <cellStyle name="20% - Énfasis6 20" xfId="941" xr:uid="{C7CB4861-2389-46F4-8567-2C07AABA266F}"/>
    <cellStyle name="20% - Énfasis6 20 2" xfId="2263" xr:uid="{F0607999-C062-4096-8898-E11D60C22074}"/>
    <cellStyle name="20% - Énfasis6 20 2 2" xfId="4883" xr:uid="{773EB4B0-8C83-42A4-8C8A-97F749CB8683}"/>
    <cellStyle name="20% - Énfasis6 20 3" xfId="3571" xr:uid="{DDA78AE8-B855-4961-BE95-F65BB867F134}"/>
    <cellStyle name="20% - Énfasis6 21" xfId="961" xr:uid="{3B0B2BA6-B2CC-4925-8D4D-95AAB62D4D1B}"/>
    <cellStyle name="20% - Énfasis6 21 2" xfId="2283" xr:uid="{194D7C1D-0A65-44B3-8509-C3567D4FE66C}"/>
    <cellStyle name="20% - Énfasis6 21 2 2" xfId="4903" xr:uid="{3E4AADB4-73A9-4885-8DA6-8E601A06CDBD}"/>
    <cellStyle name="20% - Énfasis6 21 3" xfId="3591" xr:uid="{1C5BB09E-A4DC-4B5B-B7A7-E5458FA3183B}"/>
    <cellStyle name="20% - Énfasis6 22" xfId="981" xr:uid="{29872670-FB65-4469-BF86-3DDD8B7A9D85}"/>
    <cellStyle name="20% - Énfasis6 22 2" xfId="2303" xr:uid="{E9716C3B-FB5F-4CED-8DF5-4765975C591F}"/>
    <cellStyle name="20% - Énfasis6 22 2 2" xfId="4923" xr:uid="{4E542849-4CA0-4A94-99A6-E9C23B8886DA}"/>
    <cellStyle name="20% - Énfasis6 22 3" xfId="3611" xr:uid="{C7186019-A44C-4607-ACA7-C66503680C4E}"/>
    <cellStyle name="20% - Énfasis6 23" xfId="1001" xr:uid="{F50776C5-1858-452E-8F1E-32854067FB22}"/>
    <cellStyle name="20% - Énfasis6 23 2" xfId="2323" xr:uid="{D627A944-D178-4C2E-8719-0A0F162A4A78}"/>
    <cellStyle name="20% - Énfasis6 23 2 2" xfId="4943" xr:uid="{B903D059-3F34-44E8-A297-484368055E3F}"/>
    <cellStyle name="20% - Énfasis6 23 3" xfId="3631" xr:uid="{7E15AC02-6FB1-47DA-AC68-4C8E01D52A21}"/>
    <cellStyle name="20% - Énfasis6 24" xfId="1021" xr:uid="{A4E40379-33E6-4FE2-9093-A837161DCFFA}"/>
    <cellStyle name="20% - Énfasis6 24 2" xfId="2343" xr:uid="{EF08C15C-E8CB-4EDF-A0FE-C4A3182F6C8F}"/>
    <cellStyle name="20% - Énfasis6 24 2 2" xfId="4963" xr:uid="{CE29FC59-15CC-4F18-BF14-B70D54AD17D8}"/>
    <cellStyle name="20% - Énfasis6 24 3" xfId="3651" xr:uid="{63A93925-1F70-4B2D-9BA7-259AEC135404}"/>
    <cellStyle name="20% - Énfasis6 25" xfId="1041" xr:uid="{AE7A85FC-BED5-4A7B-8436-6DB918CB9AB9}"/>
    <cellStyle name="20% - Énfasis6 25 2" xfId="2363" xr:uid="{05176486-4682-4B63-BF7F-34727E2FDABB}"/>
    <cellStyle name="20% - Énfasis6 25 2 2" xfId="4983" xr:uid="{F1275882-9ABA-41AF-ACA8-59BD9F3D6E6D}"/>
    <cellStyle name="20% - Énfasis6 25 3" xfId="3671" xr:uid="{80B0314A-6EA8-4A8A-9F46-8E5B433B4FF8}"/>
    <cellStyle name="20% - Énfasis6 26" xfId="1141" xr:uid="{F1147F2A-559D-4ADA-B0D7-4435C59C04D0}"/>
    <cellStyle name="20% - Énfasis6 26 2" xfId="2463" xr:uid="{C855155C-092F-4435-949D-620E95EE4406}"/>
    <cellStyle name="20% - Énfasis6 26 2 2" xfId="5083" xr:uid="{CEA86497-8524-48C3-9665-E790C67AC4F2}"/>
    <cellStyle name="20% - Énfasis6 26 3" xfId="3771" xr:uid="{74ED8E71-4E9F-4125-9335-680F626782EB}"/>
    <cellStyle name="20% - Énfasis6 27" xfId="1161" xr:uid="{85B319A3-25E2-4BDC-8C6E-CE6DB50B7BEF}"/>
    <cellStyle name="20% - Énfasis6 27 2" xfId="2483" xr:uid="{D0FF81E5-8A3F-47C8-A18B-B0AE0F77231A}"/>
    <cellStyle name="20% - Énfasis6 27 2 2" xfId="5103" xr:uid="{7B421665-54E4-4B1A-9CE9-DFD75844E899}"/>
    <cellStyle name="20% - Énfasis6 27 3" xfId="3791" xr:uid="{BEA34FE0-D88C-47F4-ADDE-778AAD042D38}"/>
    <cellStyle name="20% - Énfasis6 28" xfId="1181" xr:uid="{C4E91875-B638-4E61-8663-4622AEB6EADD}"/>
    <cellStyle name="20% - Énfasis6 28 2" xfId="2503" xr:uid="{BDB73C41-A08D-4281-84E4-57F457CC038E}"/>
    <cellStyle name="20% - Énfasis6 28 2 2" xfId="5123" xr:uid="{FE0C23E8-DB83-4178-BA58-4AF11101AA1E}"/>
    <cellStyle name="20% - Énfasis6 28 3" xfId="3811" xr:uid="{B59CBA64-4F8E-42DE-B74A-D6DB83EECE2B}"/>
    <cellStyle name="20% - Énfasis6 29" xfId="1201" xr:uid="{B246FE81-A205-45B6-B67F-79A4B9129B19}"/>
    <cellStyle name="20% - Énfasis6 29 2" xfId="2523" xr:uid="{162D4605-CC2B-4AEA-A1E8-1AB261B7ABCF}"/>
    <cellStyle name="20% - Énfasis6 29 2 2" xfId="5143" xr:uid="{AA09B528-BFD5-462F-9BF2-2CD1005048EB}"/>
    <cellStyle name="20% - Énfasis6 29 3" xfId="3831" xr:uid="{A06752DD-7593-4F60-866C-9B2855EA435F}"/>
    <cellStyle name="20% - Énfasis6 3" xfId="601" xr:uid="{C027B529-12F2-42AA-A366-6C7A82EDB697}"/>
    <cellStyle name="20% - Énfasis6 3 2" xfId="1923" xr:uid="{98804918-61B3-4FD1-81F6-6A16C8DBA75B}"/>
    <cellStyle name="20% - Énfasis6 3 2 2" xfId="4543" xr:uid="{E8B688E1-0801-4205-843A-44D283881D6E}"/>
    <cellStyle name="20% - Énfasis6 3 3" xfId="3231" xr:uid="{BAA6E30E-7721-4F09-833D-41C126540C7B}"/>
    <cellStyle name="20% - Énfasis6 30" xfId="1221" xr:uid="{C39CAF3D-0116-4724-9B8C-C133C16DCF89}"/>
    <cellStyle name="20% - Énfasis6 30 2" xfId="2543" xr:uid="{74D221B9-E9A0-49CD-87F1-D093BF0ED9BD}"/>
    <cellStyle name="20% - Énfasis6 30 2 2" xfId="5163" xr:uid="{6BF32F3E-A034-4BCD-A1D9-65989AC6A4DE}"/>
    <cellStyle name="20% - Énfasis6 30 3" xfId="3851" xr:uid="{C07A46F5-55B2-4412-8155-1BA51ED05F15}"/>
    <cellStyle name="20% - Énfasis6 31" xfId="1241" xr:uid="{F928B0BC-B5E2-48BC-9964-842993DF77C5}"/>
    <cellStyle name="20% - Énfasis6 31 2" xfId="2563" xr:uid="{21340794-0422-4760-9134-989DFF34F4C7}"/>
    <cellStyle name="20% - Énfasis6 31 2 2" xfId="5183" xr:uid="{1749011C-D129-44AD-B72E-69C21AF963E2}"/>
    <cellStyle name="20% - Énfasis6 31 3" xfId="3871" xr:uid="{65C28EEC-CBC8-464F-8607-19E8C7C6A9EF}"/>
    <cellStyle name="20% - Énfasis6 32" xfId="1261" xr:uid="{64DEAD78-B188-4BA3-8A11-4FA7178D33D4}"/>
    <cellStyle name="20% - Énfasis6 32 2" xfId="2583" xr:uid="{494E8A85-B570-4DD6-982E-AB568B97BBD2}"/>
    <cellStyle name="20% - Énfasis6 32 2 2" xfId="5203" xr:uid="{A4D4FA61-03C0-4503-BF6E-A35E02ADC48D}"/>
    <cellStyle name="20% - Énfasis6 32 3" xfId="3891" xr:uid="{FA8E83FF-27D2-4796-952F-9D51E391D3AA}"/>
    <cellStyle name="20% - Énfasis6 33" xfId="1281" xr:uid="{0774E2E1-B2B6-45F4-9D37-31C2426E67BB}"/>
    <cellStyle name="20% - Énfasis6 33 2" xfId="2603" xr:uid="{B3DBFD37-E014-40DD-9D6B-F985B20AE397}"/>
    <cellStyle name="20% - Énfasis6 33 2 2" xfId="5223" xr:uid="{FF432DF8-3DF8-4BFE-B5F1-337BE2E38AEB}"/>
    <cellStyle name="20% - Énfasis6 33 3" xfId="3911" xr:uid="{E9D76A40-477A-4BE6-AABE-DE9DBE6B1997}"/>
    <cellStyle name="20% - Énfasis6 34" xfId="1301" xr:uid="{FA21AF91-84E5-4E25-9C19-0759237A8456}"/>
    <cellStyle name="20% - Énfasis6 34 2" xfId="2623" xr:uid="{C89D3432-4231-43DC-901F-B5C40B892C96}"/>
    <cellStyle name="20% - Énfasis6 34 2 2" xfId="5243" xr:uid="{062355C3-8EEE-46A8-B432-1A36FC0132E6}"/>
    <cellStyle name="20% - Énfasis6 34 3" xfId="3931" xr:uid="{6B882189-D5D0-435B-AD69-07BECA830589}"/>
    <cellStyle name="20% - Énfasis6 35" xfId="1321" xr:uid="{C226C645-93F2-44DC-AD0B-70561D2521BE}"/>
    <cellStyle name="20% - Énfasis6 35 2" xfId="2643" xr:uid="{1E253306-FC85-4D5F-B209-75ECB3754FFB}"/>
    <cellStyle name="20% - Énfasis6 35 2 2" xfId="5263" xr:uid="{12119F3F-200F-45E2-973D-A6794D992A09}"/>
    <cellStyle name="20% - Énfasis6 35 3" xfId="3951" xr:uid="{B948C965-4526-4F81-86AB-C4F9FD2C5C2C}"/>
    <cellStyle name="20% - Énfasis6 36" xfId="1359" xr:uid="{297B4B47-98D5-4B02-9E4C-7620D9277248}"/>
    <cellStyle name="20% - Énfasis6 36 2" xfId="3981" xr:uid="{8B198E7D-28DC-4FED-9A23-7B37A0D7D33E}"/>
    <cellStyle name="20% - Énfasis6 37" xfId="2669" xr:uid="{C8EB2077-7803-4C17-9BAC-246D0DB15EE4}"/>
    <cellStyle name="20% - Énfasis6 4" xfId="621" xr:uid="{E7A88165-F7F3-4BFC-B2EC-5DC24D877580}"/>
    <cellStyle name="20% - Énfasis6 4 2" xfId="1943" xr:uid="{E41DA7E2-AD75-465E-9D8B-87BFC5DDAC55}"/>
    <cellStyle name="20% - Énfasis6 4 2 2" xfId="4563" xr:uid="{5CE48D0C-AA62-49A7-A982-1138D07BA85C}"/>
    <cellStyle name="20% - Énfasis6 4 3" xfId="3251" xr:uid="{32962E8A-F9A3-445A-96DA-97BA2EFBE0B6}"/>
    <cellStyle name="20% - Énfasis6 5" xfId="641" xr:uid="{A15651F0-EC3A-486A-8282-678F2B22E660}"/>
    <cellStyle name="20% - Énfasis6 5 2" xfId="1963" xr:uid="{28A0996A-890E-4380-A729-26CC98527F89}"/>
    <cellStyle name="20% - Énfasis6 5 2 2" xfId="4583" xr:uid="{7EE889A1-2E74-49C2-AD02-18DF80601FFF}"/>
    <cellStyle name="20% - Énfasis6 5 3" xfId="3271" xr:uid="{75896A8C-D54B-4C12-AF99-730CE4DCD241}"/>
    <cellStyle name="20% - Énfasis6 6" xfId="661" xr:uid="{76AC5E03-0FA3-44D3-BDFF-E49F15A0E425}"/>
    <cellStyle name="20% - Énfasis6 6 2" xfId="1983" xr:uid="{F8CC0A97-7684-4ABE-9064-6DDB778D850D}"/>
    <cellStyle name="20% - Énfasis6 6 2 2" xfId="4603" xr:uid="{4632104B-F6F1-448C-9798-C81910E5F76E}"/>
    <cellStyle name="20% - Énfasis6 6 3" xfId="3291" xr:uid="{61B0D9A5-206C-47D9-A45C-E7B029BFAA67}"/>
    <cellStyle name="20% - Énfasis6 7" xfId="681" xr:uid="{466921A9-1C77-42C9-82C4-C1BFF82C411E}"/>
    <cellStyle name="20% - Énfasis6 7 2" xfId="2003" xr:uid="{6596B420-CC0C-4691-B7B2-2E55D1FEE268}"/>
    <cellStyle name="20% - Énfasis6 7 2 2" xfId="4623" xr:uid="{C7E7B6E0-1440-4F08-9B2B-33B02DD7374F}"/>
    <cellStyle name="20% - Énfasis6 7 3" xfId="3311" xr:uid="{24A19DE6-879E-4908-8190-FD375B2A6A6B}"/>
    <cellStyle name="20% - Énfasis6 8" xfId="701" xr:uid="{483A3535-1E9C-4D05-AD5B-8A93A94B3A19}"/>
    <cellStyle name="20% - Énfasis6 8 2" xfId="2023" xr:uid="{A944E7FA-9A16-4A3C-8F98-F094B78069F8}"/>
    <cellStyle name="20% - Énfasis6 8 2 2" xfId="4643" xr:uid="{DD450B7A-36D9-4C01-97EF-9D3430839E80}"/>
    <cellStyle name="20% - Énfasis6 8 3" xfId="3331" xr:uid="{4C5570CA-EE45-4803-BAB6-AA6653F4512E}"/>
    <cellStyle name="20% - Énfasis6 9" xfId="721" xr:uid="{A46486E6-EA27-49C8-AABF-68942BC35069}"/>
    <cellStyle name="20% - Énfasis6 9 2" xfId="2043" xr:uid="{298D3AD6-28D5-4DDA-877B-D390E3894C27}"/>
    <cellStyle name="20% - Énfasis6 9 2 2" xfId="4663" xr:uid="{523771A8-D008-4F07-A80C-FC3FE2150782}"/>
    <cellStyle name="20% - Énfasis6 9 3" xfId="3351" xr:uid="{C1813972-92AE-4F5B-876F-75070A89B7F1}"/>
    <cellStyle name="40% - Accent1 10" xfId="207" xr:uid="{B857FF3F-95E9-4A43-8909-869FBA6BD452}"/>
    <cellStyle name="40% - Accent1 10 2" xfId="1529" xr:uid="{7B161751-5D84-4FB0-A303-346F6428145A}"/>
    <cellStyle name="40% - Accent1 10 2 2" xfId="4149" xr:uid="{06D27800-379C-4E76-8A20-BBA867389490}"/>
    <cellStyle name="40% - Accent1 10 3" xfId="2837" xr:uid="{4BA7BD32-CE66-487A-8661-E93C9115E42F}"/>
    <cellStyle name="40% - Accent1 11" xfId="227" xr:uid="{206EC3C1-5E1A-40DB-81B3-D2086A0D4B8C}"/>
    <cellStyle name="40% - Accent1 11 2" xfId="1549" xr:uid="{7C095174-0A48-4696-86D0-AA59D989DF35}"/>
    <cellStyle name="40% - Accent1 11 2 2" xfId="4169" xr:uid="{283F3C9F-55EB-4FA6-8B8D-85DA1D1DC448}"/>
    <cellStyle name="40% - Accent1 11 3" xfId="2857" xr:uid="{0F84DF9E-6249-45B6-AE7B-5A1BF6573DF9}"/>
    <cellStyle name="40% - Accent1 12" xfId="247" xr:uid="{EE29D362-9DEF-436F-B71B-3E977DF8525B}"/>
    <cellStyle name="40% - Accent1 12 2" xfId="1569" xr:uid="{9945EB58-7A77-45FB-A187-AFDF73A61049}"/>
    <cellStyle name="40% - Accent1 12 2 2" xfId="4189" xr:uid="{665B47F5-DD3C-4846-8C48-0207D5AEE810}"/>
    <cellStyle name="40% - Accent1 12 3" xfId="2877" xr:uid="{A9079B02-2F10-44C0-9751-045718A497F4}"/>
    <cellStyle name="40% - Accent1 13" xfId="267" xr:uid="{C5D7DB50-4FC2-4547-8138-6DF2431E8BEA}"/>
    <cellStyle name="40% - Accent1 13 2" xfId="1589" xr:uid="{F4D685B5-189C-4D78-915A-1E5B99887B27}"/>
    <cellStyle name="40% - Accent1 13 2 2" xfId="4209" xr:uid="{E795E7DA-D4C4-4813-AE79-11BC2104B173}"/>
    <cellStyle name="40% - Accent1 13 3" xfId="2897" xr:uid="{0F9810E1-DE42-4F4A-94FC-36AD98DBFAF5}"/>
    <cellStyle name="40% - Accent1 14" xfId="287" xr:uid="{F606B818-D76E-4C9A-AA13-8582B95A8D2A}"/>
    <cellStyle name="40% - Accent1 14 2" xfId="1609" xr:uid="{2B3DCF54-C0DA-43A3-B1BE-B11DB2A79A51}"/>
    <cellStyle name="40% - Accent1 14 2 2" xfId="4229" xr:uid="{CD11ADFB-F8AD-4B69-A60D-4D9B7C2B0B59}"/>
    <cellStyle name="40% - Accent1 14 3" xfId="2917" xr:uid="{D9C814EF-57DE-4429-954C-9216274B285F}"/>
    <cellStyle name="40% - Accent1 15" xfId="307" xr:uid="{13E2E55B-716C-4A1D-9932-6BB28D2D0911}"/>
    <cellStyle name="40% - Accent1 15 2" xfId="1629" xr:uid="{C3B13A74-9220-44E7-ADF3-B6BC84757FC7}"/>
    <cellStyle name="40% - Accent1 15 2 2" xfId="4249" xr:uid="{CF9610A5-7B5A-4BEB-BC9A-1BDBF5A71B20}"/>
    <cellStyle name="40% - Accent1 15 3" xfId="2937" xr:uid="{66263E63-C3A3-4C32-9E43-008D49C5C8C4}"/>
    <cellStyle name="40% - Accent1 16" xfId="327" xr:uid="{8B8445DB-115C-4064-A6CC-620C2610FA93}"/>
    <cellStyle name="40% - Accent1 16 2" xfId="1649" xr:uid="{CB7B09E9-1F8D-42CD-BC36-2948E287B760}"/>
    <cellStyle name="40% - Accent1 16 2 2" xfId="4269" xr:uid="{85B6FA38-EDA1-4F2D-B054-ECC67EF64DD0}"/>
    <cellStyle name="40% - Accent1 16 3" xfId="2957" xr:uid="{D7266420-2C05-432E-971C-055AEAB4EB7B}"/>
    <cellStyle name="40% - Accent1 17" xfId="347" xr:uid="{1338EDE5-42E8-40BD-A5E7-FAFEE7BC1105}"/>
    <cellStyle name="40% - Accent1 17 2" xfId="1669" xr:uid="{9ACB71CB-B306-4A2D-9DD0-F37E44F49906}"/>
    <cellStyle name="40% - Accent1 17 2 2" xfId="4289" xr:uid="{709EE7BE-A326-49FA-85DD-C32ACB4439DD}"/>
    <cellStyle name="40% - Accent1 17 3" xfId="2977" xr:uid="{632E6DD1-F611-45C1-ADBC-D0AC612FC1B0}"/>
    <cellStyle name="40% - Accent1 18" xfId="367" xr:uid="{46B6D6F8-3105-460C-AC8B-B2059A18FEEB}"/>
    <cellStyle name="40% - Accent1 18 2" xfId="1689" xr:uid="{9970073D-3A09-451D-879A-C6ED639425CB}"/>
    <cellStyle name="40% - Accent1 18 2 2" xfId="4309" xr:uid="{20EC344C-49F6-4C0B-887F-1A9F88D46B7D}"/>
    <cellStyle name="40% - Accent1 18 3" xfId="2997" xr:uid="{981B0733-436A-485B-97C2-13FEB33EC79B}"/>
    <cellStyle name="40% - Accent1 19" xfId="387" xr:uid="{7FE184B8-82E4-4346-A22A-B4AFBFCB9497}"/>
    <cellStyle name="40% - Accent1 19 2" xfId="1709" xr:uid="{AB994E61-7899-4A66-90DE-122E5F24DE06}"/>
    <cellStyle name="40% - Accent1 19 2 2" xfId="4329" xr:uid="{F6849F84-F69A-4D18-B51A-28C089A3354D}"/>
    <cellStyle name="40% - Accent1 19 3" xfId="3017" xr:uid="{B437680A-85F8-4CAE-977C-218C4C7A2F68}"/>
    <cellStyle name="40% - Accent1 2" xfId="46" xr:uid="{D0D5F584-3BA0-4C12-BA14-37088D967AD7}"/>
    <cellStyle name="40% - Accent1 2 2" xfId="1368" xr:uid="{0DD6F9B3-4FFE-4D90-8417-D69BD4D65BA5}"/>
    <cellStyle name="40% - Accent1 2 2 2" xfId="3989" xr:uid="{1307D539-6CD1-400B-AF5B-7F66556D0B5A}"/>
    <cellStyle name="40% - Accent1 2 3" xfId="2677" xr:uid="{04849497-B6AB-4DF9-979C-27B5FA72A504}"/>
    <cellStyle name="40% - Accent1 20" xfId="407" xr:uid="{209A68B2-F578-4F8D-8175-B93C5AAB51C9}"/>
    <cellStyle name="40% - Accent1 20 2" xfId="1729" xr:uid="{1AA685ED-8D61-4A62-B6FA-2984178D640B}"/>
    <cellStyle name="40% - Accent1 20 2 2" xfId="4349" xr:uid="{0AE84FC1-15B8-4AB7-A495-7E448ACBAAFF}"/>
    <cellStyle name="40% - Accent1 20 3" xfId="3037" xr:uid="{CFC2166D-E3F4-4CF7-AEAC-BCFD38F7ED72}"/>
    <cellStyle name="40% - Accent1 21" xfId="427" xr:uid="{8D85BBAC-C582-4BF7-82E0-3E3CA6E30613}"/>
    <cellStyle name="40% - Accent1 21 2" xfId="1749" xr:uid="{4F60B132-E0E2-46D7-9AA9-0F42124BBD18}"/>
    <cellStyle name="40% - Accent1 21 2 2" xfId="4369" xr:uid="{5E515F38-1043-477F-B6C0-9BEE5A963D71}"/>
    <cellStyle name="40% - Accent1 21 3" xfId="3057" xr:uid="{C7EB17E1-BB2F-4674-AEB5-4936A41CF128}"/>
    <cellStyle name="40% - Accent1 22" xfId="447" xr:uid="{9E502592-A0C0-455A-BA82-7256EC1ED677}"/>
    <cellStyle name="40% - Accent1 22 2" xfId="1769" xr:uid="{23DFB756-65CD-4218-B2ED-4C6D663E916E}"/>
    <cellStyle name="40% - Accent1 22 2 2" xfId="4389" xr:uid="{A2D54440-63D3-4A79-AEB2-6007536CC5F0}"/>
    <cellStyle name="40% - Accent1 22 3" xfId="3077" xr:uid="{9452E6F1-5F96-4BF3-8844-535D6DB463D4}"/>
    <cellStyle name="40% - Accent1 23" xfId="467" xr:uid="{3408AC65-CCD9-49A3-AA9A-E168A77EDB0D}"/>
    <cellStyle name="40% - Accent1 23 2" xfId="1789" xr:uid="{5846248C-D6D7-45DD-BBF5-FFDB6BF89DE2}"/>
    <cellStyle name="40% - Accent1 23 2 2" xfId="4409" xr:uid="{F8B8E7AA-2535-4532-8CDA-CC99095B27FA}"/>
    <cellStyle name="40% - Accent1 23 3" xfId="3097" xr:uid="{E5A3AA96-B578-44FE-8D32-800D0636647C}"/>
    <cellStyle name="40% - Accent1 24" xfId="487" xr:uid="{9785F2D5-BD3A-44A9-95C8-8A7F7C3BBAB9}"/>
    <cellStyle name="40% - Accent1 24 2" xfId="1809" xr:uid="{943AA652-9DFF-47FA-8ACE-4791D4763B09}"/>
    <cellStyle name="40% - Accent1 24 2 2" xfId="4429" xr:uid="{5517BD99-7CB3-4FBE-9F6F-65A12BAA6463}"/>
    <cellStyle name="40% - Accent1 24 3" xfId="3117" xr:uid="{EFB0660D-64AB-4796-BECA-4F39B32DA788}"/>
    <cellStyle name="40% - Accent1 25" xfId="507" xr:uid="{845065F1-89A5-4799-8B38-02688A1E2370}"/>
    <cellStyle name="40% - Accent1 25 2" xfId="1829" xr:uid="{D4FFBE9F-9E8F-4236-81FB-57BE50CD3654}"/>
    <cellStyle name="40% - Accent1 25 2 2" xfId="4449" xr:uid="{A2BCAE89-9B81-4591-8C8C-F341DC7175D0}"/>
    <cellStyle name="40% - Accent1 25 3" xfId="3137" xr:uid="{C49A3CCE-CAD3-4967-96F5-58DF86A24313}"/>
    <cellStyle name="40% - Accent1 26" xfId="527" xr:uid="{DC23333B-CD3D-4520-9221-37059524ABC7}"/>
    <cellStyle name="40% - Accent1 26 2" xfId="1849" xr:uid="{0C71F4C3-A4CE-40EA-8563-A21793D3A43A}"/>
    <cellStyle name="40% - Accent1 26 2 2" xfId="4469" xr:uid="{A69A4232-640F-4B53-AAA8-491B5B1C55AF}"/>
    <cellStyle name="40% - Accent1 26 3" xfId="3157" xr:uid="{AD409C72-619D-49A9-9A8F-EF6493D4DC7E}"/>
    <cellStyle name="40% - Accent1 27" xfId="547" xr:uid="{2A5C7CE7-744B-4C53-AAF4-50173AEC02D4}"/>
    <cellStyle name="40% - Accent1 27 2" xfId="1869" xr:uid="{951822AA-B852-4C41-B521-D48FB8B144D0}"/>
    <cellStyle name="40% - Accent1 27 2 2" xfId="4489" xr:uid="{F14ABC31-B395-4651-8498-6C3EF62607F0}"/>
    <cellStyle name="40% - Accent1 27 3" xfId="3177" xr:uid="{3F37841A-C4B2-4D12-84FD-BE1A612F81DD}"/>
    <cellStyle name="40% - Accent1 28" xfId="1047" xr:uid="{B2C546B6-D3D9-4B10-9EF0-655F7A6FDBF7}"/>
    <cellStyle name="40% - Accent1 28 2" xfId="2369" xr:uid="{66F6F3D8-951F-4363-8614-8186B0BB1B10}"/>
    <cellStyle name="40% - Accent1 28 2 2" xfId="4989" xr:uid="{85891F80-5BD5-4382-8A60-03305835A56F}"/>
    <cellStyle name="40% - Accent1 28 3" xfId="3677" xr:uid="{69521860-80EE-4587-AE27-55109CF45CAE}"/>
    <cellStyle name="40% - Accent1 29" xfId="1067" xr:uid="{5343E0B3-3A8C-451E-85AC-021A956C367A}"/>
    <cellStyle name="40% - Accent1 29 2" xfId="2389" xr:uid="{554D2301-A077-4244-B4C2-A5D3629202B2}"/>
    <cellStyle name="40% - Accent1 29 2 2" xfId="5009" xr:uid="{060B65C8-2052-42A2-B416-FDB083A9653A}"/>
    <cellStyle name="40% - Accent1 29 3" xfId="3697" xr:uid="{433A3AD4-29B3-47F4-8FA3-C0478B702C00}"/>
    <cellStyle name="40% - Accent1 3" xfId="66" xr:uid="{FF311C3A-EDCA-4CE8-9AF4-E1ADD28C2BDA}"/>
    <cellStyle name="40% - Accent1 3 2" xfId="1388" xr:uid="{753C1435-6C65-40A8-930A-62F24554B3C9}"/>
    <cellStyle name="40% - Accent1 3 2 2" xfId="4009" xr:uid="{56DB697D-0CEF-49F3-B122-400B68844129}"/>
    <cellStyle name="40% - Accent1 3 3" xfId="2697" xr:uid="{8A45DB13-A521-40C8-AEA1-D24C6BF2DCC2}"/>
    <cellStyle name="40% - Accent1 30" xfId="1087" xr:uid="{AA1A7EA0-85A9-4EC2-8E5D-3F4C8B55D2FB}"/>
    <cellStyle name="40% - Accent1 30 2" xfId="2409" xr:uid="{28BBDBB1-F674-414A-87BB-C25F01F44F3D}"/>
    <cellStyle name="40% - Accent1 30 2 2" xfId="5029" xr:uid="{621AB025-91E5-4421-A40E-0BA3907BD771}"/>
    <cellStyle name="40% - Accent1 30 3" xfId="3717" xr:uid="{1AB0A068-23A5-480A-B0FD-C558DB675DC2}"/>
    <cellStyle name="40% - Accent1 31" xfId="1107" xr:uid="{10152488-ADD4-47AC-B3C1-CE341B0776A1}"/>
    <cellStyle name="40% - Accent1 31 2" xfId="2429" xr:uid="{71F2A372-2D06-4A0B-A164-023A060E8E10}"/>
    <cellStyle name="40% - Accent1 31 2 2" xfId="5049" xr:uid="{93843700-5E7A-4CA9-8CD4-94E973FB7B95}"/>
    <cellStyle name="40% - Accent1 31 3" xfId="3737" xr:uid="{65F31B76-B0AF-4E8F-AA46-5D3B20447294}"/>
    <cellStyle name="40% - Accent1 4" xfId="87" xr:uid="{20902A28-7E58-4C98-ABBB-755F44A7F074}"/>
    <cellStyle name="40% - Accent1 4 2" xfId="1409" xr:uid="{F414BB8B-5F78-4638-A9FA-9610639C6266}"/>
    <cellStyle name="40% - Accent1 4 2 2" xfId="4029" xr:uid="{8B5D5788-9721-484C-8980-59A2B50B38CC}"/>
    <cellStyle name="40% - Accent1 4 3" xfId="2717" xr:uid="{73DF368E-CC9B-4573-B0C1-E8018582B237}"/>
    <cellStyle name="40% - Accent1 5" xfId="107" xr:uid="{C3EA767B-3DA6-4696-8C8A-AEA826196ED3}"/>
    <cellStyle name="40% - Accent1 5 2" xfId="1429" xr:uid="{0AD24094-415B-45E2-A498-849A1C6F58B4}"/>
    <cellStyle name="40% - Accent1 5 2 2" xfId="4049" xr:uid="{7AB3EEF5-E3C9-42BA-B175-5AED38DE3CD2}"/>
    <cellStyle name="40% - Accent1 5 3" xfId="2737" xr:uid="{F58C4C88-A715-49D3-85FA-A6310858D91E}"/>
    <cellStyle name="40% - Accent1 6" xfId="127" xr:uid="{E115C8A1-101C-46BF-B80B-9932FAF0AFE8}"/>
    <cellStyle name="40% - Accent1 6 2" xfId="1449" xr:uid="{D64241D2-A254-4FCA-BCD5-42BAF22A2838}"/>
    <cellStyle name="40% - Accent1 6 2 2" xfId="4069" xr:uid="{C4039E14-8051-400A-B641-B69337710A29}"/>
    <cellStyle name="40% - Accent1 6 3" xfId="2757" xr:uid="{7C62CE7A-CD45-407E-A582-ED3E33EDFDCA}"/>
    <cellStyle name="40% - Accent1 7" xfId="147" xr:uid="{1E27B731-4B81-4D3F-A224-FF3F5D8C3F81}"/>
    <cellStyle name="40% - Accent1 7 2" xfId="1469" xr:uid="{19B1B92C-B6B1-4DE9-ABF1-9C77D8622C23}"/>
    <cellStyle name="40% - Accent1 7 2 2" xfId="4089" xr:uid="{95B9EA7B-7ECE-49D0-93A3-46E5B1A1372D}"/>
    <cellStyle name="40% - Accent1 7 3" xfId="2777" xr:uid="{6A019AAE-178B-4E9B-9F0D-3F6806769DAF}"/>
    <cellStyle name="40% - Accent1 8" xfId="167" xr:uid="{AE37AA57-217B-45E3-99E8-75F644BAF75C}"/>
    <cellStyle name="40% - Accent1 8 2" xfId="1489" xr:uid="{A69DB993-9EBF-4806-A4B4-F2246FD1B496}"/>
    <cellStyle name="40% - Accent1 8 2 2" xfId="4109" xr:uid="{7ED8879E-D582-41F8-ABF1-8369FD044041}"/>
    <cellStyle name="40% - Accent1 8 3" xfId="2797" xr:uid="{B7F904E3-59B7-4C65-BEF1-4530AC48B54B}"/>
    <cellStyle name="40% - Accent1 9" xfId="187" xr:uid="{38D76164-6755-4AC0-B8BF-192DE22E3519}"/>
    <cellStyle name="40% - Accent1 9 2" xfId="1509" xr:uid="{0D38FF51-FE90-4BCA-B935-52837B29DD0F}"/>
    <cellStyle name="40% - Accent1 9 2 2" xfId="4129" xr:uid="{729EFA38-6682-4FCE-AAE6-4D450A5BC259}"/>
    <cellStyle name="40% - Accent1 9 3" xfId="2817" xr:uid="{1871D7F8-7C40-49AA-AB5D-991BC5F55A92}"/>
    <cellStyle name="40% - Accent2 10" xfId="210" xr:uid="{3A6B1DC1-D33D-4754-833A-AFB5B10BB961}"/>
    <cellStyle name="40% - Accent2 10 2" xfId="1532" xr:uid="{844DCF14-F233-4D27-B779-19C2EF655946}"/>
    <cellStyle name="40% - Accent2 10 2 2" xfId="4152" xr:uid="{B656DE8C-1B82-4350-9C35-52812C24BAB9}"/>
    <cellStyle name="40% - Accent2 10 3" xfId="2840" xr:uid="{234E83DD-6CCF-45DB-8AFA-83E4B334D2E1}"/>
    <cellStyle name="40% - Accent2 11" xfId="230" xr:uid="{0F17D8F7-AF1B-4A41-9953-6943B70C3341}"/>
    <cellStyle name="40% - Accent2 11 2" xfId="1552" xr:uid="{96458695-D79D-412F-AC8E-3A3A66437B2C}"/>
    <cellStyle name="40% - Accent2 11 2 2" xfId="4172" xr:uid="{6BDFAC95-A717-431F-BD42-8623B1BDACED}"/>
    <cellStyle name="40% - Accent2 11 3" xfId="2860" xr:uid="{A765FE21-9F3E-441B-9511-53298CB8934A}"/>
    <cellStyle name="40% - Accent2 12" xfId="250" xr:uid="{BD0B9600-2E2C-4692-8874-44A9E57BDE15}"/>
    <cellStyle name="40% - Accent2 12 2" xfId="1572" xr:uid="{CB71D670-811B-413B-B795-06718DC574F0}"/>
    <cellStyle name="40% - Accent2 12 2 2" xfId="4192" xr:uid="{8C215A88-63C3-4991-AACF-FBDC57E577AA}"/>
    <cellStyle name="40% - Accent2 12 3" xfId="2880" xr:uid="{854E3D46-EDD7-4CA6-8F36-33088FDA64C8}"/>
    <cellStyle name="40% - Accent2 13" xfId="270" xr:uid="{62076A09-FF5F-4D5D-BECE-B0232393FEAC}"/>
    <cellStyle name="40% - Accent2 13 2" xfId="1592" xr:uid="{5810F1A9-E74E-40AD-BE9A-9A6E1DAF2917}"/>
    <cellStyle name="40% - Accent2 13 2 2" xfId="4212" xr:uid="{03353DA9-922F-4242-A7B5-09F7531C9CA5}"/>
    <cellStyle name="40% - Accent2 13 3" xfId="2900" xr:uid="{3635BBB9-084C-4A56-8177-23393D8C40A2}"/>
    <cellStyle name="40% - Accent2 14" xfId="290" xr:uid="{AF28F037-AA80-4992-BC69-49F345082894}"/>
    <cellStyle name="40% - Accent2 14 2" xfId="1612" xr:uid="{8142F5A9-10B3-45CA-97B0-44C3E12C2449}"/>
    <cellStyle name="40% - Accent2 14 2 2" xfId="4232" xr:uid="{C256B5B3-BC49-4711-8C37-D07A99923B92}"/>
    <cellStyle name="40% - Accent2 14 3" xfId="2920" xr:uid="{064DF548-21F4-49F0-81B6-92352B5247D6}"/>
    <cellStyle name="40% - Accent2 15" xfId="310" xr:uid="{B5F8D4F1-EEC0-4CB7-8483-CD0B73FD8CEC}"/>
    <cellStyle name="40% - Accent2 15 2" xfId="1632" xr:uid="{84C36FBC-2DF3-4C82-A06D-2B36CEEBFD06}"/>
    <cellStyle name="40% - Accent2 15 2 2" xfId="4252" xr:uid="{A6CC21EE-681D-4F58-99F2-BE575EEFFECD}"/>
    <cellStyle name="40% - Accent2 15 3" xfId="2940" xr:uid="{13710B80-0E33-47BA-9C35-10A5745ADE5B}"/>
    <cellStyle name="40% - Accent2 16" xfId="330" xr:uid="{63877CC9-79BC-433B-8160-803F9623C618}"/>
    <cellStyle name="40% - Accent2 16 2" xfId="1652" xr:uid="{1FA23F94-E515-4AB8-92D6-5CCF0BE88B63}"/>
    <cellStyle name="40% - Accent2 16 2 2" xfId="4272" xr:uid="{C4A01430-395C-4B57-9F8F-3A457E6E107C}"/>
    <cellStyle name="40% - Accent2 16 3" xfId="2960" xr:uid="{EFF32DF3-7DF2-4FD6-AF02-0F2B3AB374D8}"/>
    <cellStyle name="40% - Accent2 17" xfId="350" xr:uid="{E8864E5B-A808-4924-8C8E-36C5BD24649B}"/>
    <cellStyle name="40% - Accent2 17 2" xfId="1672" xr:uid="{917C8C7C-25D1-4B4F-AEE8-FCFC9F72419F}"/>
    <cellStyle name="40% - Accent2 17 2 2" xfId="4292" xr:uid="{13238833-8F05-4985-BECF-54910C8327EA}"/>
    <cellStyle name="40% - Accent2 17 3" xfId="2980" xr:uid="{ED9DC63A-1F79-46B4-9885-2C5905541506}"/>
    <cellStyle name="40% - Accent2 18" xfId="370" xr:uid="{37895B00-6545-40D0-B28C-97FEB40074E9}"/>
    <cellStyle name="40% - Accent2 18 2" xfId="1692" xr:uid="{DB2B2FAB-81CE-421D-BA72-8F86983A96D4}"/>
    <cellStyle name="40% - Accent2 18 2 2" xfId="4312" xr:uid="{77015D77-454E-435F-986B-C1A7912E44C2}"/>
    <cellStyle name="40% - Accent2 18 3" xfId="3000" xr:uid="{8DCF4BC0-2634-4E2A-AB0D-A009122E0924}"/>
    <cellStyle name="40% - Accent2 19" xfId="390" xr:uid="{7DB7411E-D05E-4AC2-8ABC-161C3D2A5C7C}"/>
    <cellStyle name="40% - Accent2 19 2" xfId="1712" xr:uid="{096FF3E6-6F56-498A-871B-97E16E0BBCCC}"/>
    <cellStyle name="40% - Accent2 19 2 2" xfId="4332" xr:uid="{BBD9F9FF-EF5D-4C63-AF3F-2611C07250B1}"/>
    <cellStyle name="40% - Accent2 19 3" xfId="3020" xr:uid="{94F5E23E-C2A0-452B-895A-A52FFF575C59}"/>
    <cellStyle name="40% - Accent2 2" xfId="49" xr:uid="{E41E017E-1FA4-46B6-B946-90FCE7A77C79}"/>
    <cellStyle name="40% - Accent2 2 2" xfId="1371" xr:uid="{371B455C-9ED3-4E45-B028-BD1A0A68319D}"/>
    <cellStyle name="40% - Accent2 2 2 2" xfId="3992" xr:uid="{642F4ABC-42E6-4FE6-A082-6AB86A1949E2}"/>
    <cellStyle name="40% - Accent2 2 3" xfId="2680" xr:uid="{5F2DDB84-2005-411F-9C7E-2039D119A076}"/>
    <cellStyle name="40% - Accent2 20" xfId="410" xr:uid="{8222ED06-8A9E-48C9-A6EA-765FB751A825}"/>
    <cellStyle name="40% - Accent2 20 2" xfId="1732" xr:uid="{90D2C977-37C6-4F16-9705-FD599C2194F6}"/>
    <cellStyle name="40% - Accent2 20 2 2" xfId="4352" xr:uid="{01FF19F7-8276-456F-A279-EC9B6C16B3D6}"/>
    <cellStyle name="40% - Accent2 20 3" xfId="3040" xr:uid="{46691C7B-F87F-43FC-A2FF-638CB587A51B}"/>
    <cellStyle name="40% - Accent2 21" xfId="430" xr:uid="{B8A18E01-B149-42C7-B316-EF9A4426BE86}"/>
    <cellStyle name="40% - Accent2 21 2" xfId="1752" xr:uid="{B82004A5-32B3-42B4-9D6C-E4293E919574}"/>
    <cellStyle name="40% - Accent2 21 2 2" xfId="4372" xr:uid="{BA225097-BC49-47EA-ACDD-E39FBCCB688D}"/>
    <cellStyle name="40% - Accent2 21 3" xfId="3060" xr:uid="{1B37B44C-F5FC-4D4D-A79F-19003BCA3301}"/>
    <cellStyle name="40% - Accent2 22" xfId="450" xr:uid="{96D18D29-D82E-4C7C-8020-17D5A6DF9DF0}"/>
    <cellStyle name="40% - Accent2 22 2" xfId="1772" xr:uid="{AFC26F8B-E14F-4E35-B37A-91C052AFA267}"/>
    <cellStyle name="40% - Accent2 22 2 2" xfId="4392" xr:uid="{A14D7D52-5CEB-403D-B151-85E390AEBC12}"/>
    <cellStyle name="40% - Accent2 22 3" xfId="3080" xr:uid="{71FF1B8D-5FE3-40EC-B80C-F2FED4FC6F28}"/>
    <cellStyle name="40% - Accent2 23" xfId="470" xr:uid="{6D6A3838-B45F-4BF1-A6D8-EFAAE61C3460}"/>
    <cellStyle name="40% - Accent2 23 2" xfId="1792" xr:uid="{CF4ED31D-05BB-4A3F-B27E-48CA02E9E4A2}"/>
    <cellStyle name="40% - Accent2 23 2 2" xfId="4412" xr:uid="{7381D953-33D3-4D49-B13B-9E403D5D1AF0}"/>
    <cellStyle name="40% - Accent2 23 3" xfId="3100" xr:uid="{A11C2AE7-7D83-452B-80CE-653AB3C31993}"/>
    <cellStyle name="40% - Accent2 24" xfId="490" xr:uid="{F65212E7-0CE2-4851-9C55-99ADFDCAA654}"/>
    <cellStyle name="40% - Accent2 24 2" xfId="1812" xr:uid="{824201EA-1174-4FDC-BBD8-43FC98273C92}"/>
    <cellStyle name="40% - Accent2 24 2 2" xfId="4432" xr:uid="{DD2AC7AD-0569-48E5-B88C-64F589EE0649}"/>
    <cellStyle name="40% - Accent2 24 3" xfId="3120" xr:uid="{BCCF6AED-5143-4E64-A9A0-8236E05F61B4}"/>
    <cellStyle name="40% - Accent2 25" xfId="510" xr:uid="{A85E6ED8-12C8-4352-A8E8-9B139C3443E3}"/>
    <cellStyle name="40% - Accent2 25 2" xfId="1832" xr:uid="{8A0B001D-EC5C-466F-90B8-C930942A7A13}"/>
    <cellStyle name="40% - Accent2 25 2 2" xfId="4452" xr:uid="{1D29B643-209D-41FC-9110-E50CAF7835F9}"/>
    <cellStyle name="40% - Accent2 25 3" xfId="3140" xr:uid="{59C935D6-53AB-40CF-A224-806738780AAC}"/>
    <cellStyle name="40% - Accent2 26" xfId="530" xr:uid="{70970B96-6746-4AB5-AD96-4099520C7B76}"/>
    <cellStyle name="40% - Accent2 26 2" xfId="1852" xr:uid="{099FE8C5-56B5-439B-A285-E7CF50ABA17C}"/>
    <cellStyle name="40% - Accent2 26 2 2" xfId="4472" xr:uid="{8BA10114-BA18-4D27-9561-A222DC95BB54}"/>
    <cellStyle name="40% - Accent2 26 3" xfId="3160" xr:uid="{D34D7DEC-7B75-4CBE-9C28-0E4A23482921}"/>
    <cellStyle name="40% - Accent2 27" xfId="550" xr:uid="{D5224DB9-7B6A-491C-92AA-8635F7091755}"/>
    <cellStyle name="40% - Accent2 27 2" xfId="1872" xr:uid="{27C2C4C6-80CC-4988-A059-9933491ED755}"/>
    <cellStyle name="40% - Accent2 27 2 2" xfId="4492" xr:uid="{894FD48C-2387-49E3-B433-86F745746017}"/>
    <cellStyle name="40% - Accent2 27 3" xfId="3180" xr:uid="{0892A216-39D9-43CA-92F6-9A9E715ED214}"/>
    <cellStyle name="40% - Accent2 28" xfId="1050" xr:uid="{BDB1BD25-136C-4582-9ED7-7E4FFEF42392}"/>
    <cellStyle name="40% - Accent2 28 2" xfId="2372" xr:uid="{0E13B50B-D597-4757-B855-676365DCAE9D}"/>
    <cellStyle name="40% - Accent2 28 2 2" xfId="4992" xr:uid="{8102775D-352F-4091-8DA7-2A9241D2FF11}"/>
    <cellStyle name="40% - Accent2 28 3" xfId="3680" xr:uid="{583F69A8-2C13-44D0-A209-8ABCCB541DB2}"/>
    <cellStyle name="40% - Accent2 29" xfId="1070" xr:uid="{2DDC45DE-F3E5-4732-B1C7-ECE09D82CBC6}"/>
    <cellStyle name="40% - Accent2 29 2" xfId="2392" xr:uid="{C7AA1D8D-0BAA-4565-8B08-4BD328D02A89}"/>
    <cellStyle name="40% - Accent2 29 2 2" xfId="5012" xr:uid="{17CD4420-0C25-407D-97DA-24D39A48F313}"/>
    <cellStyle name="40% - Accent2 29 3" xfId="3700" xr:uid="{1D43E9E3-5110-4C7A-8EF4-000547028310}"/>
    <cellStyle name="40% - Accent2 3" xfId="69" xr:uid="{8F12FA80-D874-4FAC-944A-37C563C19882}"/>
    <cellStyle name="40% - Accent2 3 2" xfId="1391" xr:uid="{2885FF57-CA96-493D-8185-7EDCB1AC60D9}"/>
    <cellStyle name="40% - Accent2 3 2 2" xfId="4012" xr:uid="{6B1D373A-5880-452C-A971-E2F37DC9AEC4}"/>
    <cellStyle name="40% - Accent2 3 3" xfId="2700" xr:uid="{F80F7BC4-6933-4A2B-8B32-16348A57ECDC}"/>
    <cellStyle name="40% - Accent2 30" xfId="1090" xr:uid="{D9EAE446-4EC8-4A38-A30D-B1BEB411D67F}"/>
    <cellStyle name="40% - Accent2 30 2" xfId="2412" xr:uid="{9891CC89-7EE9-4555-A611-D02B449644AF}"/>
    <cellStyle name="40% - Accent2 30 2 2" xfId="5032" xr:uid="{74903124-BF65-43B5-8091-F3C6F174AD30}"/>
    <cellStyle name="40% - Accent2 30 3" xfId="3720" xr:uid="{3E9382F9-1471-4D0A-B83B-31F0E345A22F}"/>
    <cellStyle name="40% - Accent2 31" xfId="1110" xr:uid="{727196B6-97D4-451C-9E36-983CB062168C}"/>
    <cellStyle name="40% - Accent2 31 2" xfId="2432" xr:uid="{ABCB58E0-346E-4EF8-A034-BEF6084350F0}"/>
    <cellStyle name="40% - Accent2 31 2 2" xfId="5052" xr:uid="{70A2B72A-A199-4465-B0B6-021578628016}"/>
    <cellStyle name="40% - Accent2 31 3" xfId="3740" xr:uid="{9AD581D1-B704-46E4-83DF-9C153EE5C3B5}"/>
    <cellStyle name="40% - Accent2 4" xfId="90" xr:uid="{9EC3E534-70B9-4474-8B4A-43576890F1D5}"/>
    <cellStyle name="40% - Accent2 4 2" xfId="1412" xr:uid="{CD6E9792-659C-4700-B85D-0005427D276D}"/>
    <cellStyle name="40% - Accent2 4 2 2" xfId="4032" xr:uid="{3F802BA7-EB34-47E2-8343-2354839A8A19}"/>
    <cellStyle name="40% - Accent2 4 3" xfId="2720" xr:uid="{DF8A61CB-E187-4548-B521-B94EEA807745}"/>
    <cellStyle name="40% - Accent2 5" xfId="110" xr:uid="{CF0DD2BD-5FBC-424D-8465-C2F4D4F4619B}"/>
    <cellStyle name="40% - Accent2 5 2" xfId="1432" xr:uid="{E947E687-3A98-44FA-8825-03612D8BBD4D}"/>
    <cellStyle name="40% - Accent2 5 2 2" xfId="4052" xr:uid="{CDD51625-EF5B-421F-B431-4F102DC73C62}"/>
    <cellStyle name="40% - Accent2 5 3" xfId="2740" xr:uid="{8AB425A0-30FB-4CAA-8DD5-D1A0EEF20457}"/>
    <cellStyle name="40% - Accent2 6" xfId="130" xr:uid="{9E52BA2F-D5CF-4C81-907C-196576146406}"/>
    <cellStyle name="40% - Accent2 6 2" xfId="1452" xr:uid="{78842D1B-F170-4248-8478-6B390062AEF1}"/>
    <cellStyle name="40% - Accent2 6 2 2" xfId="4072" xr:uid="{2C9AEFFA-D389-4537-9239-0BA9AEAE8AC7}"/>
    <cellStyle name="40% - Accent2 6 3" xfId="2760" xr:uid="{D23A19B7-D362-44B9-95A3-7AA3EDC4BE17}"/>
    <cellStyle name="40% - Accent2 7" xfId="150" xr:uid="{B46EEEA6-A020-4D42-BBCB-55D5D8B040A8}"/>
    <cellStyle name="40% - Accent2 7 2" xfId="1472" xr:uid="{C3EDC4D5-E9F9-4A5A-A17D-BBA7FA4EDF74}"/>
    <cellStyle name="40% - Accent2 7 2 2" xfId="4092" xr:uid="{2CEB2456-48E0-4F28-BDD9-9EABF5FE53A0}"/>
    <cellStyle name="40% - Accent2 7 3" xfId="2780" xr:uid="{45997241-294F-41E2-BABD-814F51D18234}"/>
    <cellStyle name="40% - Accent2 8" xfId="170" xr:uid="{6B3157DC-79BD-4C30-A185-4D3A0946B8B0}"/>
    <cellStyle name="40% - Accent2 8 2" xfId="1492" xr:uid="{1729865A-F55B-4407-8F6D-0349CB4A3A87}"/>
    <cellStyle name="40% - Accent2 8 2 2" xfId="4112" xr:uid="{A8ABF92D-3A7C-40B4-A6D4-11BDB4BA2568}"/>
    <cellStyle name="40% - Accent2 8 3" xfId="2800" xr:uid="{0EF11B84-4223-449C-BFFE-2A575AB0DFA0}"/>
    <cellStyle name="40% - Accent2 9" xfId="190" xr:uid="{7DA8AF63-6A0C-4C3F-94B3-8637F266CA14}"/>
    <cellStyle name="40% - Accent2 9 2" xfId="1512" xr:uid="{85F53D26-EDFD-4323-BF84-97826AF162CA}"/>
    <cellStyle name="40% - Accent2 9 2 2" xfId="4132" xr:uid="{45B6B5F2-DA11-4F51-90AC-6B1420F4560B}"/>
    <cellStyle name="40% - Accent2 9 3" xfId="2820" xr:uid="{C4B5229F-BD46-4C21-A3CB-4A0F2CF1CE0E}"/>
    <cellStyle name="40% - Accent3 10" xfId="213" xr:uid="{DF2588D2-394E-46FE-BD87-39C04FBD52BB}"/>
    <cellStyle name="40% - Accent3 10 2" xfId="1535" xr:uid="{5DE8D51D-B3F4-4745-ABB5-7E7DC0DC988E}"/>
    <cellStyle name="40% - Accent3 10 2 2" xfId="4155" xr:uid="{4E767715-D7A5-426F-B86A-5DF2AA2FCE55}"/>
    <cellStyle name="40% - Accent3 10 3" xfId="2843" xr:uid="{F2FC4976-5759-4A93-A587-EACCDB09D290}"/>
    <cellStyle name="40% - Accent3 11" xfId="233" xr:uid="{E992C839-F317-4446-A945-B6F3B3663B50}"/>
    <cellStyle name="40% - Accent3 11 2" xfId="1555" xr:uid="{0C697778-49A4-444D-BFCF-3B2728FF8807}"/>
    <cellStyle name="40% - Accent3 11 2 2" xfId="4175" xr:uid="{9670049D-CD38-44A9-9E46-B3E70763AFD1}"/>
    <cellStyle name="40% - Accent3 11 3" xfId="2863" xr:uid="{CF5B1029-357D-4764-AD9C-C54EF101AF9C}"/>
    <cellStyle name="40% - Accent3 12" xfId="253" xr:uid="{B534FE2D-1C36-4F91-B3C5-3ABA571C0178}"/>
    <cellStyle name="40% - Accent3 12 2" xfId="1575" xr:uid="{B5A97D83-8C0F-473B-BD82-DB11FE66900C}"/>
    <cellStyle name="40% - Accent3 12 2 2" xfId="4195" xr:uid="{138FC852-C25E-45EA-AA59-21E3CE024B58}"/>
    <cellStyle name="40% - Accent3 12 3" xfId="2883" xr:uid="{3F44CAF6-F4D3-441E-829E-CD1A99F1E12F}"/>
    <cellStyle name="40% - Accent3 13" xfId="273" xr:uid="{93593C73-A6AA-40A1-A338-A3620BECA3BE}"/>
    <cellStyle name="40% - Accent3 13 2" xfId="1595" xr:uid="{D0E0363A-5A5A-4957-82B6-D1588E962EAF}"/>
    <cellStyle name="40% - Accent3 13 2 2" xfId="4215" xr:uid="{EB69AF94-6CEB-4320-9A20-37B59300DA8E}"/>
    <cellStyle name="40% - Accent3 13 3" xfId="2903" xr:uid="{24AACD14-777B-41A6-B9F1-F5E384C4ECB3}"/>
    <cellStyle name="40% - Accent3 14" xfId="293" xr:uid="{67F78DD3-9661-4892-BD93-B1536E5F947A}"/>
    <cellStyle name="40% - Accent3 14 2" xfId="1615" xr:uid="{426DFE92-24B4-4859-99F6-FB46AD966E1E}"/>
    <cellStyle name="40% - Accent3 14 2 2" xfId="4235" xr:uid="{2484DBBE-0672-4A6D-A4A7-F9F4751BB950}"/>
    <cellStyle name="40% - Accent3 14 3" xfId="2923" xr:uid="{2143A078-A307-4AD5-BF76-59004439FCDB}"/>
    <cellStyle name="40% - Accent3 15" xfId="313" xr:uid="{6A5A89B7-177B-449C-8418-30D608512FEB}"/>
    <cellStyle name="40% - Accent3 15 2" xfId="1635" xr:uid="{F884374D-093D-443D-B207-EEC1532A68B6}"/>
    <cellStyle name="40% - Accent3 15 2 2" xfId="4255" xr:uid="{5AA78F6B-052B-4EB9-929C-A01D5A90D4F7}"/>
    <cellStyle name="40% - Accent3 15 3" xfId="2943" xr:uid="{BEA597DC-6F3B-47EC-8079-E1A2EF516887}"/>
    <cellStyle name="40% - Accent3 16" xfId="333" xr:uid="{AB5FBB21-92F4-4604-96AB-F98E905234EE}"/>
    <cellStyle name="40% - Accent3 16 2" xfId="1655" xr:uid="{066681E7-2B59-45D5-86FF-8BE00EA759F2}"/>
    <cellStyle name="40% - Accent3 16 2 2" xfId="4275" xr:uid="{E34A8B71-161A-4563-9A5F-F8C123EF2068}"/>
    <cellStyle name="40% - Accent3 16 3" xfId="2963" xr:uid="{27A004F4-96B1-4599-B0A4-9B6AFA05B894}"/>
    <cellStyle name="40% - Accent3 17" xfId="353" xr:uid="{EA350D92-8677-4856-B076-49A61FD435E0}"/>
    <cellStyle name="40% - Accent3 17 2" xfId="1675" xr:uid="{A01906DA-49D8-4858-A9EC-0CA4FB8A2190}"/>
    <cellStyle name="40% - Accent3 17 2 2" xfId="4295" xr:uid="{8604E332-39F7-461D-BA31-C5B75CC089EE}"/>
    <cellStyle name="40% - Accent3 17 3" xfId="2983" xr:uid="{A6A4A655-3135-4524-8312-86C3867F1475}"/>
    <cellStyle name="40% - Accent3 18" xfId="373" xr:uid="{26F1FA3A-2E2D-4B49-96E2-E417BBD673B9}"/>
    <cellStyle name="40% - Accent3 18 2" xfId="1695" xr:uid="{3306DAA9-7761-46BD-9558-ABF4A0F840C7}"/>
    <cellStyle name="40% - Accent3 18 2 2" xfId="4315" xr:uid="{8C2A9F1C-FAE2-4175-9611-0D82822C9DB7}"/>
    <cellStyle name="40% - Accent3 18 3" xfId="3003" xr:uid="{8D368BF7-4A22-4822-81D5-276AB1FFA760}"/>
    <cellStyle name="40% - Accent3 19" xfId="393" xr:uid="{E03809AC-C860-46F6-84E7-A8340E3DEF65}"/>
    <cellStyle name="40% - Accent3 19 2" xfId="1715" xr:uid="{647AA67D-B878-4D65-974E-A6B4FD0D08D8}"/>
    <cellStyle name="40% - Accent3 19 2 2" xfId="4335" xr:uid="{872087CC-0DBD-4DFA-A1BE-1915EFDAB1DF}"/>
    <cellStyle name="40% - Accent3 19 3" xfId="3023" xr:uid="{467E0E1C-4C12-4DE1-A2CC-8EE5F73AF6BF}"/>
    <cellStyle name="40% - Accent3 2" xfId="52" xr:uid="{35E895B9-92AB-4FD0-BF79-68E7C514EB59}"/>
    <cellStyle name="40% - Accent3 2 2" xfId="1374" xr:uid="{27B0FC7C-66BB-4673-9A21-6E1F11A598A0}"/>
    <cellStyle name="40% - Accent3 2 2 2" xfId="3995" xr:uid="{B8E2E640-E5C9-4AF3-903E-65FF184F8AFD}"/>
    <cellStyle name="40% - Accent3 2 3" xfId="2683" xr:uid="{D3FE849C-0C8E-417F-98B0-7DF30D609354}"/>
    <cellStyle name="40% - Accent3 20" xfId="413" xr:uid="{8B34687F-A2F3-4325-A61F-41950504B273}"/>
    <cellStyle name="40% - Accent3 20 2" xfId="1735" xr:uid="{71BB39B2-1D72-4B82-B73A-3B046A03F780}"/>
    <cellStyle name="40% - Accent3 20 2 2" xfId="4355" xr:uid="{7B2BF0D4-7128-4ACA-BFA6-EE0FA353CB8A}"/>
    <cellStyle name="40% - Accent3 20 3" xfId="3043" xr:uid="{361676B6-BE4B-46A6-8D7C-850C6EF744DF}"/>
    <cellStyle name="40% - Accent3 21" xfId="433" xr:uid="{8D7C68AE-72B8-4427-93E1-AAD229D436E0}"/>
    <cellStyle name="40% - Accent3 21 2" xfId="1755" xr:uid="{7C9C72C5-995E-4C53-9A57-DC3944A8FC24}"/>
    <cellStyle name="40% - Accent3 21 2 2" xfId="4375" xr:uid="{6C651867-EBC8-4F00-9E30-CDAEAE662E85}"/>
    <cellStyle name="40% - Accent3 21 3" xfId="3063" xr:uid="{53DD7D7B-2E00-4D52-AAFA-6C462A7A62BB}"/>
    <cellStyle name="40% - Accent3 22" xfId="453" xr:uid="{731E0B1A-89B6-412A-A865-AFD3D9BE811A}"/>
    <cellStyle name="40% - Accent3 22 2" xfId="1775" xr:uid="{FF1194B6-734A-4D6D-A4E9-BF03F97E4464}"/>
    <cellStyle name="40% - Accent3 22 2 2" xfId="4395" xr:uid="{FE7E1271-0D73-4F7B-AC67-FB759397B6D9}"/>
    <cellStyle name="40% - Accent3 22 3" xfId="3083" xr:uid="{F6A63F71-643F-40FB-A7F5-22234DA5484C}"/>
    <cellStyle name="40% - Accent3 23" xfId="473" xr:uid="{B155A6A4-41E9-45C8-AFD0-BD41EF7F1A34}"/>
    <cellStyle name="40% - Accent3 23 2" xfId="1795" xr:uid="{E8285E4B-217D-4B5C-85C7-9A38E799487A}"/>
    <cellStyle name="40% - Accent3 23 2 2" xfId="4415" xr:uid="{F27B518C-7E09-4456-BE20-0A88ED3DA85C}"/>
    <cellStyle name="40% - Accent3 23 3" xfId="3103" xr:uid="{1756D68A-66DA-4599-AE3C-B07670CF64E6}"/>
    <cellStyle name="40% - Accent3 24" xfId="493" xr:uid="{C9FD4AD5-5DFA-44C1-891C-4519D62C34C4}"/>
    <cellStyle name="40% - Accent3 24 2" xfId="1815" xr:uid="{E6F54CC4-AB73-4E06-9F9C-052B5859CCA0}"/>
    <cellStyle name="40% - Accent3 24 2 2" xfId="4435" xr:uid="{61B51EFD-5BBB-4387-A94F-3915E1EE1BD7}"/>
    <cellStyle name="40% - Accent3 24 3" xfId="3123" xr:uid="{5432DFC8-EC2E-4C55-913E-4F1EA84DDB79}"/>
    <cellStyle name="40% - Accent3 25" xfId="513" xr:uid="{C845C509-E600-40F6-9CC3-0D98B4053418}"/>
    <cellStyle name="40% - Accent3 25 2" xfId="1835" xr:uid="{604F6F6B-65A9-4172-A491-69202B709EB1}"/>
    <cellStyle name="40% - Accent3 25 2 2" xfId="4455" xr:uid="{6AE933FE-ECC6-4A73-ACA2-3F0A6B253707}"/>
    <cellStyle name="40% - Accent3 25 3" xfId="3143" xr:uid="{B931CCA3-3E4E-4C71-AFE0-7B48F735757D}"/>
    <cellStyle name="40% - Accent3 26" xfId="533" xr:uid="{F4DC6047-169E-4A81-A003-40D0F688B937}"/>
    <cellStyle name="40% - Accent3 26 2" xfId="1855" xr:uid="{35B51765-0E1A-4C55-AEDD-BA394AF9E113}"/>
    <cellStyle name="40% - Accent3 26 2 2" xfId="4475" xr:uid="{F4213BC6-4464-46DE-893E-74315F8CD36E}"/>
    <cellStyle name="40% - Accent3 26 3" xfId="3163" xr:uid="{5ED73C4A-1E0C-4DFD-B1E5-580971613E28}"/>
    <cellStyle name="40% - Accent3 27" xfId="553" xr:uid="{100A2F48-F932-475A-9CE4-A51C99B5F694}"/>
    <cellStyle name="40% - Accent3 27 2" xfId="1875" xr:uid="{B4EE962F-7DE7-4593-9EAB-4FCFDB0E0138}"/>
    <cellStyle name="40% - Accent3 27 2 2" xfId="4495" xr:uid="{445DF589-8553-4F87-B559-7E570FC071CB}"/>
    <cellStyle name="40% - Accent3 27 3" xfId="3183" xr:uid="{5AC3A000-2300-44B2-9B2E-3E5BC3DCEFD8}"/>
    <cellStyle name="40% - Accent3 28" xfId="1053" xr:uid="{9653A387-58BA-41D1-96F7-14C65748EC04}"/>
    <cellStyle name="40% - Accent3 28 2" xfId="2375" xr:uid="{057E5AB2-7C1D-45F0-8085-C143CF2A5060}"/>
    <cellStyle name="40% - Accent3 28 2 2" xfId="4995" xr:uid="{D02ABA10-9724-493C-867B-995011AF2721}"/>
    <cellStyle name="40% - Accent3 28 3" xfId="3683" xr:uid="{0F976ACC-D271-40A3-941F-8D412513F7E8}"/>
    <cellStyle name="40% - Accent3 29" xfId="1073" xr:uid="{9030B1D0-E043-41B7-80EF-ADFB93393907}"/>
    <cellStyle name="40% - Accent3 29 2" xfId="2395" xr:uid="{5583A650-0484-44AA-A4F1-D55B3B857DE1}"/>
    <cellStyle name="40% - Accent3 29 2 2" xfId="5015" xr:uid="{5D96033F-FE2D-418F-8338-43EF7A493062}"/>
    <cellStyle name="40% - Accent3 29 3" xfId="3703" xr:uid="{863BE583-8106-4B24-B5CC-C2C3E7AF9261}"/>
    <cellStyle name="40% - Accent3 3" xfId="72" xr:uid="{77995B71-0B67-4F90-B568-9F79E66F7B88}"/>
    <cellStyle name="40% - Accent3 3 2" xfId="1394" xr:uid="{A6125C80-77F0-480D-BF29-C50B7A184676}"/>
    <cellStyle name="40% - Accent3 3 2 2" xfId="4015" xr:uid="{83C1C302-BA15-4CF8-940F-6880A33D4C3F}"/>
    <cellStyle name="40% - Accent3 3 3" xfId="2703" xr:uid="{C9E76644-8ABD-4F67-AFF8-CF148CDE3630}"/>
    <cellStyle name="40% - Accent3 30" xfId="1093" xr:uid="{DEBB23CD-4B36-4E0C-A55C-EC333C60EEB7}"/>
    <cellStyle name="40% - Accent3 30 2" xfId="2415" xr:uid="{745025E6-C3BB-4785-BE64-FE793EFD33E4}"/>
    <cellStyle name="40% - Accent3 30 2 2" xfId="5035" xr:uid="{C263741F-4810-436A-8EC9-9B2741C77338}"/>
    <cellStyle name="40% - Accent3 30 3" xfId="3723" xr:uid="{09E283D5-6C44-4FA4-A693-6CCF1BA3E791}"/>
    <cellStyle name="40% - Accent3 31" xfId="1113" xr:uid="{BA603B54-145B-4761-AF2D-4FEF67AE429C}"/>
    <cellStyle name="40% - Accent3 31 2" xfId="2435" xr:uid="{6F842247-7C3A-47B0-A998-05DAB682352F}"/>
    <cellStyle name="40% - Accent3 31 2 2" xfId="5055" xr:uid="{D950C8DC-706C-4F00-986F-5D4DA6182F55}"/>
    <cellStyle name="40% - Accent3 31 3" xfId="3743" xr:uid="{3C3A1D46-6F99-418E-8123-6FAE5AA60FCC}"/>
    <cellStyle name="40% - Accent3 4" xfId="93" xr:uid="{AB7E0071-03C1-4F6E-90AC-02394F08BE18}"/>
    <cellStyle name="40% - Accent3 4 2" xfId="1415" xr:uid="{056FB281-2BB3-4764-9AAD-DDE7351E0DEC}"/>
    <cellStyle name="40% - Accent3 4 2 2" xfId="4035" xr:uid="{3E51130C-948B-4169-ABA7-4EACB485E1C1}"/>
    <cellStyle name="40% - Accent3 4 3" xfId="2723" xr:uid="{D5F0FA70-BFB3-496E-8DAA-B6CC2A94260B}"/>
    <cellStyle name="40% - Accent3 5" xfId="113" xr:uid="{8FF2CAE9-5527-47D6-B731-105C89159B2A}"/>
    <cellStyle name="40% - Accent3 5 2" xfId="1435" xr:uid="{937D50C1-D67C-4FB0-809C-C38DA9901C73}"/>
    <cellStyle name="40% - Accent3 5 2 2" xfId="4055" xr:uid="{A63BD71C-A48A-4141-BE33-6DC66B1AADE9}"/>
    <cellStyle name="40% - Accent3 5 3" xfId="2743" xr:uid="{E343E424-DB37-4109-92ED-8171941B8713}"/>
    <cellStyle name="40% - Accent3 6" xfId="133" xr:uid="{D441A11A-F936-4E0B-890A-18ECA20B92C9}"/>
    <cellStyle name="40% - Accent3 6 2" xfId="1455" xr:uid="{2D7D8EC5-331E-4E5F-A3E8-103A6B0CCE90}"/>
    <cellStyle name="40% - Accent3 6 2 2" xfId="4075" xr:uid="{822274AE-B3EC-44D2-B5D3-FE520DDA723A}"/>
    <cellStyle name="40% - Accent3 6 3" xfId="2763" xr:uid="{20419AA6-5966-4C4B-B105-D982DD7C799A}"/>
    <cellStyle name="40% - Accent3 7" xfId="153" xr:uid="{32CD956C-E7D9-4577-A5D9-B34E1638B71A}"/>
    <cellStyle name="40% - Accent3 7 2" xfId="1475" xr:uid="{CE5EA08A-41D2-4533-BC42-D6A1FC4DA142}"/>
    <cellStyle name="40% - Accent3 7 2 2" xfId="4095" xr:uid="{1DD408B9-A755-44EF-9B1F-40368758B734}"/>
    <cellStyle name="40% - Accent3 7 3" xfId="2783" xr:uid="{612A3C11-585A-4438-BB91-7352F8EFBBE2}"/>
    <cellStyle name="40% - Accent3 8" xfId="173" xr:uid="{E0E498A4-8C62-4F7D-9562-A7FC6856A938}"/>
    <cellStyle name="40% - Accent3 8 2" xfId="1495" xr:uid="{25014257-FAD6-4D30-BE10-F786F542F092}"/>
    <cellStyle name="40% - Accent3 8 2 2" xfId="4115" xr:uid="{BB5BDC5B-6B27-42F4-8052-EA9815207533}"/>
    <cellStyle name="40% - Accent3 8 3" xfId="2803" xr:uid="{4540C246-3283-4D6B-AB9D-41239F590A01}"/>
    <cellStyle name="40% - Accent3 9" xfId="193" xr:uid="{94B198E2-7F9C-47AF-91CE-48696316ADA7}"/>
    <cellStyle name="40% - Accent3 9 2" xfId="1515" xr:uid="{9CC637E3-CC56-436C-B958-A36E5CF74231}"/>
    <cellStyle name="40% - Accent3 9 2 2" xfId="4135" xr:uid="{944DEC46-3B41-4AF0-8B2A-0989DF526691}"/>
    <cellStyle name="40% - Accent3 9 3" xfId="2823" xr:uid="{41B54FB4-3522-4EA9-965D-6156E2DA83FC}"/>
    <cellStyle name="40% - Accent4 10" xfId="216" xr:uid="{8626E088-0A39-4FDD-9019-E76BF880CD6C}"/>
    <cellStyle name="40% - Accent4 10 2" xfId="1538" xr:uid="{575EBBC1-4C44-4306-9D0D-09A9BF2CB63C}"/>
    <cellStyle name="40% - Accent4 10 2 2" xfId="4158" xr:uid="{1A8DF558-752F-4F63-8EDA-70DB04E1B3F9}"/>
    <cellStyle name="40% - Accent4 10 3" xfId="2846" xr:uid="{5BC0F8D5-7182-411F-8193-1EB79F250A7C}"/>
    <cellStyle name="40% - Accent4 11" xfId="236" xr:uid="{83BBE671-90DD-4A3D-85C7-2ADC5E4AD08C}"/>
    <cellStyle name="40% - Accent4 11 2" xfId="1558" xr:uid="{70276475-9EB9-4305-BFF5-30CB338DCA26}"/>
    <cellStyle name="40% - Accent4 11 2 2" xfId="4178" xr:uid="{AA6F8E58-D178-4D91-932B-E609107BEA3C}"/>
    <cellStyle name="40% - Accent4 11 3" xfId="2866" xr:uid="{4616CDB9-B2CD-4F5E-B1F0-108D55C8B9F0}"/>
    <cellStyle name="40% - Accent4 12" xfId="256" xr:uid="{55EDF430-7287-4D0C-9365-31598ACD705A}"/>
    <cellStyle name="40% - Accent4 12 2" xfId="1578" xr:uid="{DADDE2B5-AB64-4FE4-9545-9D76733C7BD0}"/>
    <cellStyle name="40% - Accent4 12 2 2" xfId="4198" xr:uid="{C3CA5D53-A1C9-4D13-9C8F-A9685738BD84}"/>
    <cellStyle name="40% - Accent4 12 3" xfId="2886" xr:uid="{6BF152BD-FE4A-4E8B-A379-46631219589D}"/>
    <cellStyle name="40% - Accent4 13" xfId="276" xr:uid="{4204BE95-CD80-45FC-9ED4-76D796600886}"/>
    <cellStyle name="40% - Accent4 13 2" xfId="1598" xr:uid="{B7CB21A0-4D70-4D44-8EE0-1AADFA00F107}"/>
    <cellStyle name="40% - Accent4 13 2 2" xfId="4218" xr:uid="{78372D86-23A0-45D2-B1EE-10D30A67D688}"/>
    <cellStyle name="40% - Accent4 13 3" xfId="2906" xr:uid="{1FEACA82-6731-4519-98A7-9AB1385E72F2}"/>
    <cellStyle name="40% - Accent4 14" xfId="296" xr:uid="{5A4DCF91-C4EA-4933-AD80-EB94ACC969C1}"/>
    <cellStyle name="40% - Accent4 14 2" xfId="1618" xr:uid="{75423433-0EA5-4DC3-AFB4-76785DCE89E7}"/>
    <cellStyle name="40% - Accent4 14 2 2" xfId="4238" xr:uid="{7F673CAD-507C-41A0-B832-49062CFA7E49}"/>
    <cellStyle name="40% - Accent4 14 3" xfId="2926" xr:uid="{9B3A8111-DA1F-4162-A375-27A1D9EC3277}"/>
    <cellStyle name="40% - Accent4 15" xfId="316" xr:uid="{6E0DD042-F4CD-44FF-B15F-200F00369678}"/>
    <cellStyle name="40% - Accent4 15 2" xfId="1638" xr:uid="{B96DF967-7193-4A7B-896D-AC45753B240E}"/>
    <cellStyle name="40% - Accent4 15 2 2" xfId="4258" xr:uid="{90803213-4000-40E9-8EB1-EEB62D4B0C79}"/>
    <cellStyle name="40% - Accent4 15 3" xfId="2946" xr:uid="{5ED3D4DE-9E98-4A27-9E4C-76CA1CB75431}"/>
    <cellStyle name="40% - Accent4 16" xfId="336" xr:uid="{DD7E36D1-0387-480F-B4C3-726655B34629}"/>
    <cellStyle name="40% - Accent4 16 2" xfId="1658" xr:uid="{0DBBF8E8-1D2F-41E5-AF12-AB1BB82EC933}"/>
    <cellStyle name="40% - Accent4 16 2 2" xfId="4278" xr:uid="{95929EB1-ECC1-428B-902D-29693A4E85FA}"/>
    <cellStyle name="40% - Accent4 16 3" xfId="2966" xr:uid="{90938FFB-51E9-40D1-A230-80D65A8DCEA5}"/>
    <cellStyle name="40% - Accent4 17" xfId="356" xr:uid="{7A962D09-1BBF-4A0C-9C37-11F2BF73CAF2}"/>
    <cellStyle name="40% - Accent4 17 2" xfId="1678" xr:uid="{BB70068F-8F67-4CAB-B269-FCBD5781BB4D}"/>
    <cellStyle name="40% - Accent4 17 2 2" xfId="4298" xr:uid="{DF0A4DE0-C890-4D2C-B3C7-C68696B7F4E8}"/>
    <cellStyle name="40% - Accent4 17 3" xfId="2986" xr:uid="{758F76C8-DE33-49FA-87A8-283827B638E1}"/>
    <cellStyle name="40% - Accent4 18" xfId="376" xr:uid="{A65074B3-D3CB-4C18-B9E5-AD280DE881C5}"/>
    <cellStyle name="40% - Accent4 18 2" xfId="1698" xr:uid="{909A7EF3-C08D-4B82-9FBA-5993670A4777}"/>
    <cellStyle name="40% - Accent4 18 2 2" xfId="4318" xr:uid="{6B37D84B-A3C6-49A2-A9D3-575F60580BC4}"/>
    <cellStyle name="40% - Accent4 18 3" xfId="3006" xr:uid="{304FD2AC-3689-4143-AF72-63EB84473E47}"/>
    <cellStyle name="40% - Accent4 19" xfId="396" xr:uid="{78EBB4C0-BF29-4C75-86B4-D60378BF85A8}"/>
    <cellStyle name="40% - Accent4 19 2" xfId="1718" xr:uid="{5FAA904D-8CF2-4150-AFA0-63D099DFAD4C}"/>
    <cellStyle name="40% - Accent4 19 2 2" xfId="4338" xr:uid="{3AD9A5A2-45B1-48A3-A38A-5C343123C17C}"/>
    <cellStyle name="40% - Accent4 19 3" xfId="3026" xr:uid="{B403186A-F8B8-4AE6-B2C5-AA7953E4875F}"/>
    <cellStyle name="40% - Accent4 2" xfId="55" xr:uid="{62465D5C-FD3B-43EC-82F3-D724827C11B2}"/>
    <cellStyle name="40% - Accent4 2 2" xfId="1377" xr:uid="{53E94533-14C9-47CD-92E7-8E788AE0F5E9}"/>
    <cellStyle name="40% - Accent4 2 2 2" xfId="3998" xr:uid="{E14A1AC1-0C69-47C7-B35F-3DB130D1A244}"/>
    <cellStyle name="40% - Accent4 2 3" xfId="2686" xr:uid="{5875F02E-9F28-4142-9AAF-4BB6AEB3CF6A}"/>
    <cellStyle name="40% - Accent4 20" xfId="416" xr:uid="{C0A66477-3BD4-4E05-982F-E483BBAE4494}"/>
    <cellStyle name="40% - Accent4 20 2" xfId="1738" xr:uid="{8752DF9E-744F-4B47-AE08-27DDB451CE11}"/>
    <cellStyle name="40% - Accent4 20 2 2" xfId="4358" xr:uid="{48F71590-6EF5-4ABF-8F44-9194795973A9}"/>
    <cellStyle name="40% - Accent4 20 3" xfId="3046" xr:uid="{010558EC-4F3D-49E9-B7E0-BDF557BB30EF}"/>
    <cellStyle name="40% - Accent4 21" xfId="436" xr:uid="{D6B598F1-8DB9-4552-9C76-4BCAF6B31E9B}"/>
    <cellStyle name="40% - Accent4 21 2" xfId="1758" xr:uid="{2A71E67D-E437-4ADD-8F5C-DE67D592BC60}"/>
    <cellStyle name="40% - Accent4 21 2 2" xfId="4378" xr:uid="{8BC2D9EE-FC8F-4DCA-8953-A063F6DA931A}"/>
    <cellStyle name="40% - Accent4 21 3" xfId="3066" xr:uid="{DA29F805-F80F-4111-9154-99DFC65593B1}"/>
    <cellStyle name="40% - Accent4 22" xfId="456" xr:uid="{76EDF233-7163-4EC3-8F97-3FA7BCBAB757}"/>
    <cellStyle name="40% - Accent4 22 2" xfId="1778" xr:uid="{6B469106-E493-4A90-9A0E-A3B57984B6D1}"/>
    <cellStyle name="40% - Accent4 22 2 2" xfId="4398" xr:uid="{9091159B-E6F5-4114-9DE5-255F1ECBA5FE}"/>
    <cellStyle name="40% - Accent4 22 3" xfId="3086" xr:uid="{2D55584A-8B75-4342-96E7-DD7F68264127}"/>
    <cellStyle name="40% - Accent4 23" xfId="476" xr:uid="{A9D49B09-545D-470C-B0F1-76EF3FB87DD8}"/>
    <cellStyle name="40% - Accent4 23 2" xfId="1798" xr:uid="{D97B7814-562B-4942-B180-DB9A41C7A116}"/>
    <cellStyle name="40% - Accent4 23 2 2" xfId="4418" xr:uid="{1597204D-4F31-4731-B666-70F0F460E1C1}"/>
    <cellStyle name="40% - Accent4 23 3" xfId="3106" xr:uid="{AAF2A7D7-E474-4DA5-89F4-5ADB9C3CC109}"/>
    <cellStyle name="40% - Accent4 24" xfId="496" xr:uid="{FC3FE648-3F51-47B1-B93F-C7D09B562504}"/>
    <cellStyle name="40% - Accent4 24 2" xfId="1818" xr:uid="{B5A4BB61-B1A6-424E-8286-7B288A4CB8A6}"/>
    <cellStyle name="40% - Accent4 24 2 2" xfId="4438" xr:uid="{69FE76C3-EC2F-47C9-8D39-2AF07A7CAB00}"/>
    <cellStyle name="40% - Accent4 24 3" xfId="3126" xr:uid="{E0218E90-9A6A-4488-B55D-E51EB869BF36}"/>
    <cellStyle name="40% - Accent4 25" xfId="516" xr:uid="{77737CBC-2861-4B0D-B994-DA2D389E5F6A}"/>
    <cellStyle name="40% - Accent4 25 2" xfId="1838" xr:uid="{DB0CAEFC-87F0-4771-AFE2-0518EC6FD70F}"/>
    <cellStyle name="40% - Accent4 25 2 2" xfId="4458" xr:uid="{30422AEC-B7B5-4F8A-8331-324D69975101}"/>
    <cellStyle name="40% - Accent4 25 3" xfId="3146" xr:uid="{7DC1CBE8-6883-4238-AD43-4D582F57FB08}"/>
    <cellStyle name="40% - Accent4 26" xfId="536" xr:uid="{61051A3B-F2EA-4E02-BA63-120A9C57E195}"/>
    <cellStyle name="40% - Accent4 26 2" xfId="1858" xr:uid="{27C54C1E-4DC1-4DE5-A7B4-14D9F6E30F93}"/>
    <cellStyle name="40% - Accent4 26 2 2" xfId="4478" xr:uid="{5A0CD1CA-B408-4219-AE8C-E6F3CE6EAF2C}"/>
    <cellStyle name="40% - Accent4 26 3" xfId="3166" xr:uid="{D58A65B1-EE02-4932-A56E-68B2303FDF62}"/>
    <cellStyle name="40% - Accent4 27" xfId="556" xr:uid="{B3E11D85-8D32-4A34-BA28-A558D0CDC045}"/>
    <cellStyle name="40% - Accent4 27 2" xfId="1878" xr:uid="{6471FEF1-8664-4E0C-81AF-0E571E79D9FF}"/>
    <cellStyle name="40% - Accent4 27 2 2" xfId="4498" xr:uid="{DAB64AC2-AAB7-4F4B-A244-EEAD2079DCCE}"/>
    <cellStyle name="40% - Accent4 27 3" xfId="3186" xr:uid="{A3807E48-1DD0-444B-B397-2C2A78F9D3EF}"/>
    <cellStyle name="40% - Accent4 28" xfId="1056" xr:uid="{13904EAE-87CA-421B-B4BA-E25DE5B1914D}"/>
    <cellStyle name="40% - Accent4 28 2" xfId="2378" xr:uid="{44145264-88A5-4156-9581-AB9FEB652EFC}"/>
    <cellStyle name="40% - Accent4 28 2 2" xfId="4998" xr:uid="{2EF84B2F-1C30-4FA9-9069-07BCAE4F379A}"/>
    <cellStyle name="40% - Accent4 28 3" xfId="3686" xr:uid="{04BF9259-232F-417A-BD32-D67C7E82E6A3}"/>
    <cellStyle name="40% - Accent4 29" xfId="1076" xr:uid="{2DA40C94-E1BF-4410-BE51-F30E4BAD4B97}"/>
    <cellStyle name="40% - Accent4 29 2" xfId="2398" xr:uid="{B6E6D3F2-426E-4282-A4D7-5351B0FE85E9}"/>
    <cellStyle name="40% - Accent4 29 2 2" xfId="5018" xr:uid="{3274B5B7-35F0-4817-AB6D-83012509416B}"/>
    <cellStyle name="40% - Accent4 29 3" xfId="3706" xr:uid="{7B4A0E9C-C98C-4172-B2C5-D3A9E124A1CA}"/>
    <cellStyle name="40% - Accent4 3" xfId="75" xr:uid="{5C57E204-5A7C-4CEB-9875-A974E5E64118}"/>
    <cellStyle name="40% - Accent4 3 2" xfId="1397" xr:uid="{A41095CA-1990-4BFE-8DBC-79C472153619}"/>
    <cellStyle name="40% - Accent4 3 2 2" xfId="4018" xr:uid="{6C10A5F2-22E7-4FB7-A2C4-51EBF44C0FEB}"/>
    <cellStyle name="40% - Accent4 3 3" xfId="2706" xr:uid="{362CF1D7-A861-42DA-8D40-BC470B098750}"/>
    <cellStyle name="40% - Accent4 30" xfId="1096" xr:uid="{15116C54-C196-445A-8BED-28E5C00D5BAD}"/>
    <cellStyle name="40% - Accent4 30 2" xfId="2418" xr:uid="{9F71F6A2-C725-4BE1-9EC5-B87EFED4805A}"/>
    <cellStyle name="40% - Accent4 30 2 2" xfId="5038" xr:uid="{732D54CA-B1A6-4A46-851A-6E0C2A8211DF}"/>
    <cellStyle name="40% - Accent4 30 3" xfId="3726" xr:uid="{2FDE5E40-EC79-4360-9A9C-6E73E8D7BA25}"/>
    <cellStyle name="40% - Accent4 31" xfId="1116" xr:uid="{8FDB635C-1808-4FA0-A7F0-E8F12E55159B}"/>
    <cellStyle name="40% - Accent4 31 2" xfId="2438" xr:uid="{90FF7133-69AD-4F38-A29C-119A71FD02DD}"/>
    <cellStyle name="40% - Accent4 31 2 2" xfId="5058" xr:uid="{AE76D091-3B86-4448-B6A6-A69029554022}"/>
    <cellStyle name="40% - Accent4 31 3" xfId="3746" xr:uid="{6EFCFD16-5C41-46BF-99CE-47DA34C047FB}"/>
    <cellStyle name="40% - Accent4 4" xfId="96" xr:uid="{7D058B7F-B538-4335-AC71-F029F1A69817}"/>
    <cellStyle name="40% - Accent4 4 2" xfId="1418" xr:uid="{EB895B62-1F2B-43B3-B40A-77235BAFEC47}"/>
    <cellStyle name="40% - Accent4 4 2 2" xfId="4038" xr:uid="{DDFE3A23-43CD-4F76-BF8D-9D8DDBAED667}"/>
    <cellStyle name="40% - Accent4 4 3" xfId="2726" xr:uid="{CB878A67-F66F-4740-AC92-B87AC4BA2FB4}"/>
    <cellStyle name="40% - Accent4 5" xfId="116" xr:uid="{671F6F25-FB16-47E7-BADD-6509168B7E50}"/>
    <cellStyle name="40% - Accent4 5 2" xfId="1438" xr:uid="{2C1BAB73-68C4-4AE2-BE89-A829C6AFA85B}"/>
    <cellStyle name="40% - Accent4 5 2 2" xfId="4058" xr:uid="{15E548FF-DF5C-4374-9AE6-69D20C907A16}"/>
    <cellStyle name="40% - Accent4 5 3" xfId="2746" xr:uid="{ABACE091-5464-4B3E-A23D-A251F15F0728}"/>
    <cellStyle name="40% - Accent4 6" xfId="136" xr:uid="{E9F7027A-5D6F-482F-BD04-F4E9BE21A2B4}"/>
    <cellStyle name="40% - Accent4 6 2" xfId="1458" xr:uid="{CADCA362-6ED1-45E8-9D76-B619FDE7A254}"/>
    <cellStyle name="40% - Accent4 6 2 2" xfId="4078" xr:uid="{0FBF65F0-2BDE-4F26-9D82-38369DC5DECD}"/>
    <cellStyle name="40% - Accent4 6 3" xfId="2766" xr:uid="{27E737DD-A7DF-40E1-BF3C-7FF6222F63F4}"/>
    <cellStyle name="40% - Accent4 7" xfId="156" xr:uid="{07FEF847-69A7-44B6-87C4-03CB5FD78BD2}"/>
    <cellStyle name="40% - Accent4 7 2" xfId="1478" xr:uid="{0CA4F727-843F-4990-90DF-62C76F43D078}"/>
    <cellStyle name="40% - Accent4 7 2 2" xfId="4098" xr:uid="{3E9B1BBC-D95C-4268-950D-2E0628EC355B}"/>
    <cellStyle name="40% - Accent4 7 3" xfId="2786" xr:uid="{6E887F6A-2E7C-4687-937D-E93029DC35A3}"/>
    <cellStyle name="40% - Accent4 8" xfId="176" xr:uid="{C9A3363D-6156-46D4-B3A9-320619B89B33}"/>
    <cellStyle name="40% - Accent4 8 2" xfId="1498" xr:uid="{1F27767F-7F79-4403-832B-393BE760DA70}"/>
    <cellStyle name="40% - Accent4 8 2 2" xfId="4118" xr:uid="{C4A6492A-6D18-4AAE-9338-9764E0107B57}"/>
    <cellStyle name="40% - Accent4 8 3" xfId="2806" xr:uid="{7AE5EF1E-AD97-48E1-AE3B-453BFC6F6C3B}"/>
    <cellStyle name="40% - Accent4 9" xfId="196" xr:uid="{697895A7-8CDC-432C-919E-3E96CEB3EE68}"/>
    <cellStyle name="40% - Accent4 9 2" xfId="1518" xr:uid="{559FDF4E-4B89-44BA-994B-6323963A5F59}"/>
    <cellStyle name="40% - Accent4 9 2 2" xfId="4138" xr:uid="{1E4967C6-C679-410D-889A-F108848AF62E}"/>
    <cellStyle name="40% - Accent4 9 3" xfId="2826" xr:uid="{19A6AC3F-7E4E-4DC2-8FBF-F09D29F914DD}"/>
    <cellStyle name="40% - Accent5 10" xfId="219" xr:uid="{8C490163-D839-4660-AA8F-C9D3EB932C47}"/>
    <cellStyle name="40% - Accent5 10 2" xfId="1541" xr:uid="{24DB7AE6-667C-46A0-8F57-5C5595AF3732}"/>
    <cellStyle name="40% - Accent5 10 2 2" xfId="4161" xr:uid="{3917236E-A47E-4E4A-8FC3-28A342DD1F65}"/>
    <cellStyle name="40% - Accent5 10 3" xfId="2849" xr:uid="{4151B38D-2E19-4E1A-A889-58FA45DD0C65}"/>
    <cellStyle name="40% - Accent5 11" xfId="239" xr:uid="{E5096DC3-41AE-4A43-BD07-52B67CE1D6D7}"/>
    <cellStyle name="40% - Accent5 11 2" xfId="1561" xr:uid="{FAA69D07-2A19-4C64-83C0-530ABBB1BD63}"/>
    <cellStyle name="40% - Accent5 11 2 2" xfId="4181" xr:uid="{A7560766-AACF-4BA3-BF79-34C83C31EEB4}"/>
    <cellStyle name="40% - Accent5 11 3" xfId="2869" xr:uid="{6076881F-A7E2-4204-AE15-138CE7EDBF40}"/>
    <cellStyle name="40% - Accent5 12" xfId="259" xr:uid="{D19CD0B5-EFF7-4F8E-BFE1-B2BAD1B5CD41}"/>
    <cellStyle name="40% - Accent5 12 2" xfId="1581" xr:uid="{6373F228-5E0A-43C2-A9C5-2F8804FA6EDB}"/>
    <cellStyle name="40% - Accent5 12 2 2" xfId="4201" xr:uid="{85A4E704-104B-4654-947F-C55368BC9511}"/>
    <cellStyle name="40% - Accent5 12 3" xfId="2889" xr:uid="{6AD0E275-247C-47C2-A342-FAF4B6882D97}"/>
    <cellStyle name="40% - Accent5 13" xfId="279" xr:uid="{124D6352-1674-468A-AC75-C63901361009}"/>
    <cellStyle name="40% - Accent5 13 2" xfId="1601" xr:uid="{A4338EB1-0412-4B6E-966D-3980499A8974}"/>
    <cellStyle name="40% - Accent5 13 2 2" xfId="4221" xr:uid="{1022E73A-59B3-4CF3-8689-EEAE24F2033E}"/>
    <cellStyle name="40% - Accent5 13 3" xfId="2909" xr:uid="{DA939AEA-BCC0-4784-A984-E10DD56633E8}"/>
    <cellStyle name="40% - Accent5 14" xfId="299" xr:uid="{46113D48-ACB9-4324-8C8F-DB25E423E2CB}"/>
    <cellStyle name="40% - Accent5 14 2" xfId="1621" xr:uid="{67DA027D-0369-462C-BF5E-4B5F138C0DAC}"/>
    <cellStyle name="40% - Accent5 14 2 2" xfId="4241" xr:uid="{2895253F-DBD4-40EE-B04C-3CF1E72B4A8E}"/>
    <cellStyle name="40% - Accent5 14 3" xfId="2929" xr:uid="{56058B64-F1D0-46BF-BD7D-6468F3E78B0A}"/>
    <cellStyle name="40% - Accent5 15" xfId="319" xr:uid="{9A9E8AD2-D67B-40AC-9C9B-A8B89D85BB2D}"/>
    <cellStyle name="40% - Accent5 15 2" xfId="1641" xr:uid="{009AD861-CF40-425D-AF59-1522D8AE738B}"/>
    <cellStyle name="40% - Accent5 15 2 2" xfId="4261" xr:uid="{BE2C02C7-4673-40EF-A542-7A9FD734DEC0}"/>
    <cellStyle name="40% - Accent5 15 3" xfId="2949" xr:uid="{555EEA45-123F-41A0-9BA8-0D9C052207E3}"/>
    <cellStyle name="40% - Accent5 16" xfId="339" xr:uid="{B1D11F02-F071-48E0-8D10-F735C004C27B}"/>
    <cellStyle name="40% - Accent5 16 2" xfId="1661" xr:uid="{B204D8E1-6782-4F98-85BA-858ECE444D71}"/>
    <cellStyle name="40% - Accent5 16 2 2" xfId="4281" xr:uid="{43495169-A429-466A-8435-569F54A2C44F}"/>
    <cellStyle name="40% - Accent5 16 3" xfId="2969" xr:uid="{E5775E6D-5E75-41BC-B661-EA7BA2C8B7AF}"/>
    <cellStyle name="40% - Accent5 17" xfId="359" xr:uid="{5B4DB1F1-233D-4FFB-85F8-9A03D62771C1}"/>
    <cellStyle name="40% - Accent5 17 2" xfId="1681" xr:uid="{9EF79DDB-01C0-4FD7-9D00-99FCC4DDC39C}"/>
    <cellStyle name="40% - Accent5 17 2 2" xfId="4301" xr:uid="{38BDCA64-604C-45D6-9396-E45837DF3D6C}"/>
    <cellStyle name="40% - Accent5 17 3" xfId="2989" xr:uid="{0333EE6A-A60B-411E-9C12-97517C9A3D44}"/>
    <cellStyle name="40% - Accent5 18" xfId="379" xr:uid="{11F0F8FB-7040-403F-9B2D-7706763463E1}"/>
    <cellStyle name="40% - Accent5 18 2" xfId="1701" xr:uid="{91E52399-40BD-4F44-BD5C-C105A862A70E}"/>
    <cellStyle name="40% - Accent5 18 2 2" xfId="4321" xr:uid="{09DA78D6-3A0B-4AD9-B8E7-7A5496ED4200}"/>
    <cellStyle name="40% - Accent5 18 3" xfId="3009" xr:uid="{F0A0BF9D-A04C-4EB1-8349-6F07B36E6481}"/>
    <cellStyle name="40% - Accent5 19" xfId="399" xr:uid="{7E52886F-B64B-487C-91FE-1DF3F23CBE61}"/>
    <cellStyle name="40% - Accent5 19 2" xfId="1721" xr:uid="{EE4B75CB-DC1F-41EE-B4A9-B57C092FA68E}"/>
    <cellStyle name="40% - Accent5 19 2 2" xfId="4341" xr:uid="{7EBF4D4C-A02E-4770-8BFF-D840C27A42B0}"/>
    <cellStyle name="40% - Accent5 19 3" xfId="3029" xr:uid="{800F116F-33EC-4A49-8378-AD30CDF7EEF0}"/>
    <cellStyle name="40% - Accent5 2" xfId="58" xr:uid="{786C197A-E22B-4E49-90F1-0E0A7296590D}"/>
    <cellStyle name="40% - Accent5 2 2" xfId="1380" xr:uid="{6B93A4D6-529C-4F8F-A0C6-925EE9ADCB2F}"/>
    <cellStyle name="40% - Accent5 2 2 2" xfId="4001" xr:uid="{45595302-AF8B-48CC-9FC3-28DF07942AAE}"/>
    <cellStyle name="40% - Accent5 2 3" xfId="2689" xr:uid="{EA99A58E-C711-472C-AF86-783095D53544}"/>
    <cellStyle name="40% - Accent5 20" xfId="419" xr:uid="{886BA59B-D784-4C9D-B969-9DB203295488}"/>
    <cellStyle name="40% - Accent5 20 2" xfId="1741" xr:uid="{1FD01F3B-001B-4766-AFED-1FE3623DE7A6}"/>
    <cellStyle name="40% - Accent5 20 2 2" xfId="4361" xr:uid="{E6EEF29B-A1AA-42C7-83CE-B3AC9BB599CA}"/>
    <cellStyle name="40% - Accent5 20 3" xfId="3049" xr:uid="{E9D29F7A-2552-4073-8E87-DDC28B99E6AB}"/>
    <cellStyle name="40% - Accent5 21" xfId="439" xr:uid="{410F94E2-0190-44F5-94F7-43CAFB0F9555}"/>
    <cellStyle name="40% - Accent5 21 2" xfId="1761" xr:uid="{BC932B7A-1D8C-48E0-9B60-1AA940BC15BE}"/>
    <cellStyle name="40% - Accent5 21 2 2" xfId="4381" xr:uid="{B0180AA6-169C-4BC5-B162-1E1A3517EC41}"/>
    <cellStyle name="40% - Accent5 21 3" xfId="3069" xr:uid="{F6CD9999-371F-4217-B1E2-55DC0996BD36}"/>
    <cellStyle name="40% - Accent5 22" xfId="459" xr:uid="{37AA05B0-AEE8-49A7-908F-39722E28F323}"/>
    <cellStyle name="40% - Accent5 22 2" xfId="1781" xr:uid="{E7795BA7-653D-4FA9-8615-37C879974726}"/>
    <cellStyle name="40% - Accent5 22 2 2" xfId="4401" xr:uid="{DB6BC52E-9D3E-47FD-AA35-A81FE528BC63}"/>
    <cellStyle name="40% - Accent5 22 3" xfId="3089" xr:uid="{F2E46BC1-A5C0-407A-8E7B-CE290D3C9B53}"/>
    <cellStyle name="40% - Accent5 23" xfId="479" xr:uid="{E2C3B6CC-6C6C-4FEF-B4CF-D4DDE6CB966F}"/>
    <cellStyle name="40% - Accent5 23 2" xfId="1801" xr:uid="{A6315F57-F7D1-41B4-A7F5-108349805F23}"/>
    <cellStyle name="40% - Accent5 23 2 2" xfId="4421" xr:uid="{F814C3E2-D6D5-4E6E-BE7D-5CD1E48D9D18}"/>
    <cellStyle name="40% - Accent5 23 3" xfId="3109" xr:uid="{DF0114DF-F973-4A73-9075-BD1F32E6ED31}"/>
    <cellStyle name="40% - Accent5 24" xfId="499" xr:uid="{F1AAA945-1009-4DF7-B4A5-EEA36A8DE800}"/>
    <cellStyle name="40% - Accent5 24 2" xfId="1821" xr:uid="{2E0AFC35-1561-4616-8759-EE37EAEB8D56}"/>
    <cellStyle name="40% - Accent5 24 2 2" xfId="4441" xr:uid="{75FAAA3E-3ADF-4768-90CD-B7BD2A311C2F}"/>
    <cellStyle name="40% - Accent5 24 3" xfId="3129" xr:uid="{D442A1BB-0650-43F1-9E67-BD80E091B47E}"/>
    <cellStyle name="40% - Accent5 25" xfId="519" xr:uid="{A13804D2-31BA-465E-8902-E43B41B97522}"/>
    <cellStyle name="40% - Accent5 25 2" xfId="1841" xr:uid="{2708D39C-C8B0-419F-8FF0-2E8F0383283F}"/>
    <cellStyle name="40% - Accent5 25 2 2" xfId="4461" xr:uid="{94812EC9-A599-4D81-A7AE-1C1D9931A647}"/>
    <cellStyle name="40% - Accent5 25 3" xfId="3149" xr:uid="{33E23C55-0E36-4FDA-8B3D-73908E746CE6}"/>
    <cellStyle name="40% - Accent5 26" xfId="539" xr:uid="{0B97BBDC-DAAB-40DE-997A-01581347AEF5}"/>
    <cellStyle name="40% - Accent5 26 2" xfId="1861" xr:uid="{22FF0661-E9FE-4699-B3D2-7AD09970E9DC}"/>
    <cellStyle name="40% - Accent5 26 2 2" xfId="4481" xr:uid="{9320294E-44A6-4182-B90A-C9CB5937EDF3}"/>
    <cellStyle name="40% - Accent5 26 3" xfId="3169" xr:uid="{E641C320-42DB-408D-B88D-89CF13A36886}"/>
    <cellStyle name="40% - Accent5 27" xfId="559" xr:uid="{77E2FA9B-4C89-4278-9A36-EDF40A7126FD}"/>
    <cellStyle name="40% - Accent5 27 2" xfId="1881" xr:uid="{8C8551DB-7419-4A19-A165-6982CA9E2D76}"/>
    <cellStyle name="40% - Accent5 27 2 2" xfId="4501" xr:uid="{06F09A25-A8C8-41FE-93E6-A7291F858164}"/>
    <cellStyle name="40% - Accent5 27 3" xfId="3189" xr:uid="{C2F6F0BF-00BC-4288-B11B-7FF87CAAFB00}"/>
    <cellStyle name="40% - Accent5 28" xfId="1059" xr:uid="{4B786C57-A18A-4AA9-8FA7-491C96B4CAE6}"/>
    <cellStyle name="40% - Accent5 28 2" xfId="2381" xr:uid="{4AD8D22E-22E8-42AD-96C3-5FFB42A53716}"/>
    <cellStyle name="40% - Accent5 28 2 2" xfId="5001" xr:uid="{022B4D93-0A8E-4636-BF08-04D52EE564B1}"/>
    <cellStyle name="40% - Accent5 28 3" xfId="3689" xr:uid="{BB6AEBFE-0F1A-48E0-AA6A-4C69782BD2AE}"/>
    <cellStyle name="40% - Accent5 29" xfId="1079" xr:uid="{29B57B8D-BB1C-42F3-B9DD-5A38D2FF083C}"/>
    <cellStyle name="40% - Accent5 29 2" xfId="2401" xr:uid="{C6D7519C-DC93-4BC4-9EE3-97BFA1CBC7DA}"/>
    <cellStyle name="40% - Accent5 29 2 2" xfId="5021" xr:uid="{BF050A77-11E5-4855-9A23-D74452D06321}"/>
    <cellStyle name="40% - Accent5 29 3" xfId="3709" xr:uid="{FEA978A0-F50F-40ED-AE6F-5B42D3A9DDA4}"/>
    <cellStyle name="40% - Accent5 3" xfId="78" xr:uid="{0BCE0DA4-7520-4857-B480-80F6F6DBB3D0}"/>
    <cellStyle name="40% - Accent5 3 2" xfId="1400" xr:uid="{3139D744-D0E3-4E67-B78C-BEF6F15DA208}"/>
    <cellStyle name="40% - Accent5 3 2 2" xfId="4021" xr:uid="{F3043BB9-0081-49DF-A033-BF9EE7912712}"/>
    <cellStyle name="40% - Accent5 3 3" xfId="2709" xr:uid="{77825EE0-FE7E-40F1-8315-3ABA0CECE90A}"/>
    <cellStyle name="40% - Accent5 30" xfId="1099" xr:uid="{198466FD-01B2-4F0E-8088-FB6BF29B827F}"/>
    <cellStyle name="40% - Accent5 30 2" xfId="2421" xr:uid="{98889D1A-E835-43C0-B289-30E132B73C7B}"/>
    <cellStyle name="40% - Accent5 30 2 2" xfId="5041" xr:uid="{2F2471DA-B678-4837-A451-5D347E43D20A}"/>
    <cellStyle name="40% - Accent5 30 3" xfId="3729" xr:uid="{DA1FE2B4-1B4D-4EB1-8E07-E07515B56D66}"/>
    <cellStyle name="40% - Accent5 31" xfId="1119" xr:uid="{3755CC5D-4A04-427A-9654-73AE3CD9D3DB}"/>
    <cellStyle name="40% - Accent5 31 2" xfId="2441" xr:uid="{310263D5-6CE7-445B-A3E5-ECFE8692BCC9}"/>
    <cellStyle name="40% - Accent5 31 2 2" xfId="5061" xr:uid="{9854B17B-FCD3-4B32-B5B2-1FB664A93056}"/>
    <cellStyle name="40% - Accent5 31 3" xfId="3749" xr:uid="{1A1218FE-9E54-43E3-9CEB-EF0FEB03908C}"/>
    <cellStyle name="40% - Accent5 4" xfId="99" xr:uid="{8B1B5E01-1B6C-4C48-8822-42A36B74B5CC}"/>
    <cellStyle name="40% - Accent5 4 2" xfId="1421" xr:uid="{F02A75D9-AA30-4269-8179-02D292A2C03D}"/>
    <cellStyle name="40% - Accent5 4 2 2" xfId="4041" xr:uid="{237B9983-974D-4079-A647-A85E0510F8AD}"/>
    <cellStyle name="40% - Accent5 4 3" xfId="2729" xr:uid="{FC6EBF13-7F2A-4C80-AC4A-F67E72F96BD6}"/>
    <cellStyle name="40% - Accent5 5" xfId="119" xr:uid="{0C13511B-0DB5-4075-A72D-A00CE2FC5982}"/>
    <cellStyle name="40% - Accent5 5 2" xfId="1441" xr:uid="{DE5562CB-1F05-4F16-8979-A404A658B9BE}"/>
    <cellStyle name="40% - Accent5 5 2 2" xfId="4061" xr:uid="{4555349A-7739-4A0A-898C-227B4BE2E629}"/>
    <cellStyle name="40% - Accent5 5 3" xfId="2749" xr:uid="{5DED512E-22CD-480F-9960-A9A7D97D418C}"/>
    <cellStyle name="40% - Accent5 6" xfId="139" xr:uid="{AC7E311E-8FE6-41B5-9C29-06E6C5F6AAB0}"/>
    <cellStyle name="40% - Accent5 6 2" xfId="1461" xr:uid="{4869DA4B-CC75-4FCC-92B6-8E4EFD8DEBA4}"/>
    <cellStyle name="40% - Accent5 6 2 2" xfId="4081" xr:uid="{69B49005-C5E9-402C-80D5-6C682761CC1A}"/>
    <cellStyle name="40% - Accent5 6 3" xfId="2769" xr:uid="{77FAC283-78E0-4EAA-B2E0-D337DB6556A2}"/>
    <cellStyle name="40% - Accent5 7" xfId="159" xr:uid="{DC791AC6-B5EF-4F0E-BF6C-05D5FCF6AB25}"/>
    <cellStyle name="40% - Accent5 7 2" xfId="1481" xr:uid="{085D82C4-A372-4AE6-B472-8D0AA2C63047}"/>
    <cellStyle name="40% - Accent5 7 2 2" xfId="4101" xr:uid="{8A8B6711-072F-4C34-BFB0-4E45E508C114}"/>
    <cellStyle name="40% - Accent5 7 3" xfId="2789" xr:uid="{418FF0F7-B46A-46DD-8B43-B780F3D5D072}"/>
    <cellStyle name="40% - Accent5 8" xfId="179" xr:uid="{E378B427-5958-484B-9E57-4F3B268A4F80}"/>
    <cellStyle name="40% - Accent5 8 2" xfId="1501" xr:uid="{43C528C8-DD14-43B1-B997-9E89CE159B51}"/>
    <cellStyle name="40% - Accent5 8 2 2" xfId="4121" xr:uid="{8CA9721E-E601-49ED-AF9D-58360EC301EC}"/>
    <cellStyle name="40% - Accent5 8 3" xfId="2809" xr:uid="{99D86658-ADF0-462A-856A-10D278F45038}"/>
    <cellStyle name="40% - Accent5 9" xfId="199" xr:uid="{71801094-36B1-4789-9A33-77A36E954EC2}"/>
    <cellStyle name="40% - Accent5 9 2" xfId="1521" xr:uid="{9E40399A-2BD6-4F12-9507-176A9F8F6201}"/>
    <cellStyle name="40% - Accent5 9 2 2" xfId="4141" xr:uid="{C185B0BF-6135-435D-A22A-D02D26EFBF83}"/>
    <cellStyle name="40% - Accent5 9 3" xfId="2829" xr:uid="{B9212407-7913-42B5-B195-FE01C8C3E134}"/>
    <cellStyle name="40% - Accent6 10" xfId="222" xr:uid="{508C33D0-E96A-484F-99CD-B842747089D3}"/>
    <cellStyle name="40% - Accent6 10 2" xfId="1544" xr:uid="{B0A9B786-EEBC-41FF-AEE6-6125E021EAED}"/>
    <cellStyle name="40% - Accent6 10 2 2" xfId="4164" xr:uid="{55EC9814-D5EC-493B-B256-CC9943A47823}"/>
    <cellStyle name="40% - Accent6 10 3" xfId="2852" xr:uid="{CCA32BD2-414B-45BD-9864-4DCF9FD37480}"/>
    <cellStyle name="40% - Accent6 11" xfId="242" xr:uid="{F11A6AEF-D0E7-415A-B7AE-9ABEC628C938}"/>
    <cellStyle name="40% - Accent6 11 2" xfId="1564" xr:uid="{805DDEC7-5C52-4993-AB3D-9DF7C9D19F6B}"/>
    <cellStyle name="40% - Accent6 11 2 2" xfId="4184" xr:uid="{48232779-D48F-4C69-BBC2-CBEFF9901C0E}"/>
    <cellStyle name="40% - Accent6 11 3" xfId="2872" xr:uid="{B734A7B4-66B4-41D6-9004-BC5A3589A5E8}"/>
    <cellStyle name="40% - Accent6 12" xfId="262" xr:uid="{6823A491-13D0-4CCC-AC6C-EA25FD6465F5}"/>
    <cellStyle name="40% - Accent6 12 2" xfId="1584" xr:uid="{96009F7C-4F5F-4F1F-818F-48D625C688FC}"/>
    <cellStyle name="40% - Accent6 12 2 2" xfId="4204" xr:uid="{4B0CC9AA-0FA1-43EB-B9C3-4D35FFECE61B}"/>
    <cellStyle name="40% - Accent6 12 3" xfId="2892" xr:uid="{540AC28B-B726-4227-A0E5-A7D67A66E363}"/>
    <cellStyle name="40% - Accent6 13" xfId="282" xr:uid="{BEF0023A-0D39-4D5E-BC14-CB9B65AE7CC0}"/>
    <cellStyle name="40% - Accent6 13 2" xfId="1604" xr:uid="{7F0FE0F7-423F-40C7-9EBC-484261E09872}"/>
    <cellStyle name="40% - Accent6 13 2 2" xfId="4224" xr:uid="{F9327926-2544-4734-99E6-4E1DC6C7DB46}"/>
    <cellStyle name="40% - Accent6 13 3" xfId="2912" xr:uid="{5879F05C-14B1-49D2-AED4-EB03176EE06B}"/>
    <cellStyle name="40% - Accent6 14" xfId="302" xr:uid="{C037F35E-B5DA-4376-8D97-EF992CD32094}"/>
    <cellStyle name="40% - Accent6 14 2" xfId="1624" xr:uid="{C02F42C2-97A2-4672-9F77-DEBF58A2C5DF}"/>
    <cellStyle name="40% - Accent6 14 2 2" xfId="4244" xr:uid="{80A37FCE-C7D9-429E-91F5-C5EDDDD6A092}"/>
    <cellStyle name="40% - Accent6 14 3" xfId="2932" xr:uid="{DCC97CAF-AD60-4061-9307-4ACB4C7397A8}"/>
    <cellStyle name="40% - Accent6 15" xfId="322" xr:uid="{B7E0A17B-AE91-4770-A6B2-34351287A676}"/>
    <cellStyle name="40% - Accent6 15 2" xfId="1644" xr:uid="{78E9CF16-9A25-4AC2-AF69-75B06072D012}"/>
    <cellStyle name="40% - Accent6 15 2 2" xfId="4264" xr:uid="{105B67C4-718F-40AD-9BBA-A06AE4D5099F}"/>
    <cellStyle name="40% - Accent6 15 3" xfId="2952" xr:uid="{741AEC10-DCCB-4682-86CF-794F85970755}"/>
    <cellStyle name="40% - Accent6 16" xfId="342" xr:uid="{FF1B54E3-13C3-49AF-A187-DEAFD1A8F5C1}"/>
    <cellStyle name="40% - Accent6 16 2" xfId="1664" xr:uid="{74C87DDA-0BE0-4C4D-A618-AFBDC6665A5C}"/>
    <cellStyle name="40% - Accent6 16 2 2" xfId="4284" xr:uid="{9C0357FF-FDB0-4B83-B38D-30E3771EFB50}"/>
    <cellStyle name="40% - Accent6 16 3" xfId="2972" xr:uid="{0367F5A3-7195-4914-8F25-9EB4836CB9E3}"/>
    <cellStyle name="40% - Accent6 17" xfId="362" xr:uid="{D9823337-655B-4BA9-875D-62F9E8551D17}"/>
    <cellStyle name="40% - Accent6 17 2" xfId="1684" xr:uid="{8869F7DA-136D-4968-A81D-F8007E13467C}"/>
    <cellStyle name="40% - Accent6 17 2 2" xfId="4304" xr:uid="{86555651-2120-43C4-8335-10DADFE94CDF}"/>
    <cellStyle name="40% - Accent6 17 3" xfId="2992" xr:uid="{DDAC5BE9-4BB6-49EA-B786-693037CF9A64}"/>
    <cellStyle name="40% - Accent6 18" xfId="382" xr:uid="{9534BA78-3FD2-4B3E-9727-90D98ECCCE64}"/>
    <cellStyle name="40% - Accent6 18 2" xfId="1704" xr:uid="{9A38E6E9-AB7E-45D0-AA33-DEC584CECE77}"/>
    <cellStyle name="40% - Accent6 18 2 2" xfId="4324" xr:uid="{627C0BAE-17CB-4F72-B428-86C476DC6310}"/>
    <cellStyle name="40% - Accent6 18 3" xfId="3012" xr:uid="{4EF6528B-F1DB-4F8E-893E-A479A2ECDF66}"/>
    <cellStyle name="40% - Accent6 19" xfId="402" xr:uid="{027BA47E-66BE-4F16-A8B0-C56F3FB70A17}"/>
    <cellStyle name="40% - Accent6 19 2" xfId="1724" xr:uid="{687E52C6-20FB-4E32-BF9F-6CA12230D352}"/>
    <cellStyle name="40% - Accent6 19 2 2" xfId="4344" xr:uid="{C98C4BF0-0003-4E2E-89D0-7347FAE5900A}"/>
    <cellStyle name="40% - Accent6 19 3" xfId="3032" xr:uid="{598CBD76-A4D7-4EBC-BA41-B34FAAEF7381}"/>
    <cellStyle name="40% - Accent6 2" xfId="61" xr:uid="{C2D6C620-9645-4788-96F3-53A91FF91208}"/>
    <cellStyle name="40% - Accent6 2 2" xfId="1383" xr:uid="{125FE26E-4D0C-42ED-8F82-D2DBAB49942C}"/>
    <cellStyle name="40% - Accent6 2 2 2" xfId="4004" xr:uid="{F33A6AFD-1F54-41FD-BE1A-FA8FF4A45F9C}"/>
    <cellStyle name="40% - Accent6 2 3" xfId="2692" xr:uid="{55D5D552-D7AB-46E7-9DC7-35928C817D71}"/>
    <cellStyle name="40% - Accent6 20" xfId="422" xr:uid="{44EA4707-276C-4979-80F0-A4CF117381B0}"/>
    <cellStyle name="40% - Accent6 20 2" xfId="1744" xr:uid="{3108AA8C-4343-448A-B1DA-80681754CB49}"/>
    <cellStyle name="40% - Accent6 20 2 2" xfId="4364" xr:uid="{82147BA0-53A1-40F2-ACB7-7D40B3AE01FE}"/>
    <cellStyle name="40% - Accent6 20 3" xfId="3052" xr:uid="{426BCCAB-5677-45C3-9D7B-056E85E02FF9}"/>
    <cellStyle name="40% - Accent6 21" xfId="442" xr:uid="{9E6F0EB0-4615-47EB-9F32-96244231D8D6}"/>
    <cellStyle name="40% - Accent6 21 2" xfId="1764" xr:uid="{139857DE-B4D2-47C1-80FD-A870077D482A}"/>
    <cellStyle name="40% - Accent6 21 2 2" xfId="4384" xr:uid="{E415D465-CEC6-44DC-897C-C20085410C1C}"/>
    <cellStyle name="40% - Accent6 21 3" xfId="3072" xr:uid="{602AFD60-973D-4ECE-A890-4236839E6D43}"/>
    <cellStyle name="40% - Accent6 22" xfId="462" xr:uid="{182E170E-9587-428E-8967-C6876AABCDFE}"/>
    <cellStyle name="40% - Accent6 22 2" xfId="1784" xr:uid="{1DF296D9-962D-4553-A064-F53A78E3E994}"/>
    <cellStyle name="40% - Accent6 22 2 2" xfId="4404" xr:uid="{41D29E9D-CDA2-4EAE-A7E0-E910CA4B03A7}"/>
    <cellStyle name="40% - Accent6 22 3" xfId="3092" xr:uid="{0E4668EB-88C1-4AA3-8C06-4C164FBF103E}"/>
    <cellStyle name="40% - Accent6 23" xfId="482" xr:uid="{C148D844-ACAD-4F2B-ACD7-A5CB6BC5C5E3}"/>
    <cellStyle name="40% - Accent6 23 2" xfId="1804" xr:uid="{927BFFF7-12E8-496A-8064-BBDD991941D5}"/>
    <cellStyle name="40% - Accent6 23 2 2" xfId="4424" xr:uid="{37009163-83C0-4656-9F54-F6FE3C0F72B2}"/>
    <cellStyle name="40% - Accent6 23 3" xfId="3112" xr:uid="{644FAACA-B785-444E-A985-8CCCE634C920}"/>
    <cellStyle name="40% - Accent6 24" xfId="502" xr:uid="{55A97675-7A88-472D-A3AF-29D8D80695AE}"/>
    <cellStyle name="40% - Accent6 24 2" xfId="1824" xr:uid="{D71EB235-EC61-4665-8742-ABB820713EFE}"/>
    <cellStyle name="40% - Accent6 24 2 2" xfId="4444" xr:uid="{4AE67117-D594-45B2-B5C9-20FFA201A9FB}"/>
    <cellStyle name="40% - Accent6 24 3" xfId="3132" xr:uid="{9EDCEAED-15AA-4EBE-AC7F-A46700145207}"/>
    <cellStyle name="40% - Accent6 25" xfId="522" xr:uid="{1949AC35-C493-4A73-A38E-DA6C4D3275A6}"/>
    <cellStyle name="40% - Accent6 25 2" xfId="1844" xr:uid="{7E698DE2-4ACD-4CA6-990B-633CEFAE1212}"/>
    <cellStyle name="40% - Accent6 25 2 2" xfId="4464" xr:uid="{321EC3ED-267A-4921-97F9-0E96BCEC3F0F}"/>
    <cellStyle name="40% - Accent6 25 3" xfId="3152" xr:uid="{CB559725-95BD-46E3-8846-45CBD2485BD6}"/>
    <cellStyle name="40% - Accent6 26" xfId="542" xr:uid="{0A301B21-BBE6-4242-A2B8-F813521470FC}"/>
    <cellStyle name="40% - Accent6 26 2" xfId="1864" xr:uid="{4124A4B7-2A7B-494B-80E5-CADAE91E64C5}"/>
    <cellStyle name="40% - Accent6 26 2 2" xfId="4484" xr:uid="{8F4F3B35-149E-492E-9D37-ABB2C32D759C}"/>
    <cellStyle name="40% - Accent6 26 3" xfId="3172" xr:uid="{9C940B37-F562-4347-952D-D15B2D06A5A7}"/>
    <cellStyle name="40% - Accent6 27" xfId="562" xr:uid="{DAA1F27C-CE34-46B0-8268-08EA9E41DB0F}"/>
    <cellStyle name="40% - Accent6 27 2" xfId="1884" xr:uid="{80675D37-DA4A-4866-BB53-7D003F44DA1D}"/>
    <cellStyle name="40% - Accent6 27 2 2" xfId="4504" xr:uid="{0188BC7A-36AB-43B3-B8B3-C2D0BDAC0183}"/>
    <cellStyle name="40% - Accent6 27 3" xfId="3192" xr:uid="{4C7D3036-A482-4F70-B6A6-343C6073FD71}"/>
    <cellStyle name="40% - Accent6 28" xfId="1062" xr:uid="{1CCC1AF2-DEEF-44D9-BC23-AF47FF1DCFA5}"/>
    <cellStyle name="40% - Accent6 28 2" xfId="2384" xr:uid="{63F32E58-CBB0-4FF9-9F32-64686C6003DE}"/>
    <cellStyle name="40% - Accent6 28 2 2" xfId="5004" xr:uid="{C4DED678-A7D3-4AAE-830B-1DD0F8992D12}"/>
    <cellStyle name="40% - Accent6 28 3" xfId="3692" xr:uid="{8B590256-BCF7-4B76-BB9A-FF19C4BF7C0D}"/>
    <cellStyle name="40% - Accent6 29" xfId="1082" xr:uid="{375AE67B-8578-409C-AFBE-E4D1CCE1AE19}"/>
    <cellStyle name="40% - Accent6 29 2" xfId="2404" xr:uid="{6872DF1E-7E33-4146-8CD9-D2CB27D00456}"/>
    <cellStyle name="40% - Accent6 29 2 2" xfId="5024" xr:uid="{32495972-B3DE-461F-835E-A065C29D0CC6}"/>
    <cellStyle name="40% - Accent6 29 3" xfId="3712" xr:uid="{1684FDD0-684C-4CB9-BE21-46E96AA300C9}"/>
    <cellStyle name="40% - Accent6 3" xfId="81" xr:uid="{99E55037-2656-4782-B925-23C293C758A5}"/>
    <cellStyle name="40% - Accent6 3 2" xfId="1403" xr:uid="{5D71C2EE-2D92-42EE-B3E1-002ACD18F187}"/>
    <cellStyle name="40% - Accent6 3 2 2" xfId="4024" xr:uid="{7B11D074-7662-4E55-9F30-CB9F8201BD7D}"/>
    <cellStyle name="40% - Accent6 3 3" xfId="2712" xr:uid="{2AB2AAA1-3155-4A32-9839-E881BF53B1D3}"/>
    <cellStyle name="40% - Accent6 30" xfId="1102" xr:uid="{B369EDF0-01B3-41BF-9D3F-4846A91A0F5C}"/>
    <cellStyle name="40% - Accent6 30 2" xfId="2424" xr:uid="{F27001DB-62EF-4126-A1E2-A7F8B16FDB99}"/>
    <cellStyle name="40% - Accent6 30 2 2" xfId="5044" xr:uid="{78687234-566C-402B-90E1-8299393E75B9}"/>
    <cellStyle name="40% - Accent6 30 3" xfId="3732" xr:uid="{9D631BA7-C8C8-4B7F-97A1-2D819214334B}"/>
    <cellStyle name="40% - Accent6 31" xfId="1122" xr:uid="{513D9ECD-866E-45C6-86F2-5C95ACAAE59D}"/>
    <cellStyle name="40% - Accent6 31 2" xfId="2444" xr:uid="{8F674C2B-D4C6-4B72-893E-331065CE9378}"/>
    <cellStyle name="40% - Accent6 31 2 2" xfId="5064" xr:uid="{D64B5E07-37BA-4DF1-962F-CA2AA9084B8F}"/>
    <cellStyle name="40% - Accent6 31 3" xfId="3752" xr:uid="{AA271260-44E3-4BED-BAD7-119805F85FCC}"/>
    <cellStyle name="40% - Accent6 4" xfId="102" xr:uid="{A7DAAF4D-EBE9-4896-94D5-E7D7E1187678}"/>
    <cellStyle name="40% - Accent6 4 2" xfId="1424" xr:uid="{7C8069F2-5D01-40E1-8076-ADA3CE81750E}"/>
    <cellStyle name="40% - Accent6 4 2 2" xfId="4044" xr:uid="{17B3468D-A468-47B3-817F-0E3FA7FFA504}"/>
    <cellStyle name="40% - Accent6 4 3" xfId="2732" xr:uid="{23A5B946-079A-46D8-BA98-1806106EC373}"/>
    <cellStyle name="40% - Accent6 5" xfId="122" xr:uid="{63B5DCA7-190D-4829-A48E-6DC67C015109}"/>
    <cellStyle name="40% - Accent6 5 2" xfId="1444" xr:uid="{A15BC8A2-40FA-494B-B662-AF50DCB66EFE}"/>
    <cellStyle name="40% - Accent6 5 2 2" xfId="4064" xr:uid="{66496E96-D7C5-4E61-8D90-7B0AE1FF5D50}"/>
    <cellStyle name="40% - Accent6 5 3" xfId="2752" xr:uid="{38AF6E05-855B-4D6A-B6EA-12811FDBA3EF}"/>
    <cellStyle name="40% - Accent6 6" xfId="142" xr:uid="{AA9F866B-941E-40C9-8FE2-16F7EEA0DBF6}"/>
    <cellStyle name="40% - Accent6 6 2" xfId="1464" xr:uid="{F60343E3-5AB2-4314-A910-D24951F36F6E}"/>
    <cellStyle name="40% - Accent6 6 2 2" xfId="4084" xr:uid="{59F600C0-2C89-4647-B443-4C754937D783}"/>
    <cellStyle name="40% - Accent6 6 3" xfId="2772" xr:uid="{0813C8B9-B6A8-4F7D-AEEE-953F4A38BAD5}"/>
    <cellStyle name="40% - Accent6 7" xfId="162" xr:uid="{D1DEE29D-7F63-4129-8E82-5C7B2A79FEA7}"/>
    <cellStyle name="40% - Accent6 7 2" xfId="1484" xr:uid="{32131D16-79B5-4570-9C1D-12390D0F9CF2}"/>
    <cellStyle name="40% - Accent6 7 2 2" xfId="4104" xr:uid="{83BD4C0F-F12B-43E1-8055-5DCB1D18D5E0}"/>
    <cellStyle name="40% - Accent6 7 3" xfId="2792" xr:uid="{5263D8CB-C4BE-4287-882B-AE2894299558}"/>
    <cellStyle name="40% - Accent6 8" xfId="182" xr:uid="{C4C433F7-B74D-4576-88DC-C8AB5B37ECAD}"/>
    <cellStyle name="40% - Accent6 8 2" xfId="1504" xr:uid="{4F97A7CC-5734-4816-BFBA-4124D086C2A3}"/>
    <cellStyle name="40% - Accent6 8 2 2" xfId="4124" xr:uid="{774A608D-0D25-4E1C-8CBE-A84439255DFD}"/>
    <cellStyle name="40% - Accent6 8 3" xfId="2812" xr:uid="{491377C0-6A1E-4D58-BEA0-3A4762770E6B}"/>
    <cellStyle name="40% - Accent6 9" xfId="202" xr:uid="{28115482-DC76-42D2-B641-5D0B3B3E59DE}"/>
    <cellStyle name="40% - Accent6 9 2" xfId="1524" xr:uid="{1450BB3F-FDC6-43D6-BE41-1C517222F730}"/>
    <cellStyle name="40% - Accent6 9 2 2" xfId="4144" xr:uid="{9200F822-4381-48AE-9799-E8AEA7277196}"/>
    <cellStyle name="40% - Accent6 9 3" xfId="2832" xr:uid="{F60B9C20-D998-42A8-A1B7-11DE0D16F7E9}"/>
    <cellStyle name="40% - Énfasis1" xfId="19" builtinId="31" customBuiltin="1"/>
    <cellStyle name="40% - Énfasis1 10" xfId="727" xr:uid="{4E280335-815C-4B12-A632-373307B8187C}"/>
    <cellStyle name="40% - Énfasis1 10 2" xfId="2049" xr:uid="{EDE25A0B-4734-4FBD-9DF9-C195A320FB9A}"/>
    <cellStyle name="40% - Énfasis1 10 2 2" xfId="4669" xr:uid="{CD7F53B8-971C-4936-BAB4-1365E9BA61B5}"/>
    <cellStyle name="40% - Énfasis1 10 3" xfId="3357" xr:uid="{D8AAE4B1-F153-46A4-8916-D834A6572435}"/>
    <cellStyle name="40% - Énfasis1 11" xfId="747" xr:uid="{027CBDAE-BE95-4477-B847-1489EBCFCF6B}"/>
    <cellStyle name="40% - Énfasis1 11 2" xfId="2069" xr:uid="{3B1DB28D-CD0C-4778-89AF-400A0B610CCC}"/>
    <cellStyle name="40% - Énfasis1 11 2 2" xfId="4689" xr:uid="{53EA6A85-F25D-41E8-BA4D-641FB342C3FF}"/>
    <cellStyle name="40% - Énfasis1 11 3" xfId="3377" xr:uid="{8ED49658-18B6-406D-90DD-5BA1321AD58A}"/>
    <cellStyle name="40% - Énfasis1 12" xfId="767" xr:uid="{C41BC370-F1E9-4AD4-86C8-AFE14FAF1974}"/>
    <cellStyle name="40% - Énfasis1 12 2" xfId="2089" xr:uid="{003BB786-1498-4B37-9EB4-6A304BC2C108}"/>
    <cellStyle name="40% - Énfasis1 12 2 2" xfId="4709" xr:uid="{4DF8DEB4-B486-45A1-8D9A-27F012502AF1}"/>
    <cellStyle name="40% - Énfasis1 12 3" xfId="3397" xr:uid="{226DAEE6-F3AA-460B-99FE-118CF6A67EC0}"/>
    <cellStyle name="40% - Énfasis1 13" xfId="787" xr:uid="{FDA1D639-174E-4819-AF7C-920CAF557198}"/>
    <cellStyle name="40% - Énfasis1 13 2" xfId="2109" xr:uid="{7FF6F314-AE55-4D95-A0FA-E053C359E28E}"/>
    <cellStyle name="40% - Énfasis1 13 2 2" xfId="4729" xr:uid="{56149489-C0E7-45A2-8ACD-2DF56CC065C3}"/>
    <cellStyle name="40% - Énfasis1 13 3" xfId="3417" xr:uid="{183B3D1F-0034-4E77-B509-48CFA27579AF}"/>
    <cellStyle name="40% - Énfasis1 14" xfId="807" xr:uid="{3FDF9896-529E-42A5-B87A-0A5DA58571D6}"/>
    <cellStyle name="40% - Énfasis1 14 2" xfId="2129" xr:uid="{71A65266-81A4-40E1-BE7E-A216E5D01D58}"/>
    <cellStyle name="40% - Énfasis1 14 2 2" xfId="4749" xr:uid="{743660DD-B584-42EA-8F83-0379C3803F6A}"/>
    <cellStyle name="40% - Énfasis1 14 3" xfId="3437" xr:uid="{69993D6C-C219-4B5B-9B3F-F29E4ED3D18E}"/>
    <cellStyle name="40% - Énfasis1 15" xfId="827" xr:uid="{8AF40268-1BE3-44AA-8C8F-25B8DF55AB8F}"/>
    <cellStyle name="40% - Énfasis1 15 2" xfId="2149" xr:uid="{1596ADDD-A648-43CC-ABCF-6011B1CBCAA3}"/>
    <cellStyle name="40% - Énfasis1 15 2 2" xfId="4769" xr:uid="{0AAC891C-893E-4C9D-B8EF-832331AC6990}"/>
    <cellStyle name="40% - Énfasis1 15 3" xfId="3457" xr:uid="{744BCFB5-0B45-4517-A75B-B913AF8FC769}"/>
    <cellStyle name="40% - Énfasis1 16" xfId="847" xr:uid="{71F87519-CAAF-420C-8013-3C68D0606F79}"/>
    <cellStyle name="40% - Énfasis1 16 2" xfId="2169" xr:uid="{AABCA1D6-EFD1-4E77-9A15-B766BD183AE4}"/>
    <cellStyle name="40% - Énfasis1 16 2 2" xfId="4789" xr:uid="{D94A47BF-935F-4E4E-A20B-1E50A9618E1F}"/>
    <cellStyle name="40% - Énfasis1 16 3" xfId="3477" xr:uid="{849EB431-05AB-422E-A0B3-3F8F93105041}"/>
    <cellStyle name="40% - Énfasis1 17" xfId="867" xr:uid="{94D61CB1-BFC1-4E4F-B4AF-BDC1627432AA}"/>
    <cellStyle name="40% - Énfasis1 17 2" xfId="2189" xr:uid="{49481636-D505-49FC-967D-48C303B622DE}"/>
    <cellStyle name="40% - Énfasis1 17 2 2" xfId="4809" xr:uid="{753E7F0A-DE3F-423D-AEEA-730B920384C8}"/>
    <cellStyle name="40% - Énfasis1 17 3" xfId="3497" xr:uid="{77DE13CB-96C2-4146-9ACD-C88C97C97672}"/>
    <cellStyle name="40% - Énfasis1 18" xfId="887" xr:uid="{AA9AAC88-84EF-46C8-8952-60CE7B2A9228}"/>
    <cellStyle name="40% - Énfasis1 18 2" xfId="2209" xr:uid="{6F715647-2E54-443B-B6E5-6D5D7015D24F}"/>
    <cellStyle name="40% - Énfasis1 18 2 2" xfId="4829" xr:uid="{67CB24A4-8A6A-4298-AD84-B4B6D9DEC09B}"/>
    <cellStyle name="40% - Énfasis1 18 3" xfId="3517" xr:uid="{B34E5DBC-46C8-4045-89D3-F35DE84EB52A}"/>
    <cellStyle name="40% - Énfasis1 19" xfId="907" xr:uid="{CE2E9867-861F-4A38-A3B9-3DA739D40DFF}"/>
    <cellStyle name="40% - Énfasis1 19 2" xfId="2229" xr:uid="{1E4B4CAF-89E2-492E-8B1E-F8F70A714D64}"/>
    <cellStyle name="40% - Énfasis1 19 2 2" xfId="4849" xr:uid="{0114C33E-6AFB-4A9A-BE22-8B028B2814DA}"/>
    <cellStyle name="40% - Énfasis1 19 3" xfId="3537" xr:uid="{720D912A-0455-454C-B2BD-9407829E70A7}"/>
    <cellStyle name="40% - Énfasis1 2" xfId="567" xr:uid="{BC7477C2-18EB-4E3B-9847-7DDD5858995A}"/>
    <cellStyle name="40% - Énfasis1 2 2" xfId="1889" xr:uid="{2E6AC1E3-2757-4451-96D6-0D72760623ED}"/>
    <cellStyle name="40% - Énfasis1 2 2 2" xfId="4509" xr:uid="{FFBADCEC-1ADB-4681-A425-8EE25E0BBF8E}"/>
    <cellStyle name="40% - Énfasis1 2 3" xfId="3197" xr:uid="{8A3F99AF-4B33-4550-8418-F3451B18A789}"/>
    <cellStyle name="40% - Énfasis1 20" xfId="927" xr:uid="{BE6EFC49-72DF-411B-B8D9-2AB8DB7BBD36}"/>
    <cellStyle name="40% - Énfasis1 20 2" xfId="2249" xr:uid="{3277DC8D-9872-44D9-AEB3-6C6CDAC0420E}"/>
    <cellStyle name="40% - Énfasis1 20 2 2" xfId="4869" xr:uid="{D0057E57-D67D-4AE9-BB3F-BBCB7F3A168C}"/>
    <cellStyle name="40% - Énfasis1 20 3" xfId="3557" xr:uid="{609DD962-B7D7-47B2-BB1B-4DDEA412A58C}"/>
    <cellStyle name="40% - Énfasis1 21" xfId="947" xr:uid="{61B20640-921A-47C8-BA29-9FEF73B8D20D}"/>
    <cellStyle name="40% - Énfasis1 21 2" xfId="2269" xr:uid="{2FC54784-720E-42A4-ACE2-46FE08264EC1}"/>
    <cellStyle name="40% - Énfasis1 21 2 2" xfId="4889" xr:uid="{27635FB8-3F47-453C-ABC6-063616EDF419}"/>
    <cellStyle name="40% - Énfasis1 21 3" xfId="3577" xr:uid="{AA419AA3-C083-4B7C-B382-0C34A5B9B6E0}"/>
    <cellStyle name="40% - Énfasis1 22" xfId="967" xr:uid="{D0551680-465F-4653-B150-BDAFCE348921}"/>
    <cellStyle name="40% - Énfasis1 22 2" xfId="2289" xr:uid="{9930DC6D-1904-4A15-B7C9-908CB9F6A632}"/>
    <cellStyle name="40% - Énfasis1 22 2 2" xfId="4909" xr:uid="{FAEB34B4-28B2-4340-9E7B-5BC7DA68BB1D}"/>
    <cellStyle name="40% - Énfasis1 22 3" xfId="3597" xr:uid="{79A90D9C-4570-4FEA-8E49-D3330D20C013}"/>
    <cellStyle name="40% - Énfasis1 23" xfId="987" xr:uid="{973E379D-44D4-439F-8699-C26D7825B04F}"/>
    <cellStyle name="40% - Énfasis1 23 2" xfId="2309" xr:uid="{D34062DB-C438-4692-A8F0-3CE71C59A7BB}"/>
    <cellStyle name="40% - Énfasis1 23 2 2" xfId="4929" xr:uid="{491BEC2A-A4EB-4897-93F2-B8257D2FC2FE}"/>
    <cellStyle name="40% - Énfasis1 23 3" xfId="3617" xr:uid="{FD6BFFC3-B04C-4B71-873F-EFC38D74FE59}"/>
    <cellStyle name="40% - Énfasis1 24" xfId="1007" xr:uid="{7C8C6721-0C96-454B-9073-A3D1A4CD53CE}"/>
    <cellStyle name="40% - Énfasis1 24 2" xfId="2329" xr:uid="{F555C2E3-AB53-4B33-BFB9-7CD40CC6F435}"/>
    <cellStyle name="40% - Énfasis1 24 2 2" xfId="4949" xr:uid="{8560399E-45B3-4033-AA93-FF58B5EB3ECE}"/>
    <cellStyle name="40% - Énfasis1 24 3" xfId="3637" xr:uid="{83857612-4719-48A3-AFD4-7BE49AB451D7}"/>
    <cellStyle name="40% - Énfasis1 25" xfId="1027" xr:uid="{DA5250A7-7F50-4F49-AACC-2868032EFDCF}"/>
    <cellStyle name="40% - Énfasis1 25 2" xfId="2349" xr:uid="{0E075CFB-D61A-4C78-AEB6-123084EECFB9}"/>
    <cellStyle name="40% - Énfasis1 25 2 2" xfId="4969" xr:uid="{C67C223E-3C46-4E2D-9D45-DD09DF937FED}"/>
    <cellStyle name="40% - Énfasis1 25 3" xfId="3657" xr:uid="{32E13EAC-A56D-458E-9DFD-BC4989371D18}"/>
    <cellStyle name="40% - Énfasis1 26" xfId="1127" xr:uid="{B31D78F1-3247-48AD-8CE0-0D25E9FB3BA7}"/>
    <cellStyle name="40% - Énfasis1 26 2" xfId="2449" xr:uid="{BE255C60-55C9-4F8B-8E71-61A5E74DB016}"/>
    <cellStyle name="40% - Énfasis1 26 2 2" xfId="5069" xr:uid="{39BA551D-5EAE-4ADC-92D6-F015DD5C0E12}"/>
    <cellStyle name="40% - Énfasis1 26 3" xfId="3757" xr:uid="{D5A8E243-CC36-40F4-B1BF-41473974EA1B}"/>
    <cellStyle name="40% - Énfasis1 27" xfId="1147" xr:uid="{16322EC2-EE08-4E59-8A11-EC228AE280CD}"/>
    <cellStyle name="40% - Énfasis1 27 2" xfId="2469" xr:uid="{47971B2D-59CE-438F-A71D-74A8573E2CEE}"/>
    <cellStyle name="40% - Énfasis1 27 2 2" xfId="5089" xr:uid="{7B4B2C9E-2E63-439D-9593-1FD211F44525}"/>
    <cellStyle name="40% - Énfasis1 27 3" xfId="3777" xr:uid="{B04C3601-53F7-4AF0-9461-F18B8B95D4B0}"/>
    <cellStyle name="40% - Énfasis1 28" xfId="1167" xr:uid="{CFA6F826-6CD2-40A8-9DF4-252CEDC7842E}"/>
    <cellStyle name="40% - Énfasis1 28 2" xfId="2489" xr:uid="{ECD2404C-DB42-4FBA-9F48-70CAA0DF14EA}"/>
    <cellStyle name="40% - Énfasis1 28 2 2" xfId="5109" xr:uid="{BB577E0D-4E60-45B2-B593-8528CB5D1719}"/>
    <cellStyle name="40% - Énfasis1 28 3" xfId="3797" xr:uid="{9C7B1020-DA21-440E-969F-970D5C0929A8}"/>
    <cellStyle name="40% - Énfasis1 29" xfId="1187" xr:uid="{CFBF21E8-CD1E-4A18-9E17-29C4D3EFA5FF}"/>
    <cellStyle name="40% - Énfasis1 29 2" xfId="2509" xr:uid="{D3D80AD7-B3D3-43FA-BC16-07C3FEE4109C}"/>
    <cellStyle name="40% - Énfasis1 29 2 2" xfId="5129" xr:uid="{F5F79835-C295-49EB-AFCC-0E28748E7CDE}"/>
    <cellStyle name="40% - Énfasis1 29 3" xfId="3817" xr:uid="{E186EB42-50C2-49AD-A0AE-E8F06267EA9E}"/>
    <cellStyle name="40% - Énfasis1 3" xfId="587" xr:uid="{3FC74F64-32C3-4FB4-A0E3-EC9FEC6D122D}"/>
    <cellStyle name="40% - Énfasis1 3 2" xfId="1909" xr:uid="{8A7BF8C5-F90D-4302-9628-B930D3155982}"/>
    <cellStyle name="40% - Énfasis1 3 2 2" xfId="4529" xr:uid="{3E37D37E-89A6-4C91-B9DE-0A27EB421C8D}"/>
    <cellStyle name="40% - Énfasis1 3 3" xfId="3217" xr:uid="{99DBD528-3E18-4019-B94C-59E0F75FBA3B}"/>
    <cellStyle name="40% - Énfasis1 30" xfId="1207" xr:uid="{D052F226-F9F7-4284-BA30-0091D13CF613}"/>
    <cellStyle name="40% - Énfasis1 30 2" xfId="2529" xr:uid="{B5AD690B-EF00-49FC-B16C-3BC8F1C400D3}"/>
    <cellStyle name="40% - Énfasis1 30 2 2" xfId="5149" xr:uid="{01916BD1-9064-43BF-8E4E-30FDF41DD07A}"/>
    <cellStyle name="40% - Énfasis1 30 3" xfId="3837" xr:uid="{E529D5D1-9397-487C-937F-650584E03D10}"/>
    <cellStyle name="40% - Énfasis1 31" xfId="1227" xr:uid="{8AE62665-AD3C-44C9-9814-07DB88F06FC2}"/>
    <cellStyle name="40% - Énfasis1 31 2" xfId="2549" xr:uid="{1CF6CBC6-BDAF-4F73-9641-FD05378B88FB}"/>
    <cellStyle name="40% - Énfasis1 31 2 2" xfId="5169" xr:uid="{DBA03D8F-39BC-4FC5-8EFA-BB7ECA29F7AC}"/>
    <cellStyle name="40% - Énfasis1 31 3" xfId="3857" xr:uid="{2E6E2C87-4A12-48DD-BF53-2324C73A1BB2}"/>
    <cellStyle name="40% - Énfasis1 32" xfId="1247" xr:uid="{EBBEA813-3277-4686-BB38-87E3AF1CBFA9}"/>
    <cellStyle name="40% - Énfasis1 32 2" xfId="2569" xr:uid="{91FE5787-3E2A-40D4-8BA4-AE8FFA4E7269}"/>
    <cellStyle name="40% - Énfasis1 32 2 2" xfId="5189" xr:uid="{6F3184D4-572E-481E-955D-32B1D45AEC0E}"/>
    <cellStyle name="40% - Énfasis1 32 3" xfId="3877" xr:uid="{5F9F94C1-49EF-4406-A30E-E9F0587CCF8D}"/>
    <cellStyle name="40% - Énfasis1 33" xfId="1267" xr:uid="{40353DF3-9714-40AD-9139-161DA7A2A2FA}"/>
    <cellStyle name="40% - Énfasis1 33 2" xfId="2589" xr:uid="{75F41BEF-744B-4B2B-A884-968BC6B477C9}"/>
    <cellStyle name="40% - Énfasis1 33 2 2" xfId="5209" xr:uid="{8970E1CA-731A-4C96-8A20-43926D59B4F7}"/>
    <cellStyle name="40% - Énfasis1 33 3" xfId="3897" xr:uid="{1DA137E1-9DBB-451A-B0A8-DBA2B980B852}"/>
    <cellStyle name="40% - Énfasis1 34" xfId="1287" xr:uid="{92AC1BE7-5378-4098-9513-07D62A2F7E3E}"/>
    <cellStyle name="40% - Énfasis1 34 2" xfId="2609" xr:uid="{3953A29C-C340-4B76-BA53-1D55A809489A}"/>
    <cellStyle name="40% - Énfasis1 34 2 2" xfId="5229" xr:uid="{79A4ACDF-3E46-47F3-95BB-55D952638B15}"/>
    <cellStyle name="40% - Énfasis1 34 3" xfId="3917" xr:uid="{C527A17C-F2A0-4094-8D33-52529753E805}"/>
    <cellStyle name="40% - Énfasis1 35" xfId="1307" xr:uid="{426E5928-F65D-4801-A10E-BECC8CD0CFD9}"/>
    <cellStyle name="40% - Énfasis1 35 2" xfId="2629" xr:uid="{9A3E421C-D569-4AF1-9097-FBE62015412C}"/>
    <cellStyle name="40% - Énfasis1 35 2 2" xfId="5249" xr:uid="{F3A44011-B37D-409B-ADAA-F4AC343BA437}"/>
    <cellStyle name="40% - Énfasis1 35 3" xfId="3937" xr:uid="{3DDB3132-8287-4E2F-AB41-2B26BA8F8CD8}"/>
    <cellStyle name="40% - Énfasis1 36" xfId="1345" xr:uid="{EC479DCB-F11B-464F-A280-366861F6B3E1}"/>
    <cellStyle name="40% - Énfasis1 36 2" xfId="3967" xr:uid="{256DB35C-A722-4A5F-80DF-09F10DC7DEBF}"/>
    <cellStyle name="40% - Énfasis1 37" xfId="2655" xr:uid="{494166D5-D4D7-409E-953F-36BA13ED5F76}"/>
    <cellStyle name="40% - Énfasis1 4" xfId="607" xr:uid="{AF0A9E4D-41DB-45BC-BDD5-9CC920C8E8D0}"/>
    <cellStyle name="40% - Énfasis1 4 2" xfId="1929" xr:uid="{844D8C43-C62B-4B80-A261-1AB08122898A}"/>
    <cellStyle name="40% - Énfasis1 4 2 2" xfId="4549" xr:uid="{B45A60B0-97CD-4153-B27F-1EB344D5523E}"/>
    <cellStyle name="40% - Énfasis1 4 3" xfId="3237" xr:uid="{531C51B3-3735-4E11-8134-A8C5AB4C690D}"/>
    <cellStyle name="40% - Énfasis1 5" xfId="627" xr:uid="{AEEA3AC5-375F-4083-8AA2-232CD5B7B86E}"/>
    <cellStyle name="40% - Énfasis1 5 2" xfId="1949" xr:uid="{51005D65-822B-446A-BBCA-DB7FE888BB9D}"/>
    <cellStyle name="40% - Énfasis1 5 2 2" xfId="4569" xr:uid="{2052D847-49E2-499A-943F-8056FC72E966}"/>
    <cellStyle name="40% - Énfasis1 5 3" xfId="3257" xr:uid="{7DF00A9E-0FF1-46A7-8297-D1E93C2CB3B2}"/>
    <cellStyle name="40% - Énfasis1 6" xfId="647" xr:uid="{DA0754DA-F506-4A9A-8DFA-E7C5C3BD6223}"/>
    <cellStyle name="40% - Énfasis1 6 2" xfId="1969" xr:uid="{74D4308E-1ED0-4D8B-8EF8-F4623046A8AD}"/>
    <cellStyle name="40% - Énfasis1 6 2 2" xfId="4589" xr:uid="{2691511E-1BD3-4FC9-9EA9-52E417C38394}"/>
    <cellStyle name="40% - Énfasis1 6 3" xfId="3277" xr:uid="{73D4C380-61E0-4402-819B-2AFABCBDF481}"/>
    <cellStyle name="40% - Énfasis1 7" xfId="667" xr:uid="{AFA3C2DF-0138-4B9A-A16A-49A1E7539398}"/>
    <cellStyle name="40% - Énfasis1 7 2" xfId="1989" xr:uid="{9AC25868-4984-4B52-B5C5-5B55EA77403F}"/>
    <cellStyle name="40% - Énfasis1 7 2 2" xfId="4609" xr:uid="{6F9E517C-57DC-4004-8015-3E92AB645E70}"/>
    <cellStyle name="40% - Énfasis1 7 3" xfId="3297" xr:uid="{C90C4A71-4F3C-4027-B172-0970BADF10BE}"/>
    <cellStyle name="40% - Énfasis1 8" xfId="687" xr:uid="{3ACD1A9A-47BA-46B0-BCA5-6FB324E2D8C2}"/>
    <cellStyle name="40% - Énfasis1 8 2" xfId="2009" xr:uid="{99FA92AD-7DDB-4442-AFA8-85B4B33AC258}"/>
    <cellStyle name="40% - Énfasis1 8 2 2" xfId="4629" xr:uid="{E87EE031-4BAF-48CA-803B-977FB03A2475}"/>
    <cellStyle name="40% - Énfasis1 8 3" xfId="3317" xr:uid="{0B255136-4922-448F-90B0-8F94AF6554A3}"/>
    <cellStyle name="40% - Énfasis1 9" xfId="707" xr:uid="{9ECCC6D2-7651-4C2A-981A-3082CFE1DFA9}"/>
    <cellStyle name="40% - Énfasis1 9 2" xfId="2029" xr:uid="{F6C9F42E-1F22-4AAF-AB08-E401F5E19800}"/>
    <cellStyle name="40% - Énfasis1 9 2 2" xfId="4649" xr:uid="{B0BFF690-CDE6-482B-9B23-9030DCFA8005}"/>
    <cellStyle name="40% - Énfasis1 9 3" xfId="3337" xr:uid="{B477CEFE-0238-4C85-AE1B-31C8D0590F49}"/>
    <cellStyle name="40% - Énfasis2" xfId="23" builtinId="35" customBuiltin="1"/>
    <cellStyle name="40% - Énfasis2 10" xfId="730" xr:uid="{AC79F5B1-DABF-4BC9-9FFC-FD4FFA2B74A0}"/>
    <cellStyle name="40% - Énfasis2 10 2" xfId="2052" xr:uid="{54937C47-A63B-42E9-8545-1D4F0BED3CCA}"/>
    <cellStyle name="40% - Énfasis2 10 2 2" xfId="4672" xr:uid="{B23B1CDF-93F3-4D6C-AFFE-1A57DFF906D0}"/>
    <cellStyle name="40% - Énfasis2 10 3" xfId="3360" xr:uid="{2AA70308-20C3-4A7E-9E8E-317E08DA61D3}"/>
    <cellStyle name="40% - Énfasis2 11" xfId="750" xr:uid="{12E10F77-8FC6-420D-B7EF-2E73BD2F799D}"/>
    <cellStyle name="40% - Énfasis2 11 2" xfId="2072" xr:uid="{3C4FBE3A-63DA-4AB7-BCC2-4AC5E056BE29}"/>
    <cellStyle name="40% - Énfasis2 11 2 2" xfId="4692" xr:uid="{114052FA-5A4F-4F23-AC28-C67B37ECB2BB}"/>
    <cellStyle name="40% - Énfasis2 11 3" xfId="3380" xr:uid="{F5A21C11-3A63-4E56-A15F-774A6FAC63F9}"/>
    <cellStyle name="40% - Énfasis2 12" xfId="770" xr:uid="{B4D077F4-1ED8-4E53-BF4D-0173A6D5D9C9}"/>
    <cellStyle name="40% - Énfasis2 12 2" xfId="2092" xr:uid="{4E1BC2ED-238D-452E-99F3-EEDE4587A749}"/>
    <cellStyle name="40% - Énfasis2 12 2 2" xfId="4712" xr:uid="{F74666B9-E3B7-4267-AB74-CF0AFF935109}"/>
    <cellStyle name="40% - Énfasis2 12 3" xfId="3400" xr:uid="{EA9D61C4-6B79-41C6-A4E8-1E00598B557E}"/>
    <cellStyle name="40% - Énfasis2 13" xfId="790" xr:uid="{97A3E716-B79B-4B07-A6E8-3ABF066D5D86}"/>
    <cellStyle name="40% - Énfasis2 13 2" xfId="2112" xr:uid="{7C54D44D-E50A-4097-A631-532DDEB06D53}"/>
    <cellStyle name="40% - Énfasis2 13 2 2" xfId="4732" xr:uid="{E16AFAD7-F21A-4D33-9834-4EA3C4F4CD94}"/>
    <cellStyle name="40% - Énfasis2 13 3" xfId="3420" xr:uid="{C065E658-5566-4246-A172-7B6F30093CB0}"/>
    <cellStyle name="40% - Énfasis2 14" xfId="810" xr:uid="{8C756F6A-B05C-465D-BD64-A8AA6314D5F6}"/>
    <cellStyle name="40% - Énfasis2 14 2" xfId="2132" xr:uid="{3CCFA71B-0304-4A4E-A5BB-05FF756AF2C9}"/>
    <cellStyle name="40% - Énfasis2 14 2 2" xfId="4752" xr:uid="{B1D84F8F-8559-4E36-A968-80D56F5C598D}"/>
    <cellStyle name="40% - Énfasis2 14 3" xfId="3440" xr:uid="{F9A537D9-D564-4269-A104-8426B643B1A7}"/>
    <cellStyle name="40% - Énfasis2 15" xfId="830" xr:uid="{F84FE6A2-4CAF-45FE-A51E-583B8C38C90A}"/>
    <cellStyle name="40% - Énfasis2 15 2" xfId="2152" xr:uid="{68BF52B8-40E8-4411-9577-9ED727058313}"/>
    <cellStyle name="40% - Énfasis2 15 2 2" xfId="4772" xr:uid="{2617C679-4B2A-44F9-AEC9-0E9CA6447747}"/>
    <cellStyle name="40% - Énfasis2 15 3" xfId="3460" xr:uid="{098623F5-BA8D-4FDE-B41A-04961A53E532}"/>
    <cellStyle name="40% - Énfasis2 16" xfId="850" xr:uid="{5694292B-A72C-4357-834C-B43B774EBA71}"/>
    <cellStyle name="40% - Énfasis2 16 2" xfId="2172" xr:uid="{31188155-BCF5-402F-AA8B-A80415148D36}"/>
    <cellStyle name="40% - Énfasis2 16 2 2" xfId="4792" xr:uid="{28142C78-BB56-4E76-9E9F-8596F4A53BC6}"/>
    <cellStyle name="40% - Énfasis2 16 3" xfId="3480" xr:uid="{A96ACD10-22BC-446E-B425-57714BA0AE4E}"/>
    <cellStyle name="40% - Énfasis2 17" xfId="870" xr:uid="{6B424981-2763-4E3F-A3C1-1E975445228D}"/>
    <cellStyle name="40% - Énfasis2 17 2" xfId="2192" xr:uid="{9E6434DE-B95F-4FD2-9D44-CE3CE9E217D6}"/>
    <cellStyle name="40% - Énfasis2 17 2 2" xfId="4812" xr:uid="{6CF76B23-D65E-47E2-87F8-7DD10A3E224D}"/>
    <cellStyle name="40% - Énfasis2 17 3" xfId="3500" xr:uid="{6C0BAD25-CD35-425F-9213-F87C04EC2045}"/>
    <cellStyle name="40% - Énfasis2 18" xfId="890" xr:uid="{4B4AB5C9-2048-4354-BF29-7070F13CD199}"/>
    <cellStyle name="40% - Énfasis2 18 2" xfId="2212" xr:uid="{57EA8CE4-A26A-4EB6-AE2E-1B56A928C467}"/>
    <cellStyle name="40% - Énfasis2 18 2 2" xfId="4832" xr:uid="{392C2C30-CC41-4B9E-A9C4-B94CAE630A81}"/>
    <cellStyle name="40% - Énfasis2 18 3" xfId="3520" xr:uid="{B6E8F87B-711B-402D-A60D-EF724410CFE3}"/>
    <cellStyle name="40% - Énfasis2 19" xfId="910" xr:uid="{D69CCB71-25E9-4F54-A20B-A2F340A180C9}"/>
    <cellStyle name="40% - Énfasis2 19 2" xfId="2232" xr:uid="{686C9823-37F6-4E1B-BD47-297FEA8CFCFC}"/>
    <cellStyle name="40% - Énfasis2 19 2 2" xfId="4852" xr:uid="{1C641F26-6DA7-4EA6-8643-AB3AA395D91B}"/>
    <cellStyle name="40% - Énfasis2 19 3" xfId="3540" xr:uid="{94522670-6AC8-4CD6-A7D7-A75344A56DC2}"/>
    <cellStyle name="40% - Énfasis2 2" xfId="570" xr:uid="{040EE19D-CEF6-4A19-8B0E-DFC56061787E}"/>
    <cellStyle name="40% - Énfasis2 2 2" xfId="1892" xr:uid="{8AF42D72-842E-4E23-AC9A-C0F09E201729}"/>
    <cellStyle name="40% - Énfasis2 2 2 2" xfId="4512" xr:uid="{0BD5B322-CE97-421E-9EBC-F9EF78517F84}"/>
    <cellStyle name="40% - Énfasis2 2 3" xfId="3200" xr:uid="{E4D21C64-6F13-49C0-916D-CF8BAFBC84D2}"/>
    <cellStyle name="40% - Énfasis2 20" xfId="930" xr:uid="{8325DD13-A25C-4900-86AB-CD0A159EAF1C}"/>
    <cellStyle name="40% - Énfasis2 20 2" xfId="2252" xr:uid="{AB3C8F6B-147C-4928-A6ED-E858ABFCEB2E}"/>
    <cellStyle name="40% - Énfasis2 20 2 2" xfId="4872" xr:uid="{CBC7EF0A-3F10-4BBD-9FA3-8237194277EA}"/>
    <cellStyle name="40% - Énfasis2 20 3" xfId="3560" xr:uid="{2B8267DB-5006-4DC9-8111-AC08358C2629}"/>
    <cellStyle name="40% - Énfasis2 21" xfId="950" xr:uid="{E81E4965-0E43-476E-836F-11B8B789A10B}"/>
    <cellStyle name="40% - Énfasis2 21 2" xfId="2272" xr:uid="{8EC2A127-0713-4D80-BC3A-E16CB725F058}"/>
    <cellStyle name="40% - Énfasis2 21 2 2" xfId="4892" xr:uid="{F2EBC8C0-5700-42B9-A193-8149FF5F7D06}"/>
    <cellStyle name="40% - Énfasis2 21 3" xfId="3580" xr:uid="{A43E06AD-AC1F-4476-9A62-BC7465711F30}"/>
    <cellStyle name="40% - Énfasis2 22" xfId="970" xr:uid="{2908A0C2-EAC4-41A5-8472-F39682FA605C}"/>
    <cellStyle name="40% - Énfasis2 22 2" xfId="2292" xr:uid="{ADD260F5-1ADB-4FA8-BB90-AC5B79B8AC27}"/>
    <cellStyle name="40% - Énfasis2 22 2 2" xfId="4912" xr:uid="{21138F56-3678-4FCF-8E84-E36BB32824B3}"/>
    <cellStyle name="40% - Énfasis2 22 3" xfId="3600" xr:uid="{3C1F2FDB-F3E8-4668-B266-67469C753D7A}"/>
    <cellStyle name="40% - Énfasis2 23" xfId="990" xr:uid="{DCEB7A0C-3703-4893-9BDC-032CB8EB4860}"/>
    <cellStyle name="40% - Énfasis2 23 2" xfId="2312" xr:uid="{3C3B7DCB-BD78-4FD3-ACA7-3B206447108D}"/>
    <cellStyle name="40% - Énfasis2 23 2 2" xfId="4932" xr:uid="{A0F13BEB-0474-48F2-AE82-9A02658F59C7}"/>
    <cellStyle name="40% - Énfasis2 23 3" xfId="3620" xr:uid="{85419D05-8092-4933-9B49-8D33C82B1BBB}"/>
    <cellStyle name="40% - Énfasis2 24" xfId="1010" xr:uid="{0FE4867A-A06E-42C6-A3DD-12456C846F9D}"/>
    <cellStyle name="40% - Énfasis2 24 2" xfId="2332" xr:uid="{C9B40D88-D4FF-4FBC-A7B1-17E61374C966}"/>
    <cellStyle name="40% - Énfasis2 24 2 2" xfId="4952" xr:uid="{2648E412-2453-4260-9C3C-4F6FDC89CBA9}"/>
    <cellStyle name="40% - Énfasis2 24 3" xfId="3640" xr:uid="{E5962C50-96E6-4DF1-B2AF-B69AC107C855}"/>
    <cellStyle name="40% - Énfasis2 25" xfId="1030" xr:uid="{CBBF65F0-26A2-4CC7-ACC9-8AAF2CAF88DA}"/>
    <cellStyle name="40% - Énfasis2 25 2" xfId="2352" xr:uid="{6E19CAEF-302E-4ADD-A0B8-9EBD869C3868}"/>
    <cellStyle name="40% - Énfasis2 25 2 2" xfId="4972" xr:uid="{90A61BF3-C1A8-4DC4-B2CE-87F98704F45A}"/>
    <cellStyle name="40% - Énfasis2 25 3" xfId="3660" xr:uid="{A996CB1B-C8BC-46ED-96A2-DEC7E97D3EE8}"/>
    <cellStyle name="40% - Énfasis2 26" xfId="1130" xr:uid="{FCA0F74F-D108-4027-BB59-7F8CF28071D0}"/>
    <cellStyle name="40% - Énfasis2 26 2" xfId="2452" xr:uid="{DFEDAA6B-E9DB-430D-A741-CB64FDC67EF0}"/>
    <cellStyle name="40% - Énfasis2 26 2 2" xfId="5072" xr:uid="{DA95375D-5AA0-411B-956F-42FD15D3573A}"/>
    <cellStyle name="40% - Énfasis2 26 3" xfId="3760" xr:uid="{55B62B79-1BC6-481F-A26A-8AFAFB1EF7DE}"/>
    <cellStyle name="40% - Énfasis2 27" xfId="1150" xr:uid="{867CDCEB-7E7E-487C-8B64-434A675A0566}"/>
    <cellStyle name="40% - Énfasis2 27 2" xfId="2472" xr:uid="{08F2E940-B95F-4B02-A122-6B848C93CA26}"/>
    <cellStyle name="40% - Énfasis2 27 2 2" xfId="5092" xr:uid="{D9922B85-9DF3-4675-A561-FD7D45B852C1}"/>
    <cellStyle name="40% - Énfasis2 27 3" xfId="3780" xr:uid="{5CD5A1F9-F8A2-47C2-ADAB-B4F95E5C89F9}"/>
    <cellStyle name="40% - Énfasis2 28" xfId="1170" xr:uid="{6F2923FD-329F-4FC5-9246-E059DA2F9001}"/>
    <cellStyle name="40% - Énfasis2 28 2" xfId="2492" xr:uid="{9E003A7E-BFF0-4D96-98DC-772880CDFEAF}"/>
    <cellStyle name="40% - Énfasis2 28 2 2" xfId="5112" xr:uid="{F2AF1E36-125A-411A-988F-C03B5E5C2F3E}"/>
    <cellStyle name="40% - Énfasis2 28 3" xfId="3800" xr:uid="{5F73673C-4162-4CBB-A1EB-40FCAF8A474D}"/>
    <cellStyle name="40% - Énfasis2 29" xfId="1190" xr:uid="{7EB2D28B-38EF-4BC2-9533-97F8DAE94CB5}"/>
    <cellStyle name="40% - Énfasis2 29 2" xfId="2512" xr:uid="{263CB1E7-4A19-4DAC-B97F-29F791234E29}"/>
    <cellStyle name="40% - Énfasis2 29 2 2" xfId="5132" xr:uid="{F5EE3D68-67FD-49C6-BD06-30FEABD24571}"/>
    <cellStyle name="40% - Énfasis2 29 3" xfId="3820" xr:uid="{C570CA5E-272E-4F28-B1A0-01709833BCC7}"/>
    <cellStyle name="40% - Énfasis2 3" xfId="590" xr:uid="{D36FF9B5-2CBE-4B52-BA40-30A7DC661B6C}"/>
    <cellStyle name="40% - Énfasis2 3 2" xfId="1912" xr:uid="{352B1DAC-4753-4127-A8C2-E38BAF296D26}"/>
    <cellStyle name="40% - Énfasis2 3 2 2" xfId="4532" xr:uid="{FDBDF2F8-FC9C-4F75-BE57-F13AEBD75684}"/>
    <cellStyle name="40% - Énfasis2 3 3" xfId="3220" xr:uid="{C161783A-EE83-45D3-870A-FD4423D49934}"/>
    <cellStyle name="40% - Énfasis2 30" xfId="1210" xr:uid="{95988B78-C5A0-42A2-A587-1475B7794D64}"/>
    <cellStyle name="40% - Énfasis2 30 2" xfId="2532" xr:uid="{DDA90535-8B9F-48FA-93FD-2DD9CCB33EEA}"/>
    <cellStyle name="40% - Énfasis2 30 2 2" xfId="5152" xr:uid="{7C3E60F5-B6B6-4AEE-B132-C34CF20F460F}"/>
    <cellStyle name="40% - Énfasis2 30 3" xfId="3840" xr:uid="{4627F029-D638-4091-B319-D5C6F03848E0}"/>
    <cellStyle name="40% - Énfasis2 31" xfId="1230" xr:uid="{168EFDDB-8E57-4CAF-8D49-F0B16873FC79}"/>
    <cellStyle name="40% - Énfasis2 31 2" xfId="2552" xr:uid="{C2849318-B47E-403D-9582-A1AA1BD434F7}"/>
    <cellStyle name="40% - Énfasis2 31 2 2" xfId="5172" xr:uid="{4E6BE261-F2F2-429E-8FF4-B33742947286}"/>
    <cellStyle name="40% - Énfasis2 31 3" xfId="3860" xr:uid="{A84DD3A5-5736-4D6D-A17F-42789F7E40B1}"/>
    <cellStyle name="40% - Énfasis2 32" xfId="1250" xr:uid="{143F7B48-96A3-4CB5-A00F-8AED1553CB64}"/>
    <cellStyle name="40% - Énfasis2 32 2" xfId="2572" xr:uid="{B15C7CE7-C3EA-43E8-8520-417AD9C83BB8}"/>
    <cellStyle name="40% - Énfasis2 32 2 2" xfId="5192" xr:uid="{B7931912-AD7B-4E00-88D4-6EC780EA5796}"/>
    <cellStyle name="40% - Énfasis2 32 3" xfId="3880" xr:uid="{BCA86FE1-8D3F-4198-9EEE-3D1819D427EE}"/>
    <cellStyle name="40% - Énfasis2 33" xfId="1270" xr:uid="{75AEB571-EDC2-4CEE-95EA-A59A00DAEAC3}"/>
    <cellStyle name="40% - Énfasis2 33 2" xfId="2592" xr:uid="{453DA4E3-805E-492A-97DC-98955041519F}"/>
    <cellStyle name="40% - Énfasis2 33 2 2" xfId="5212" xr:uid="{9E3AB7B4-149C-44CD-AC67-7E5D34F7218E}"/>
    <cellStyle name="40% - Énfasis2 33 3" xfId="3900" xr:uid="{AACE4231-9103-40C5-8937-1E71FE564379}"/>
    <cellStyle name="40% - Énfasis2 34" xfId="1290" xr:uid="{064FED39-3867-44F5-A509-6DFAEC7D63BF}"/>
    <cellStyle name="40% - Énfasis2 34 2" xfId="2612" xr:uid="{6C7A6A79-6FD0-47D1-92D3-322AD4132DF8}"/>
    <cellStyle name="40% - Énfasis2 34 2 2" xfId="5232" xr:uid="{EA172666-A849-4A52-AF4E-49E8DA8BF4F5}"/>
    <cellStyle name="40% - Énfasis2 34 3" xfId="3920" xr:uid="{DA3F940B-3BBD-4C2F-B8F0-1C2866978FBD}"/>
    <cellStyle name="40% - Énfasis2 35" xfId="1310" xr:uid="{38E2A957-704A-4A53-9172-215F7CB81AA1}"/>
    <cellStyle name="40% - Énfasis2 35 2" xfId="2632" xr:uid="{9E821991-D1FA-4510-8173-C4131C4AF857}"/>
    <cellStyle name="40% - Énfasis2 35 2 2" xfId="5252" xr:uid="{D7C8718F-1D95-4464-91D2-9A7F452B84C0}"/>
    <cellStyle name="40% - Énfasis2 35 3" xfId="3940" xr:uid="{3F9E61D3-B21F-4B4D-8D34-4ACBD3782DEF}"/>
    <cellStyle name="40% - Énfasis2 36" xfId="1348" xr:uid="{7503B28B-26BB-4F51-8693-367A42609FC3}"/>
    <cellStyle name="40% - Énfasis2 36 2" xfId="3970" xr:uid="{934CC365-B900-455D-BC6A-98047DAA73EE}"/>
    <cellStyle name="40% - Énfasis2 37" xfId="2658" xr:uid="{E0BD82E1-162B-4DAC-8FC3-F26717A24308}"/>
    <cellStyle name="40% - Énfasis2 4" xfId="610" xr:uid="{C77C3679-744E-49F4-972D-C39B9EEFAC0C}"/>
    <cellStyle name="40% - Énfasis2 4 2" xfId="1932" xr:uid="{E07FD10E-A0D9-466F-B982-F54BA8BEAA4B}"/>
    <cellStyle name="40% - Énfasis2 4 2 2" xfId="4552" xr:uid="{6F2CFA2B-1470-4E60-B1D4-E078EA8270EF}"/>
    <cellStyle name="40% - Énfasis2 4 3" xfId="3240" xr:uid="{92CB777F-7A76-467D-99F7-E340B0AF69CE}"/>
    <cellStyle name="40% - Énfasis2 5" xfId="630" xr:uid="{636C5DC6-6EE6-4B10-B435-038F819BC1CE}"/>
    <cellStyle name="40% - Énfasis2 5 2" xfId="1952" xr:uid="{F1792CFA-7791-4C66-A32A-93C4C49AC854}"/>
    <cellStyle name="40% - Énfasis2 5 2 2" xfId="4572" xr:uid="{63286E6F-3376-4060-932E-D675268805F2}"/>
    <cellStyle name="40% - Énfasis2 5 3" xfId="3260" xr:uid="{74D3F885-CF0B-4C6F-AD66-45C356834896}"/>
    <cellStyle name="40% - Énfasis2 6" xfId="650" xr:uid="{0FD9F1AE-898F-488D-AE78-BB305B34589A}"/>
    <cellStyle name="40% - Énfasis2 6 2" xfId="1972" xr:uid="{A15E73CA-FFB8-4A1E-B86D-9A72AD7E16AF}"/>
    <cellStyle name="40% - Énfasis2 6 2 2" xfId="4592" xr:uid="{1D80636B-B362-441E-8AB8-3AAAA5414429}"/>
    <cellStyle name="40% - Énfasis2 6 3" xfId="3280" xr:uid="{41774EEE-64EE-43A4-962C-AC08B89BC474}"/>
    <cellStyle name="40% - Énfasis2 7" xfId="670" xr:uid="{1EF86D82-89EC-41AD-8B68-190879DF55E9}"/>
    <cellStyle name="40% - Énfasis2 7 2" xfId="1992" xr:uid="{A72FC1EB-978B-45D7-AAC2-F71C22FBF339}"/>
    <cellStyle name="40% - Énfasis2 7 2 2" xfId="4612" xr:uid="{1724177B-F316-4FCD-A328-BDAE0082BED0}"/>
    <cellStyle name="40% - Énfasis2 7 3" xfId="3300" xr:uid="{0FCF9CE8-53F5-439D-A340-DF479E839128}"/>
    <cellStyle name="40% - Énfasis2 8" xfId="690" xr:uid="{03F8875A-00BF-4EA3-ABF1-95CAF16753DD}"/>
    <cellStyle name="40% - Énfasis2 8 2" xfId="2012" xr:uid="{7C710DBB-9CDA-4314-B039-42A546C4726D}"/>
    <cellStyle name="40% - Énfasis2 8 2 2" xfId="4632" xr:uid="{475593FC-8372-4C8B-BBA3-E7329A568743}"/>
    <cellStyle name="40% - Énfasis2 8 3" xfId="3320" xr:uid="{9B5AC970-D951-40E7-AFD7-B1B969A652DE}"/>
    <cellStyle name="40% - Énfasis2 9" xfId="710" xr:uid="{DB74177B-46FD-4BC6-A327-A8FCF4329083}"/>
    <cellStyle name="40% - Énfasis2 9 2" xfId="2032" xr:uid="{A56CB4A1-FB44-4883-BFA1-5FC31E993D10}"/>
    <cellStyle name="40% - Énfasis2 9 2 2" xfId="4652" xr:uid="{445ED8A4-25D2-47E2-8E76-4E782BEAC6BD}"/>
    <cellStyle name="40% - Énfasis2 9 3" xfId="3340" xr:uid="{40FB8F69-6F2B-4369-8871-E67BDD2DC213}"/>
    <cellStyle name="40% - Énfasis3" xfId="27" builtinId="39" customBuiltin="1"/>
    <cellStyle name="40% - Énfasis3 10" xfId="733" xr:uid="{ED8906EF-9810-45E9-91D8-FFD5D875A931}"/>
    <cellStyle name="40% - Énfasis3 10 2" xfId="2055" xr:uid="{474263E5-CD4F-4867-ADF7-3474D9BD120A}"/>
    <cellStyle name="40% - Énfasis3 10 2 2" xfId="4675" xr:uid="{19508B7A-3027-48F8-9530-EECA60DB318E}"/>
    <cellStyle name="40% - Énfasis3 10 3" xfId="3363" xr:uid="{682C044D-6417-48CC-8D31-387FB2CA481E}"/>
    <cellStyle name="40% - Énfasis3 11" xfId="753" xr:uid="{49FD6995-B310-4171-B347-D6058C8C8F82}"/>
    <cellStyle name="40% - Énfasis3 11 2" xfId="2075" xr:uid="{0079DB9E-CA69-4C92-AA9F-EEDE20D23337}"/>
    <cellStyle name="40% - Énfasis3 11 2 2" xfId="4695" xr:uid="{3DFC18DC-9A88-43D8-A299-D5BE69963A05}"/>
    <cellStyle name="40% - Énfasis3 11 3" xfId="3383" xr:uid="{A0553327-D661-41F8-9CBD-DD4E9C8C145E}"/>
    <cellStyle name="40% - Énfasis3 12" xfId="773" xr:uid="{4BB295FB-A35D-45F7-AB52-1E81FF6DB00B}"/>
    <cellStyle name="40% - Énfasis3 12 2" xfId="2095" xr:uid="{07D488D9-F9D3-4E3D-AC21-77C6C3DBD791}"/>
    <cellStyle name="40% - Énfasis3 12 2 2" xfId="4715" xr:uid="{2EE11EC3-9D45-46EB-ACA1-76564D947BCF}"/>
    <cellStyle name="40% - Énfasis3 12 3" xfId="3403" xr:uid="{E9324748-17B3-4503-A680-3364D1E515CE}"/>
    <cellStyle name="40% - Énfasis3 13" xfId="793" xr:uid="{2A27FACA-BC99-4F8D-A494-35F1A541A34D}"/>
    <cellStyle name="40% - Énfasis3 13 2" xfId="2115" xr:uid="{E4D1E577-0946-44F9-B7E5-E98C56295AA5}"/>
    <cellStyle name="40% - Énfasis3 13 2 2" xfId="4735" xr:uid="{F0850CA5-66D8-402D-AD7F-E386977C9DC8}"/>
    <cellStyle name="40% - Énfasis3 13 3" xfId="3423" xr:uid="{4F7DA122-433B-4661-AE9C-F94AC6DE676C}"/>
    <cellStyle name="40% - Énfasis3 14" xfId="813" xr:uid="{B5DBF262-5FA4-4424-8243-C714D563A9B2}"/>
    <cellStyle name="40% - Énfasis3 14 2" xfId="2135" xr:uid="{3CF469DA-4298-4E58-A742-3F6A1A9F2D4B}"/>
    <cellStyle name="40% - Énfasis3 14 2 2" xfId="4755" xr:uid="{95E7F7DC-46F5-44D9-8780-A4D90F04B9C2}"/>
    <cellStyle name="40% - Énfasis3 14 3" xfId="3443" xr:uid="{368DB10C-85AE-40EB-9236-2B09887A9913}"/>
    <cellStyle name="40% - Énfasis3 15" xfId="833" xr:uid="{33E7A366-85B5-4BD1-A646-8527466125A0}"/>
    <cellStyle name="40% - Énfasis3 15 2" xfId="2155" xr:uid="{1CAB6234-F14D-43BD-A265-3D3CE940AD23}"/>
    <cellStyle name="40% - Énfasis3 15 2 2" xfId="4775" xr:uid="{629C3740-A6A2-4B92-8B37-F84CA4E33CDF}"/>
    <cellStyle name="40% - Énfasis3 15 3" xfId="3463" xr:uid="{4D5274BC-25F5-40DA-9369-7AEB3B4FAB3A}"/>
    <cellStyle name="40% - Énfasis3 16" xfId="853" xr:uid="{5DE8480F-A9AD-4B93-A3CD-07F631248640}"/>
    <cellStyle name="40% - Énfasis3 16 2" xfId="2175" xr:uid="{EE4A886D-0014-4A0E-944C-D83ACFEE7F02}"/>
    <cellStyle name="40% - Énfasis3 16 2 2" xfId="4795" xr:uid="{92F558E1-C866-4086-999A-BEA9C9D2C89C}"/>
    <cellStyle name="40% - Énfasis3 16 3" xfId="3483" xr:uid="{C7352DF4-AD5A-4B55-B896-ADAB6E0982E8}"/>
    <cellStyle name="40% - Énfasis3 17" xfId="873" xr:uid="{9B48E4FC-B2C1-4577-BDCA-9779BD219B59}"/>
    <cellStyle name="40% - Énfasis3 17 2" xfId="2195" xr:uid="{152D220A-93F0-45BE-8C5B-7B86FA260DB7}"/>
    <cellStyle name="40% - Énfasis3 17 2 2" xfId="4815" xr:uid="{9C671AE0-2700-4281-AC9A-C7E1CCF09D02}"/>
    <cellStyle name="40% - Énfasis3 17 3" xfId="3503" xr:uid="{A74AAB8E-851E-4D59-A33B-B22DE29E409D}"/>
    <cellStyle name="40% - Énfasis3 18" xfId="893" xr:uid="{2D3BFFDB-A5D2-4175-8C17-62C974A3521E}"/>
    <cellStyle name="40% - Énfasis3 18 2" xfId="2215" xr:uid="{0629B8FA-C784-4D0B-8DEA-F056F73F48E0}"/>
    <cellStyle name="40% - Énfasis3 18 2 2" xfId="4835" xr:uid="{58D0FC8D-A9BD-4F1F-834E-A061D5792CCF}"/>
    <cellStyle name="40% - Énfasis3 18 3" xfId="3523" xr:uid="{E1109CA1-4F55-4E22-9617-33663800D068}"/>
    <cellStyle name="40% - Énfasis3 19" xfId="913" xr:uid="{67F5B76E-9706-43AC-92E6-FE48114A18CF}"/>
    <cellStyle name="40% - Énfasis3 19 2" xfId="2235" xr:uid="{625654A4-12FC-4607-A272-1BCC89CBE3C1}"/>
    <cellStyle name="40% - Énfasis3 19 2 2" xfId="4855" xr:uid="{DC427F04-8AB6-4504-9390-05828A49A62A}"/>
    <cellStyle name="40% - Énfasis3 19 3" xfId="3543" xr:uid="{CDA7C9AC-78C3-4982-A653-FBAB817D0182}"/>
    <cellStyle name="40% - Énfasis3 2" xfId="573" xr:uid="{189D5298-23C5-4121-B16F-D8821EF59C49}"/>
    <cellStyle name="40% - Énfasis3 2 2" xfId="1895" xr:uid="{61119242-F39C-4C1F-8F19-E80FC3F2153A}"/>
    <cellStyle name="40% - Énfasis3 2 2 2" xfId="4515" xr:uid="{B6983284-C87B-4AC4-B863-3CE70DCE037C}"/>
    <cellStyle name="40% - Énfasis3 2 3" xfId="3203" xr:uid="{4EAEE561-E24B-4D56-809E-20BB0E62629B}"/>
    <cellStyle name="40% - Énfasis3 20" xfId="933" xr:uid="{A40251D5-4C71-43F1-8A35-CC57F9D4C7E5}"/>
    <cellStyle name="40% - Énfasis3 20 2" xfId="2255" xr:uid="{5277F715-667E-4FBF-A1BB-3191664C255D}"/>
    <cellStyle name="40% - Énfasis3 20 2 2" xfId="4875" xr:uid="{0D6AD961-6CE0-4B66-B912-672A5A546F9F}"/>
    <cellStyle name="40% - Énfasis3 20 3" xfId="3563" xr:uid="{8D5A871E-42C4-45EC-B724-34192F79F1EC}"/>
    <cellStyle name="40% - Énfasis3 21" xfId="953" xr:uid="{DEB88AA4-4978-4B6E-92BD-32BA12D35B01}"/>
    <cellStyle name="40% - Énfasis3 21 2" xfId="2275" xr:uid="{52C9ACF3-800E-4891-8888-69F8508DF7C3}"/>
    <cellStyle name="40% - Énfasis3 21 2 2" xfId="4895" xr:uid="{57687518-63BA-4E03-BE43-C636AF76563C}"/>
    <cellStyle name="40% - Énfasis3 21 3" xfId="3583" xr:uid="{36DB6570-2F33-490E-A9D7-DBF886017739}"/>
    <cellStyle name="40% - Énfasis3 22" xfId="973" xr:uid="{037B1A3F-AC89-4A70-8823-D30BA1281514}"/>
    <cellStyle name="40% - Énfasis3 22 2" xfId="2295" xr:uid="{E4565007-58CA-4486-8E87-F3F13375D46B}"/>
    <cellStyle name="40% - Énfasis3 22 2 2" xfId="4915" xr:uid="{F921C2EC-8FFA-47C4-8EA1-3646E3CC29EA}"/>
    <cellStyle name="40% - Énfasis3 22 3" xfId="3603" xr:uid="{372A7F19-4D50-481F-A7AC-CDC66A490832}"/>
    <cellStyle name="40% - Énfasis3 23" xfId="993" xr:uid="{CBF9C06A-8DFA-4213-B82D-9F6F7AE2EA11}"/>
    <cellStyle name="40% - Énfasis3 23 2" xfId="2315" xr:uid="{B909D41A-0436-464D-A320-4D17BA81E7F6}"/>
    <cellStyle name="40% - Énfasis3 23 2 2" xfId="4935" xr:uid="{BE73B14F-62DD-4B9A-8244-D57D6589DCAE}"/>
    <cellStyle name="40% - Énfasis3 23 3" xfId="3623" xr:uid="{3FE18CB9-8ADD-4CB4-B778-782476E5BD07}"/>
    <cellStyle name="40% - Énfasis3 24" xfId="1013" xr:uid="{569EF320-C6A8-4315-A4C7-F1A55C25A56C}"/>
    <cellStyle name="40% - Énfasis3 24 2" xfId="2335" xr:uid="{208262DA-E71F-479A-9323-B519EA9A092E}"/>
    <cellStyle name="40% - Énfasis3 24 2 2" xfId="4955" xr:uid="{FA270CDF-27D5-42AF-9C01-B1187EF64289}"/>
    <cellStyle name="40% - Énfasis3 24 3" xfId="3643" xr:uid="{39CED917-EBDC-43F7-8C2C-1915A6F3A2D1}"/>
    <cellStyle name="40% - Énfasis3 25" xfId="1033" xr:uid="{6E27C859-FA1F-409D-85A3-DF7407ADC4D1}"/>
    <cellStyle name="40% - Énfasis3 25 2" xfId="2355" xr:uid="{5D74F12F-A956-48D1-8BEA-FEF3245D5D26}"/>
    <cellStyle name="40% - Énfasis3 25 2 2" xfId="4975" xr:uid="{6576D1B6-0299-4722-8A6C-1450491B65E3}"/>
    <cellStyle name="40% - Énfasis3 25 3" xfId="3663" xr:uid="{E98E1322-1460-4FD8-9416-4BBE6945A3AF}"/>
    <cellStyle name="40% - Énfasis3 26" xfId="1133" xr:uid="{D949CF64-9254-4113-9A5F-7C939CA02A59}"/>
    <cellStyle name="40% - Énfasis3 26 2" xfId="2455" xr:uid="{2A6F1F9B-FAD0-4945-8827-DA5E411ED2B9}"/>
    <cellStyle name="40% - Énfasis3 26 2 2" xfId="5075" xr:uid="{D04CD739-129B-407D-A48F-9192B7C934F7}"/>
    <cellStyle name="40% - Énfasis3 26 3" xfId="3763" xr:uid="{70953913-3BFE-449E-A2BD-E38743BE8425}"/>
    <cellStyle name="40% - Énfasis3 27" xfId="1153" xr:uid="{FA359D1C-28FA-4243-BC4F-9739D3D70F13}"/>
    <cellStyle name="40% - Énfasis3 27 2" xfId="2475" xr:uid="{B3557A8C-6322-4ACC-9495-38D537FCD066}"/>
    <cellStyle name="40% - Énfasis3 27 2 2" xfId="5095" xr:uid="{3EF72BBB-9775-487A-90A4-29CBFD56DF8B}"/>
    <cellStyle name="40% - Énfasis3 27 3" xfId="3783" xr:uid="{CD77D44A-7C19-4288-924C-5284EED2FACB}"/>
    <cellStyle name="40% - Énfasis3 28" xfId="1173" xr:uid="{E460AD42-F83E-43E0-8B58-81404CA987A8}"/>
    <cellStyle name="40% - Énfasis3 28 2" xfId="2495" xr:uid="{A99BFC6E-60B1-4D2A-BD10-4F8DD618321F}"/>
    <cellStyle name="40% - Énfasis3 28 2 2" xfId="5115" xr:uid="{4A7FFC39-5114-4E18-8C8E-EF585B82EF43}"/>
    <cellStyle name="40% - Énfasis3 28 3" xfId="3803" xr:uid="{CB04D509-29F2-4CCB-95DD-32F7809936C8}"/>
    <cellStyle name="40% - Énfasis3 29" xfId="1193" xr:uid="{B7C284C2-834D-414F-8B60-0FFC4C0F4C89}"/>
    <cellStyle name="40% - Énfasis3 29 2" xfId="2515" xr:uid="{5240F71C-FA44-47BD-BAF7-9FEDC36C8245}"/>
    <cellStyle name="40% - Énfasis3 29 2 2" xfId="5135" xr:uid="{BC7377E8-DC76-47C1-96A4-DA16BEE694A7}"/>
    <cellStyle name="40% - Énfasis3 29 3" xfId="3823" xr:uid="{B7308E7B-039F-4013-8C2F-B632C7002629}"/>
    <cellStyle name="40% - Énfasis3 3" xfId="593" xr:uid="{6A78197D-CC40-46AF-8B7C-335CD6335B60}"/>
    <cellStyle name="40% - Énfasis3 3 2" xfId="1915" xr:uid="{5391598B-7631-4334-A162-0695DAF7C905}"/>
    <cellStyle name="40% - Énfasis3 3 2 2" xfId="4535" xr:uid="{C3C99146-78AC-4FA2-9001-4054D90A24CC}"/>
    <cellStyle name="40% - Énfasis3 3 3" xfId="3223" xr:uid="{CAE5CB97-E911-4F43-8822-5349D614AA39}"/>
    <cellStyle name="40% - Énfasis3 30" xfId="1213" xr:uid="{748E865B-8113-4FA1-A7E2-C92A10B15F21}"/>
    <cellStyle name="40% - Énfasis3 30 2" xfId="2535" xr:uid="{D3C48769-8A3F-4F73-B533-CAF644669FC6}"/>
    <cellStyle name="40% - Énfasis3 30 2 2" xfId="5155" xr:uid="{F37264D9-2275-4AA3-A62C-5AEE5F028EE0}"/>
    <cellStyle name="40% - Énfasis3 30 3" xfId="3843" xr:uid="{BC3ED8E0-5321-49CA-85B1-A07104A3A1BA}"/>
    <cellStyle name="40% - Énfasis3 31" xfId="1233" xr:uid="{28A204DD-B17A-4B4E-B8B6-97D53ECE0A37}"/>
    <cellStyle name="40% - Énfasis3 31 2" xfId="2555" xr:uid="{77B71E41-40A6-4477-A0F1-94051D159B90}"/>
    <cellStyle name="40% - Énfasis3 31 2 2" xfId="5175" xr:uid="{352BA97B-370D-4734-85A4-443C47FADB6E}"/>
    <cellStyle name="40% - Énfasis3 31 3" xfId="3863" xr:uid="{13D94F4D-F614-4097-A2F4-1CED9DE4CD7C}"/>
    <cellStyle name="40% - Énfasis3 32" xfId="1253" xr:uid="{983768CE-062C-4013-9D3E-E6DFCEE11316}"/>
    <cellStyle name="40% - Énfasis3 32 2" xfId="2575" xr:uid="{D3701E9B-69CE-4D2B-A63D-A225996EE775}"/>
    <cellStyle name="40% - Énfasis3 32 2 2" xfId="5195" xr:uid="{95AA4055-A0F7-4423-961B-658BF1B1645C}"/>
    <cellStyle name="40% - Énfasis3 32 3" xfId="3883" xr:uid="{F797AB43-C5D2-4CF0-9CA0-16ED47416AB5}"/>
    <cellStyle name="40% - Énfasis3 33" xfId="1273" xr:uid="{C5DE1F30-7E97-4EFC-BC86-C3C623CB7698}"/>
    <cellStyle name="40% - Énfasis3 33 2" xfId="2595" xr:uid="{AEA37746-2E4C-4ECC-BC26-237792B1B8C3}"/>
    <cellStyle name="40% - Énfasis3 33 2 2" xfId="5215" xr:uid="{A77F3B91-A909-4FF8-A060-FC89981EBFB3}"/>
    <cellStyle name="40% - Énfasis3 33 3" xfId="3903" xr:uid="{DBD17605-125A-43A2-B43F-DDDA8FAD808E}"/>
    <cellStyle name="40% - Énfasis3 34" xfId="1293" xr:uid="{DF1F377E-3065-40D9-9147-E4F7EDB49E63}"/>
    <cellStyle name="40% - Énfasis3 34 2" xfId="2615" xr:uid="{B61D9A08-E4C4-4CA1-B585-C9FBBD35DEC5}"/>
    <cellStyle name="40% - Énfasis3 34 2 2" xfId="5235" xr:uid="{8D1FB226-0DD0-4E81-A403-60CDF59949C7}"/>
    <cellStyle name="40% - Énfasis3 34 3" xfId="3923" xr:uid="{C988BE45-24AB-4AFF-B20E-BF4D170AF06C}"/>
    <cellStyle name="40% - Énfasis3 35" xfId="1313" xr:uid="{2401AF93-D9D5-400B-B924-AC66A7623959}"/>
    <cellStyle name="40% - Énfasis3 35 2" xfId="2635" xr:uid="{416A52D7-C32D-4AA6-B883-02F5612B56A6}"/>
    <cellStyle name="40% - Énfasis3 35 2 2" xfId="5255" xr:uid="{80A4EA17-91F7-4B9C-8D2B-2E70287145FF}"/>
    <cellStyle name="40% - Énfasis3 35 3" xfId="3943" xr:uid="{FDFC735C-03DA-4CBF-9CF0-66F9433D1558}"/>
    <cellStyle name="40% - Énfasis3 36" xfId="1351" xr:uid="{420BB559-898A-494E-BF2C-C868F8403497}"/>
    <cellStyle name="40% - Énfasis3 36 2" xfId="3973" xr:uid="{2E477538-DEAA-41CB-9CD5-3A3877B87F69}"/>
    <cellStyle name="40% - Énfasis3 37" xfId="2661" xr:uid="{84C89D17-3809-415F-95D7-AB6653AE5070}"/>
    <cellStyle name="40% - Énfasis3 4" xfId="613" xr:uid="{AC581081-2A51-43DD-9C5F-9B0A29A5FF88}"/>
    <cellStyle name="40% - Énfasis3 4 2" xfId="1935" xr:uid="{D222859E-F770-4B5A-81B3-F5DC1E4FCA35}"/>
    <cellStyle name="40% - Énfasis3 4 2 2" xfId="4555" xr:uid="{52FE5A6C-E7BE-40E4-B641-D50578BBBD9D}"/>
    <cellStyle name="40% - Énfasis3 4 3" xfId="3243" xr:uid="{0DF6BC9C-8AE6-4CE6-A5DC-23F6AE1049A6}"/>
    <cellStyle name="40% - Énfasis3 5" xfId="633" xr:uid="{5F8A8357-82FD-4AC5-8C0A-22AD9FF9DD09}"/>
    <cellStyle name="40% - Énfasis3 5 2" xfId="1955" xr:uid="{EAF5B472-5A3A-4C40-A2F9-CB7E68ED4003}"/>
    <cellStyle name="40% - Énfasis3 5 2 2" xfId="4575" xr:uid="{0CB5718B-53D3-48C9-98AF-A812254A2BC3}"/>
    <cellStyle name="40% - Énfasis3 5 3" xfId="3263" xr:uid="{4FBF2B74-0843-4271-B577-5F7D00315556}"/>
    <cellStyle name="40% - Énfasis3 6" xfId="653" xr:uid="{58766EB0-1155-4577-AD1C-FEC7FE8A89F0}"/>
    <cellStyle name="40% - Énfasis3 6 2" xfId="1975" xr:uid="{C78D88D2-4C5D-471A-AE6C-06C2C46B768E}"/>
    <cellStyle name="40% - Énfasis3 6 2 2" xfId="4595" xr:uid="{F239582D-26FB-4784-BD99-CB5F81367B54}"/>
    <cellStyle name="40% - Énfasis3 6 3" xfId="3283" xr:uid="{E059197F-DB38-4917-A100-4E07CAA67AF0}"/>
    <cellStyle name="40% - Énfasis3 7" xfId="673" xr:uid="{7AEA3492-6C3C-4377-8C8C-8AC79268CFF9}"/>
    <cellStyle name="40% - Énfasis3 7 2" xfId="1995" xr:uid="{3C3C7DA5-CD6C-452B-9283-A5B5DEF86F4B}"/>
    <cellStyle name="40% - Énfasis3 7 2 2" xfId="4615" xr:uid="{E913F13C-4F5D-470A-8408-1731308235CC}"/>
    <cellStyle name="40% - Énfasis3 7 3" xfId="3303" xr:uid="{2219843C-D667-4A2B-8958-07682752F679}"/>
    <cellStyle name="40% - Énfasis3 8" xfId="693" xr:uid="{AEA860F6-ED88-4202-945E-BA354B31BA70}"/>
    <cellStyle name="40% - Énfasis3 8 2" xfId="2015" xr:uid="{1FCAB388-287D-4E54-B55E-62ABCCDB8E2A}"/>
    <cellStyle name="40% - Énfasis3 8 2 2" xfId="4635" xr:uid="{D0B25737-6D19-452E-B5EE-218AAD1FC38C}"/>
    <cellStyle name="40% - Énfasis3 8 3" xfId="3323" xr:uid="{4D04470B-BA3C-41D5-8F4F-80AE67A897E1}"/>
    <cellStyle name="40% - Énfasis3 9" xfId="713" xr:uid="{7C1B07D8-6721-485C-AA82-1DEFF1334908}"/>
    <cellStyle name="40% - Énfasis3 9 2" xfId="2035" xr:uid="{E1894F2C-1893-4EC0-9043-5EBF4BA455E7}"/>
    <cellStyle name="40% - Énfasis3 9 2 2" xfId="4655" xr:uid="{9E498C7D-CA6C-407A-BFFA-EBFD152CAEB2}"/>
    <cellStyle name="40% - Énfasis3 9 3" xfId="3343" xr:uid="{B8277F33-70BA-4D94-B9CE-3B8C08984681}"/>
    <cellStyle name="40% - Énfasis4" xfId="31" builtinId="43" customBuiltin="1"/>
    <cellStyle name="40% - Énfasis4 10" xfId="736" xr:uid="{835AD553-9893-4D59-AE79-6EECEC91B36C}"/>
    <cellStyle name="40% - Énfasis4 10 2" xfId="2058" xr:uid="{32FAF2A4-FC80-49F7-8637-7B32B9AFD677}"/>
    <cellStyle name="40% - Énfasis4 10 2 2" xfId="4678" xr:uid="{125A9014-451E-4EA5-91B1-5A5BA90700C5}"/>
    <cellStyle name="40% - Énfasis4 10 3" xfId="3366" xr:uid="{BE2E8EC4-EA69-4526-B489-02422202113E}"/>
    <cellStyle name="40% - Énfasis4 11" xfId="756" xr:uid="{D9F9D5FB-33CD-46DA-A4F6-E317850AAEB4}"/>
    <cellStyle name="40% - Énfasis4 11 2" xfId="2078" xr:uid="{B4F182EA-43BF-4985-9B76-4A1AC5CB277D}"/>
    <cellStyle name="40% - Énfasis4 11 2 2" xfId="4698" xr:uid="{4EF0E87C-E687-4D1B-9E6B-41A12CAD8E25}"/>
    <cellStyle name="40% - Énfasis4 11 3" xfId="3386" xr:uid="{F58EEA88-0AA5-4994-9637-768526534074}"/>
    <cellStyle name="40% - Énfasis4 12" xfId="776" xr:uid="{EAC910CB-7DE1-4E88-AF33-A15EBCF92163}"/>
    <cellStyle name="40% - Énfasis4 12 2" xfId="2098" xr:uid="{4A5283CA-B1DA-48E9-89F5-6C861AB54111}"/>
    <cellStyle name="40% - Énfasis4 12 2 2" xfId="4718" xr:uid="{96C37AD0-FDD5-40B8-B087-CB04B7E27A0D}"/>
    <cellStyle name="40% - Énfasis4 12 3" xfId="3406" xr:uid="{AC2015B0-2601-4F69-BE45-134784A5CFCC}"/>
    <cellStyle name="40% - Énfasis4 13" xfId="796" xr:uid="{68B1236B-2163-4947-A9C6-358A2F2EB099}"/>
    <cellStyle name="40% - Énfasis4 13 2" xfId="2118" xr:uid="{EF2271B9-D3CE-42DA-AD94-BD3F6C6F8F11}"/>
    <cellStyle name="40% - Énfasis4 13 2 2" xfId="4738" xr:uid="{EAC1BA9E-CCDD-4BF5-A2B7-2A3B4103EEF4}"/>
    <cellStyle name="40% - Énfasis4 13 3" xfId="3426" xr:uid="{A5DB4F41-A23D-4D4E-9921-51025603419F}"/>
    <cellStyle name="40% - Énfasis4 14" xfId="816" xr:uid="{A993AB9B-F1D7-45E0-8839-C50748112C0A}"/>
    <cellStyle name="40% - Énfasis4 14 2" xfId="2138" xr:uid="{B8BCCCEC-7F44-4F92-98C6-746B59556663}"/>
    <cellStyle name="40% - Énfasis4 14 2 2" xfId="4758" xr:uid="{AD64375E-6BB0-4696-850C-BDCDEF3D22E9}"/>
    <cellStyle name="40% - Énfasis4 14 3" xfId="3446" xr:uid="{1A9E6866-F3D1-45BE-A45C-7797BCE69E4B}"/>
    <cellStyle name="40% - Énfasis4 15" xfId="836" xr:uid="{CB9645BD-7AEA-4220-A729-ACE385ECED48}"/>
    <cellStyle name="40% - Énfasis4 15 2" xfId="2158" xr:uid="{BB1D3C31-2879-4FFD-B907-46E9BD525225}"/>
    <cellStyle name="40% - Énfasis4 15 2 2" xfId="4778" xr:uid="{4F771193-216A-4F19-8C85-DA3F24336CCB}"/>
    <cellStyle name="40% - Énfasis4 15 3" xfId="3466" xr:uid="{F170EB11-988D-434F-921F-925CCC7EDE2C}"/>
    <cellStyle name="40% - Énfasis4 16" xfId="856" xr:uid="{29852B69-F4DB-464D-A3AD-81A2C64141CA}"/>
    <cellStyle name="40% - Énfasis4 16 2" xfId="2178" xr:uid="{7F3B067F-C95A-4C38-AF5F-2ACA94136BA7}"/>
    <cellStyle name="40% - Énfasis4 16 2 2" xfId="4798" xr:uid="{11744585-E235-4388-BB50-6C0B10C1736D}"/>
    <cellStyle name="40% - Énfasis4 16 3" xfId="3486" xr:uid="{39C7D71D-5E63-4386-BCF8-A54CB1855D29}"/>
    <cellStyle name="40% - Énfasis4 17" xfId="876" xr:uid="{8C6B2B5A-1DBB-4131-B373-8FD190C9E178}"/>
    <cellStyle name="40% - Énfasis4 17 2" xfId="2198" xr:uid="{DC40673F-D0E8-4CB8-82F5-6E53B76D01B5}"/>
    <cellStyle name="40% - Énfasis4 17 2 2" xfId="4818" xr:uid="{EE0E5CE0-358D-40E4-B9F3-8135E32A89EE}"/>
    <cellStyle name="40% - Énfasis4 17 3" xfId="3506" xr:uid="{3D8901E1-80A1-4545-98C4-5A7E6ECDD70C}"/>
    <cellStyle name="40% - Énfasis4 18" xfId="896" xr:uid="{5994B3BE-CA1D-4A06-BBD5-59800C1273D5}"/>
    <cellStyle name="40% - Énfasis4 18 2" xfId="2218" xr:uid="{A84B14F3-9109-49B5-8656-61984AE3CBC6}"/>
    <cellStyle name="40% - Énfasis4 18 2 2" xfId="4838" xr:uid="{D759DC29-6112-4C25-A8A0-92A923DE49B5}"/>
    <cellStyle name="40% - Énfasis4 18 3" xfId="3526" xr:uid="{5E3F2E5E-912D-4070-9BB7-B377305CE519}"/>
    <cellStyle name="40% - Énfasis4 19" xfId="916" xr:uid="{351314A5-4159-44E0-9895-F6D84F3DB8EC}"/>
    <cellStyle name="40% - Énfasis4 19 2" xfId="2238" xr:uid="{129D2CD9-5DA7-422E-9EC5-5901A4500A21}"/>
    <cellStyle name="40% - Énfasis4 19 2 2" xfId="4858" xr:uid="{9B167F47-3421-48AE-997E-886C44E5B27E}"/>
    <cellStyle name="40% - Énfasis4 19 3" xfId="3546" xr:uid="{C63DEF62-FAD0-437D-BC5A-A45BA67F6C04}"/>
    <cellStyle name="40% - Énfasis4 2" xfId="576" xr:uid="{31DC96AC-50A3-4696-9CCF-D4824DA63756}"/>
    <cellStyle name="40% - Énfasis4 2 2" xfId="1898" xr:uid="{596796EE-F119-442E-B26C-045EE70C63D5}"/>
    <cellStyle name="40% - Énfasis4 2 2 2" xfId="4518" xr:uid="{DD943BCF-48B5-4B11-819E-A0AC2736E59D}"/>
    <cellStyle name="40% - Énfasis4 2 3" xfId="3206" xr:uid="{437A4252-4EAD-4844-87B3-E84D7BC726E0}"/>
    <cellStyle name="40% - Énfasis4 20" xfId="936" xr:uid="{437AD4DB-2A67-4D56-9E8F-5EECD9D16DFA}"/>
    <cellStyle name="40% - Énfasis4 20 2" xfId="2258" xr:uid="{6A4DF5A8-C0B8-4B89-894A-0D313079F9EC}"/>
    <cellStyle name="40% - Énfasis4 20 2 2" xfId="4878" xr:uid="{817C394F-716D-4867-BC6A-0E20D1C75C55}"/>
    <cellStyle name="40% - Énfasis4 20 3" xfId="3566" xr:uid="{2A122D64-65EE-4616-8C17-848B3AB7E006}"/>
    <cellStyle name="40% - Énfasis4 21" xfId="956" xr:uid="{7470A703-0ABC-4914-92E6-23EDD708A87F}"/>
    <cellStyle name="40% - Énfasis4 21 2" xfId="2278" xr:uid="{21A3F27E-CD65-48DC-A71E-02AEC98E11F4}"/>
    <cellStyle name="40% - Énfasis4 21 2 2" xfId="4898" xr:uid="{1AC6E267-7815-4EFB-A7F3-AB2C9FBB163C}"/>
    <cellStyle name="40% - Énfasis4 21 3" xfId="3586" xr:uid="{82372DE6-3812-4C35-92D5-723B45ADA888}"/>
    <cellStyle name="40% - Énfasis4 22" xfId="976" xr:uid="{8AA75652-7225-494F-88DB-BB03ED414FE4}"/>
    <cellStyle name="40% - Énfasis4 22 2" xfId="2298" xr:uid="{A5C78260-9A6C-49FF-BA88-3FDAE87C129C}"/>
    <cellStyle name="40% - Énfasis4 22 2 2" xfId="4918" xr:uid="{8A6C3B61-3256-4B5F-BD42-7A67EBB394A5}"/>
    <cellStyle name="40% - Énfasis4 22 3" xfId="3606" xr:uid="{B8E4F4E8-113D-4F78-AD70-21169549B891}"/>
    <cellStyle name="40% - Énfasis4 23" xfId="996" xr:uid="{CA48C48D-BBB3-4CD4-A546-4A0595CE22DB}"/>
    <cellStyle name="40% - Énfasis4 23 2" xfId="2318" xr:uid="{8DFB0416-1927-4D48-902E-8B5C26D7DE0F}"/>
    <cellStyle name="40% - Énfasis4 23 2 2" xfId="4938" xr:uid="{4733B611-03DA-4B79-915F-D291BAF7FAEA}"/>
    <cellStyle name="40% - Énfasis4 23 3" xfId="3626" xr:uid="{E159CD58-419B-4079-AADB-88E729F553BC}"/>
    <cellStyle name="40% - Énfasis4 24" xfId="1016" xr:uid="{1AD28251-502C-4C4B-B4CF-654F38566771}"/>
    <cellStyle name="40% - Énfasis4 24 2" xfId="2338" xr:uid="{D086BB3B-E7B9-49B8-9BA0-BB339E430BBA}"/>
    <cellStyle name="40% - Énfasis4 24 2 2" xfId="4958" xr:uid="{B0547B4F-5367-421E-B28F-CE216DF35C93}"/>
    <cellStyle name="40% - Énfasis4 24 3" xfId="3646" xr:uid="{704A830F-BA08-4194-B018-9394D23FB02F}"/>
    <cellStyle name="40% - Énfasis4 25" xfId="1036" xr:uid="{EB4BAFCF-F670-4AFC-8C6A-6A3B60D8E44E}"/>
    <cellStyle name="40% - Énfasis4 25 2" xfId="2358" xr:uid="{AFC0A175-06EA-41A8-BEAB-0C0ADA3F7A51}"/>
    <cellStyle name="40% - Énfasis4 25 2 2" xfId="4978" xr:uid="{B7A3057E-1CC2-4BD4-A853-2D2159B63FB3}"/>
    <cellStyle name="40% - Énfasis4 25 3" xfId="3666" xr:uid="{92825956-277B-422C-93F0-A30BA743EA53}"/>
    <cellStyle name="40% - Énfasis4 26" xfId="1136" xr:uid="{8AF338D1-5871-44CA-AE32-96CF8F531D94}"/>
    <cellStyle name="40% - Énfasis4 26 2" xfId="2458" xr:uid="{0D9D5E6A-C974-4EAD-B2A9-83EBE03578A1}"/>
    <cellStyle name="40% - Énfasis4 26 2 2" xfId="5078" xr:uid="{A0293A6E-16C9-458A-801E-8C0B2F3C48D1}"/>
    <cellStyle name="40% - Énfasis4 26 3" xfId="3766" xr:uid="{F01FCFAC-5230-4373-8784-C21AEEEDDAD9}"/>
    <cellStyle name="40% - Énfasis4 27" xfId="1156" xr:uid="{5A26ED63-AAC0-4F5D-92DB-3090E06129A6}"/>
    <cellStyle name="40% - Énfasis4 27 2" xfId="2478" xr:uid="{EBA815BC-21DE-449C-B515-8906D20A094A}"/>
    <cellStyle name="40% - Énfasis4 27 2 2" xfId="5098" xr:uid="{C8DB4827-52B9-4D03-8ED4-AB720AE0C933}"/>
    <cellStyle name="40% - Énfasis4 27 3" xfId="3786" xr:uid="{A78BA93C-D3CA-4F3A-8045-CA6A1A9C085E}"/>
    <cellStyle name="40% - Énfasis4 28" xfId="1176" xr:uid="{C3410C34-D2D5-47FB-80A8-E9850CDFE574}"/>
    <cellStyle name="40% - Énfasis4 28 2" xfId="2498" xr:uid="{843E9C62-4BD7-43C2-8D71-8D69D5A922A5}"/>
    <cellStyle name="40% - Énfasis4 28 2 2" xfId="5118" xr:uid="{BEACBF53-029A-412E-964F-BB834FA293BE}"/>
    <cellStyle name="40% - Énfasis4 28 3" xfId="3806" xr:uid="{D309B58A-5D4D-4613-931A-F09000F9ED30}"/>
    <cellStyle name="40% - Énfasis4 29" xfId="1196" xr:uid="{869B369F-1618-4778-913F-B6177211D152}"/>
    <cellStyle name="40% - Énfasis4 29 2" xfId="2518" xr:uid="{DB5169E2-56DD-4C4A-86D2-19EA691290C9}"/>
    <cellStyle name="40% - Énfasis4 29 2 2" xfId="5138" xr:uid="{55F14801-DE2E-4601-8477-8CD14DC12518}"/>
    <cellStyle name="40% - Énfasis4 29 3" xfId="3826" xr:uid="{815A6F35-9022-4F54-92DF-785B1BAAE165}"/>
    <cellStyle name="40% - Énfasis4 3" xfId="596" xr:uid="{FF015011-CE2A-4069-9BDD-240B3C62484B}"/>
    <cellStyle name="40% - Énfasis4 3 2" xfId="1918" xr:uid="{E7104010-75B6-41FA-95EE-DE3EE2113195}"/>
    <cellStyle name="40% - Énfasis4 3 2 2" xfId="4538" xr:uid="{5CD82BBD-A0D6-4A8E-967B-EC9AFF800A17}"/>
    <cellStyle name="40% - Énfasis4 3 3" xfId="3226" xr:uid="{CBAB9C60-32D4-47B4-8CE8-5A9ACA814468}"/>
    <cellStyle name="40% - Énfasis4 30" xfId="1216" xr:uid="{26B9FBD2-0530-459A-85AA-177FE5DFDADC}"/>
    <cellStyle name="40% - Énfasis4 30 2" xfId="2538" xr:uid="{4C45C7CE-D885-455F-978C-C651D7BD2442}"/>
    <cellStyle name="40% - Énfasis4 30 2 2" xfId="5158" xr:uid="{D529D3F5-F8FE-48C5-9A19-2D7527AA43F1}"/>
    <cellStyle name="40% - Énfasis4 30 3" xfId="3846" xr:uid="{61A6F450-45C9-40D7-B7B7-2D2BAEDB3BA2}"/>
    <cellStyle name="40% - Énfasis4 31" xfId="1236" xr:uid="{EF136F37-2E28-4B76-9871-12FC6452DE48}"/>
    <cellStyle name="40% - Énfasis4 31 2" xfId="2558" xr:uid="{AB174776-AE69-4BA2-A8CF-30D0AE7CED62}"/>
    <cellStyle name="40% - Énfasis4 31 2 2" xfId="5178" xr:uid="{EF46AB16-5307-4FDE-9F6B-DC066167B67F}"/>
    <cellStyle name="40% - Énfasis4 31 3" xfId="3866" xr:uid="{D779C70D-461B-4C7B-8DBE-F532747AEB5F}"/>
    <cellStyle name="40% - Énfasis4 32" xfId="1256" xr:uid="{6170A9F9-CD6C-4094-A0F9-D7F35ED8B711}"/>
    <cellStyle name="40% - Énfasis4 32 2" xfId="2578" xr:uid="{3B44BC0E-8D1A-4A51-9645-DC31854C8351}"/>
    <cellStyle name="40% - Énfasis4 32 2 2" xfId="5198" xr:uid="{60A8E147-C445-4122-ABA3-89519AF72081}"/>
    <cellStyle name="40% - Énfasis4 32 3" xfId="3886" xr:uid="{A82216DD-6662-4416-9AF2-264BFED60261}"/>
    <cellStyle name="40% - Énfasis4 33" xfId="1276" xr:uid="{E75F1413-D40A-4394-AF3D-BE80B3B0E2E5}"/>
    <cellStyle name="40% - Énfasis4 33 2" xfId="2598" xr:uid="{DFF47DF8-CC25-4C63-B2C2-8E0E8F026643}"/>
    <cellStyle name="40% - Énfasis4 33 2 2" xfId="5218" xr:uid="{23248C75-D060-4FD5-A905-569166CB1E0E}"/>
    <cellStyle name="40% - Énfasis4 33 3" xfId="3906" xr:uid="{8CFCA49D-90F0-4077-A908-C91A17D11F1D}"/>
    <cellStyle name="40% - Énfasis4 34" xfId="1296" xr:uid="{716C1625-4228-441F-80BD-DB3867823FF1}"/>
    <cellStyle name="40% - Énfasis4 34 2" xfId="2618" xr:uid="{7AA81563-380F-490A-8AEE-E1934DD7F97E}"/>
    <cellStyle name="40% - Énfasis4 34 2 2" xfId="5238" xr:uid="{CD4E127F-A75D-4590-A0E3-A37A7CD18D86}"/>
    <cellStyle name="40% - Énfasis4 34 3" xfId="3926" xr:uid="{2581AE43-0514-477D-81CE-23F710AB2B1F}"/>
    <cellStyle name="40% - Énfasis4 35" xfId="1316" xr:uid="{6F1DC8DB-46BC-462E-90A0-D0BB4F9CCDB0}"/>
    <cellStyle name="40% - Énfasis4 35 2" xfId="2638" xr:uid="{2968B132-C31B-40CF-B2A2-744D9ECB8D89}"/>
    <cellStyle name="40% - Énfasis4 35 2 2" xfId="5258" xr:uid="{5AE41324-9FFC-4417-B097-CD5594ABB76B}"/>
    <cellStyle name="40% - Énfasis4 35 3" xfId="3946" xr:uid="{2FEAF703-61B2-410C-A0A7-6F95C5D3EE90}"/>
    <cellStyle name="40% - Énfasis4 36" xfId="1354" xr:uid="{A195F0B3-EE6D-45F1-8584-5627E2B5B6CC}"/>
    <cellStyle name="40% - Énfasis4 36 2" xfId="3976" xr:uid="{504466CD-A122-4357-A0C4-A69326D9E637}"/>
    <cellStyle name="40% - Énfasis4 37" xfId="2664" xr:uid="{213573A2-1589-42E7-81B6-F058E839AFB8}"/>
    <cellStyle name="40% - Énfasis4 4" xfId="616" xr:uid="{77A62419-91F4-4A4F-A194-12E8FA7E088E}"/>
    <cellStyle name="40% - Énfasis4 4 2" xfId="1938" xr:uid="{A21EF8E7-2A8E-4621-A0BB-F03393AA6689}"/>
    <cellStyle name="40% - Énfasis4 4 2 2" xfId="4558" xr:uid="{4B26B761-C28C-4666-91A5-C83B8CE4F0C3}"/>
    <cellStyle name="40% - Énfasis4 4 3" xfId="3246" xr:uid="{48EBF567-FD35-49A8-8BC4-05EBAAA626D4}"/>
    <cellStyle name="40% - Énfasis4 5" xfId="636" xr:uid="{3F8FBD93-AB60-4E9A-841E-97BC23D14D98}"/>
    <cellStyle name="40% - Énfasis4 5 2" xfId="1958" xr:uid="{C81FFF4A-2015-4C45-B993-6579041D4741}"/>
    <cellStyle name="40% - Énfasis4 5 2 2" xfId="4578" xr:uid="{FEB21BFC-BD77-4468-A033-8B1C2C54CFDF}"/>
    <cellStyle name="40% - Énfasis4 5 3" xfId="3266" xr:uid="{61B0CB91-AF8C-4008-BDD1-6FFB2ADABB50}"/>
    <cellStyle name="40% - Énfasis4 6" xfId="656" xr:uid="{6DF659B5-75FA-4591-BD33-1573A3CEB59B}"/>
    <cellStyle name="40% - Énfasis4 6 2" xfId="1978" xr:uid="{6BBE4B83-FDDA-492A-B9E0-4572320B4739}"/>
    <cellStyle name="40% - Énfasis4 6 2 2" xfId="4598" xr:uid="{F3A6F480-E6E3-4737-B562-C079B2707E99}"/>
    <cellStyle name="40% - Énfasis4 6 3" xfId="3286" xr:uid="{DB100507-F909-4B32-8804-0AB43DA711F3}"/>
    <cellStyle name="40% - Énfasis4 7" xfId="676" xr:uid="{F52A26B4-3654-4C3E-AC7D-C8ABF841EBC7}"/>
    <cellStyle name="40% - Énfasis4 7 2" xfId="1998" xr:uid="{8D3E1C61-6296-4226-937F-58A6F08CE5BA}"/>
    <cellStyle name="40% - Énfasis4 7 2 2" xfId="4618" xr:uid="{9179C566-570C-4CFA-BB5C-76A1629E8385}"/>
    <cellStyle name="40% - Énfasis4 7 3" xfId="3306" xr:uid="{2BBE35C3-57A1-49C4-8462-BC2D06B517C0}"/>
    <cellStyle name="40% - Énfasis4 8" xfId="696" xr:uid="{D420942F-89B0-4127-81E6-0389E5E50B94}"/>
    <cellStyle name="40% - Énfasis4 8 2" xfId="2018" xr:uid="{FBBC00CB-2B54-494C-B7A0-7D454885E00E}"/>
    <cellStyle name="40% - Énfasis4 8 2 2" xfId="4638" xr:uid="{1DF567C8-BAF6-4065-A51A-693DAE64A63F}"/>
    <cellStyle name="40% - Énfasis4 8 3" xfId="3326" xr:uid="{A628B83F-3480-4D29-9431-FEA121F321F4}"/>
    <cellStyle name="40% - Énfasis4 9" xfId="716" xr:uid="{CC0EFF65-7BDF-4590-9CD3-970739FA1F29}"/>
    <cellStyle name="40% - Énfasis4 9 2" xfId="2038" xr:uid="{7E239A0F-7B5D-48A2-877C-3C8A6CBA5EE9}"/>
    <cellStyle name="40% - Énfasis4 9 2 2" xfId="4658" xr:uid="{49CFF64C-D9BB-45A3-9BCC-A09D24CA4F3F}"/>
    <cellStyle name="40% - Énfasis4 9 3" xfId="3346" xr:uid="{E60368DE-FFB1-456B-992D-DA05440B8393}"/>
    <cellStyle name="40% - Énfasis5" xfId="35" builtinId="47" customBuiltin="1"/>
    <cellStyle name="40% - Énfasis5 10" xfId="739" xr:uid="{8A387F8B-D91B-46E9-BF7E-51B679FAA3DE}"/>
    <cellStyle name="40% - Énfasis5 10 2" xfId="2061" xr:uid="{DD160C1D-7789-4E19-8858-BBF1BB58F5FF}"/>
    <cellStyle name="40% - Énfasis5 10 2 2" xfId="4681" xr:uid="{A700ED62-FAD8-4746-A80F-66CEAADDD283}"/>
    <cellStyle name="40% - Énfasis5 10 3" xfId="3369" xr:uid="{9BDBE7BF-B81B-44D8-9EF3-8808145395F2}"/>
    <cellStyle name="40% - Énfasis5 11" xfId="759" xr:uid="{D110AA44-5579-486A-95E1-AB99EC18175A}"/>
    <cellStyle name="40% - Énfasis5 11 2" xfId="2081" xr:uid="{B5EBE6B9-BAA8-4C2B-86AF-87A0AB4C8EA0}"/>
    <cellStyle name="40% - Énfasis5 11 2 2" xfId="4701" xr:uid="{056B3554-D2F5-4889-ABD7-6ABFC9B16870}"/>
    <cellStyle name="40% - Énfasis5 11 3" xfId="3389" xr:uid="{EF5C3414-1F15-4421-B341-4816840C3102}"/>
    <cellStyle name="40% - Énfasis5 12" xfId="779" xr:uid="{5004EA2E-F7CB-4CA4-9395-6CC21FAD8416}"/>
    <cellStyle name="40% - Énfasis5 12 2" xfId="2101" xr:uid="{128A6B3A-F620-4595-AC93-C341F08F1587}"/>
    <cellStyle name="40% - Énfasis5 12 2 2" xfId="4721" xr:uid="{21080092-E3B4-4181-B3F7-61C384F6F222}"/>
    <cellStyle name="40% - Énfasis5 12 3" xfId="3409" xr:uid="{72B41CD7-3CE7-40D4-807A-9117704D360B}"/>
    <cellStyle name="40% - Énfasis5 13" xfId="799" xr:uid="{374BDC2A-49B4-4885-821E-E95622D09E24}"/>
    <cellStyle name="40% - Énfasis5 13 2" xfId="2121" xr:uid="{34F917AD-1EC7-4460-A50E-E67A63E4D7E2}"/>
    <cellStyle name="40% - Énfasis5 13 2 2" xfId="4741" xr:uid="{F94E83BE-5DF4-4472-8C9B-1E5104120EA6}"/>
    <cellStyle name="40% - Énfasis5 13 3" xfId="3429" xr:uid="{DB264A0D-BF25-47A1-976E-79F1BA2714A6}"/>
    <cellStyle name="40% - Énfasis5 14" xfId="819" xr:uid="{643409C7-126F-4425-8197-6FB01D328D9F}"/>
    <cellStyle name="40% - Énfasis5 14 2" xfId="2141" xr:uid="{2E93E5A2-9C49-4CA0-BFB6-469D893F82F5}"/>
    <cellStyle name="40% - Énfasis5 14 2 2" xfId="4761" xr:uid="{DA6923C1-3B1F-447D-8BB6-590A35197AAC}"/>
    <cellStyle name="40% - Énfasis5 14 3" xfId="3449" xr:uid="{AF78F065-1971-4E76-83C3-51B916E7679D}"/>
    <cellStyle name="40% - Énfasis5 15" xfId="839" xr:uid="{116BD5E3-2EC5-4BE5-AFDD-FE2A7CF5768A}"/>
    <cellStyle name="40% - Énfasis5 15 2" xfId="2161" xr:uid="{5832AEDB-0532-4365-830B-9F8007F58202}"/>
    <cellStyle name="40% - Énfasis5 15 2 2" xfId="4781" xr:uid="{DF7F9242-6F57-401C-9592-973E981E3E7E}"/>
    <cellStyle name="40% - Énfasis5 15 3" xfId="3469" xr:uid="{F7E44EDD-1FC1-4C05-93F6-148453F5FDE1}"/>
    <cellStyle name="40% - Énfasis5 16" xfId="859" xr:uid="{7B0AF036-D972-4D3D-8860-A98426ECC756}"/>
    <cellStyle name="40% - Énfasis5 16 2" xfId="2181" xr:uid="{24049C47-F7C6-4CE2-8DAC-1811FD75E7FE}"/>
    <cellStyle name="40% - Énfasis5 16 2 2" xfId="4801" xr:uid="{F3AF990B-A9CB-4B89-A5C1-DB2E009A81A1}"/>
    <cellStyle name="40% - Énfasis5 16 3" xfId="3489" xr:uid="{97872D04-A8BA-4CCD-A8A3-DCF1D2DBF502}"/>
    <cellStyle name="40% - Énfasis5 17" xfId="879" xr:uid="{80FEAC5A-48BA-4EC3-8519-F5C5C5CD20E2}"/>
    <cellStyle name="40% - Énfasis5 17 2" xfId="2201" xr:uid="{400B1299-AAFA-4CF6-8078-E50DF07D958F}"/>
    <cellStyle name="40% - Énfasis5 17 2 2" xfId="4821" xr:uid="{C939D117-2A5B-4DA1-9262-ECD4BCFCFA4C}"/>
    <cellStyle name="40% - Énfasis5 17 3" xfId="3509" xr:uid="{4BBBDFED-6E6C-4BAC-8299-83BD11A5666C}"/>
    <cellStyle name="40% - Énfasis5 18" xfId="899" xr:uid="{FC2AC4F0-2E40-4B0E-AF6E-CEA4E20F7AC9}"/>
    <cellStyle name="40% - Énfasis5 18 2" xfId="2221" xr:uid="{8963BF37-F41F-4777-AAD8-EBEA84910B4A}"/>
    <cellStyle name="40% - Énfasis5 18 2 2" xfId="4841" xr:uid="{13A8F2CA-CF3E-4693-B4C9-3912CFD80469}"/>
    <cellStyle name="40% - Énfasis5 18 3" xfId="3529" xr:uid="{B5DEC407-7592-4C89-8C99-612E4BF44AC0}"/>
    <cellStyle name="40% - Énfasis5 19" xfId="919" xr:uid="{78D5D485-0C04-4013-A8BC-B3797FF33B80}"/>
    <cellStyle name="40% - Énfasis5 19 2" xfId="2241" xr:uid="{24D30E57-D28E-4BF1-ADA0-387AC4B35223}"/>
    <cellStyle name="40% - Énfasis5 19 2 2" xfId="4861" xr:uid="{4909CD13-05CE-491D-87F8-220F91AF8742}"/>
    <cellStyle name="40% - Énfasis5 19 3" xfId="3549" xr:uid="{49D8C873-A72D-4199-892C-A133C658E71D}"/>
    <cellStyle name="40% - Énfasis5 2" xfId="579" xr:uid="{114D7FF7-0FC2-4122-B74D-B5980F4436F5}"/>
    <cellStyle name="40% - Énfasis5 2 2" xfId="1901" xr:uid="{C3C5568D-CE15-4507-B2FE-CFC83108A9E1}"/>
    <cellStyle name="40% - Énfasis5 2 2 2" xfId="4521" xr:uid="{A9CE541A-F912-4D00-92BB-87B968B01683}"/>
    <cellStyle name="40% - Énfasis5 2 3" xfId="3209" xr:uid="{A3338B8A-28A4-42F1-AAD1-7CF2630C672E}"/>
    <cellStyle name="40% - Énfasis5 20" xfId="939" xr:uid="{27370CA5-8D5C-48E3-81F8-F87EFF168AB2}"/>
    <cellStyle name="40% - Énfasis5 20 2" xfId="2261" xr:uid="{95839B0D-2CA4-447F-A788-4756042B34D5}"/>
    <cellStyle name="40% - Énfasis5 20 2 2" xfId="4881" xr:uid="{B5D08978-DC97-4B79-AB3E-0DEA6B933788}"/>
    <cellStyle name="40% - Énfasis5 20 3" xfId="3569" xr:uid="{3D6A891E-80CB-4925-AE79-25ECC06A1F96}"/>
    <cellStyle name="40% - Énfasis5 21" xfId="959" xr:uid="{EEAA8359-A77F-4D3C-B2DE-0C64A77CC060}"/>
    <cellStyle name="40% - Énfasis5 21 2" xfId="2281" xr:uid="{938839AE-B7FA-4801-9DAA-832C783E77EF}"/>
    <cellStyle name="40% - Énfasis5 21 2 2" xfId="4901" xr:uid="{61C8E14D-667E-46B6-B29B-BF66D996FD50}"/>
    <cellStyle name="40% - Énfasis5 21 3" xfId="3589" xr:uid="{EA69FF59-C6F7-4E04-A299-ABBA51CC0438}"/>
    <cellStyle name="40% - Énfasis5 22" xfId="979" xr:uid="{00553FD4-D9D9-4FB9-9B1D-A6FD34F5240C}"/>
    <cellStyle name="40% - Énfasis5 22 2" xfId="2301" xr:uid="{CEAF8CC1-ABD5-4C97-B9AD-67362B58B1C0}"/>
    <cellStyle name="40% - Énfasis5 22 2 2" xfId="4921" xr:uid="{3DFAC33C-D5C4-4648-9B95-8509F6618FAC}"/>
    <cellStyle name="40% - Énfasis5 22 3" xfId="3609" xr:uid="{E4ACEE76-5666-4DB6-AA7A-E25C42895DEE}"/>
    <cellStyle name="40% - Énfasis5 23" xfId="999" xr:uid="{EFF84B9F-B65D-49D1-8273-5B9D72782D62}"/>
    <cellStyle name="40% - Énfasis5 23 2" xfId="2321" xr:uid="{87D3BB27-97D3-40C7-A9DB-EAA3F0C4D934}"/>
    <cellStyle name="40% - Énfasis5 23 2 2" xfId="4941" xr:uid="{38A3575D-E668-445C-916F-4886E3171583}"/>
    <cellStyle name="40% - Énfasis5 23 3" xfId="3629" xr:uid="{811F3A06-BB79-4104-B28C-CD479B393CA7}"/>
    <cellStyle name="40% - Énfasis5 24" xfId="1019" xr:uid="{20FF2B8A-6015-49DF-8062-6573BCCADF3D}"/>
    <cellStyle name="40% - Énfasis5 24 2" xfId="2341" xr:uid="{3509F63A-DC09-4FAB-9725-6D9F1904109E}"/>
    <cellStyle name="40% - Énfasis5 24 2 2" xfId="4961" xr:uid="{7A0FBFBA-EF2E-46D7-A98B-C2AE5F4C309C}"/>
    <cellStyle name="40% - Énfasis5 24 3" xfId="3649" xr:uid="{53335FB5-A0F3-42CF-BAA8-6DFCD60B93D7}"/>
    <cellStyle name="40% - Énfasis5 25" xfId="1039" xr:uid="{05A76EA0-BCC0-448F-9FCC-1E403FA783A5}"/>
    <cellStyle name="40% - Énfasis5 25 2" xfId="2361" xr:uid="{59FC8CCA-5CD8-4799-90B5-3EC24AD22D2F}"/>
    <cellStyle name="40% - Énfasis5 25 2 2" xfId="4981" xr:uid="{D356E15E-1C6A-492B-86E0-A7E931EB1B02}"/>
    <cellStyle name="40% - Énfasis5 25 3" xfId="3669" xr:uid="{AB1BDC08-6522-4365-BA63-33BFBFA67EFC}"/>
    <cellStyle name="40% - Énfasis5 26" xfId="1139" xr:uid="{D7A62CA6-6D2F-427B-8B9A-7AC32B4C0D74}"/>
    <cellStyle name="40% - Énfasis5 26 2" xfId="2461" xr:uid="{AB239867-4EC3-4D65-86FC-76A6FA2E6A3B}"/>
    <cellStyle name="40% - Énfasis5 26 2 2" xfId="5081" xr:uid="{C8F7C0E5-4914-487C-9320-9BBD399DA7DF}"/>
    <cellStyle name="40% - Énfasis5 26 3" xfId="3769" xr:uid="{5FD6CFED-3414-4D72-9A16-09FA495DA766}"/>
    <cellStyle name="40% - Énfasis5 27" xfId="1159" xr:uid="{A69FF380-1B49-488A-9156-0AB26FE4DF8B}"/>
    <cellStyle name="40% - Énfasis5 27 2" xfId="2481" xr:uid="{64F026A3-C4F7-4DBF-8CC7-40C37ECE0156}"/>
    <cellStyle name="40% - Énfasis5 27 2 2" xfId="5101" xr:uid="{F7B4DA7C-206C-44AD-B174-BAF26CA99AD4}"/>
    <cellStyle name="40% - Énfasis5 27 3" xfId="3789" xr:uid="{14711B69-BD45-43C2-8FA8-6E1DEC8F013B}"/>
    <cellStyle name="40% - Énfasis5 28" xfId="1179" xr:uid="{A9EF68BF-19A3-4A74-A379-DABB29B35940}"/>
    <cellStyle name="40% - Énfasis5 28 2" xfId="2501" xr:uid="{3A069E4B-14A0-488B-9EF7-EC6932CFF3FB}"/>
    <cellStyle name="40% - Énfasis5 28 2 2" xfId="5121" xr:uid="{852129C9-8C25-4774-ADDF-540A66D384A0}"/>
    <cellStyle name="40% - Énfasis5 28 3" xfId="3809" xr:uid="{4AB21275-749C-44D6-8192-459305DB5F15}"/>
    <cellStyle name="40% - Énfasis5 29" xfId="1199" xr:uid="{63591806-3252-4624-8066-EB174C85F728}"/>
    <cellStyle name="40% - Énfasis5 29 2" xfId="2521" xr:uid="{1CF6F7A0-7147-4FA8-9A0A-3AFE4EEA965F}"/>
    <cellStyle name="40% - Énfasis5 29 2 2" xfId="5141" xr:uid="{1F6CB223-1194-431C-B640-6843E5ACCC7D}"/>
    <cellStyle name="40% - Énfasis5 29 3" xfId="3829" xr:uid="{8A524ACF-6003-41A8-AD3B-6F4A1FCCE399}"/>
    <cellStyle name="40% - Énfasis5 3" xfId="599" xr:uid="{9EDF596A-47CA-4EFF-9341-E71820DD6A1F}"/>
    <cellStyle name="40% - Énfasis5 3 2" xfId="1921" xr:uid="{2028EA66-61F8-480E-86EA-E930425E7E77}"/>
    <cellStyle name="40% - Énfasis5 3 2 2" xfId="4541" xr:uid="{8AE4DCD5-0D6C-416B-A279-15239F9732DE}"/>
    <cellStyle name="40% - Énfasis5 3 3" xfId="3229" xr:uid="{6C2604F2-CBD8-4A87-AA3A-C840D464FD2D}"/>
    <cellStyle name="40% - Énfasis5 30" xfId="1219" xr:uid="{B2BE3DC2-0E19-445E-A1C4-214668F6EC9E}"/>
    <cellStyle name="40% - Énfasis5 30 2" xfId="2541" xr:uid="{AC8766D3-8A17-43D5-B8BA-31A74E1527E2}"/>
    <cellStyle name="40% - Énfasis5 30 2 2" xfId="5161" xr:uid="{BA483A4E-8216-4BBB-B583-B2170740E35D}"/>
    <cellStyle name="40% - Énfasis5 30 3" xfId="3849" xr:uid="{52072FDE-2FB5-4D69-B09F-8194090EC6A0}"/>
    <cellStyle name="40% - Énfasis5 31" xfId="1239" xr:uid="{235ED41C-E307-41D2-ABFE-743ECB105191}"/>
    <cellStyle name="40% - Énfasis5 31 2" xfId="2561" xr:uid="{333FA37E-DF3B-416B-9B53-043EF350811C}"/>
    <cellStyle name="40% - Énfasis5 31 2 2" xfId="5181" xr:uid="{4CF26FF1-9C3E-47CA-B481-C8304EE2A530}"/>
    <cellStyle name="40% - Énfasis5 31 3" xfId="3869" xr:uid="{6FBD0359-404E-4FE9-AE9A-29070B5BF184}"/>
    <cellStyle name="40% - Énfasis5 32" xfId="1259" xr:uid="{92FC5CBE-174C-4B2A-8471-0718C0EA26C0}"/>
    <cellStyle name="40% - Énfasis5 32 2" xfId="2581" xr:uid="{CFA2BD51-7F3C-44A7-85D7-044ADBA526A2}"/>
    <cellStyle name="40% - Énfasis5 32 2 2" xfId="5201" xr:uid="{5A56F257-ECAE-474A-AF8B-B03B7041365F}"/>
    <cellStyle name="40% - Énfasis5 32 3" xfId="3889" xr:uid="{EE817E99-C57B-4617-B6FC-91BB4C4A3765}"/>
    <cellStyle name="40% - Énfasis5 33" xfId="1279" xr:uid="{B93FEAC5-D91B-4F0B-8261-59D3E8462727}"/>
    <cellStyle name="40% - Énfasis5 33 2" xfId="2601" xr:uid="{E5F4DCB0-6A9B-4497-91D1-F98CA3B2CD24}"/>
    <cellStyle name="40% - Énfasis5 33 2 2" xfId="5221" xr:uid="{987C6BD8-6262-4B19-B136-2F77790AD7A0}"/>
    <cellStyle name="40% - Énfasis5 33 3" xfId="3909" xr:uid="{2A1A6073-986D-4358-B8C9-D185679B243D}"/>
    <cellStyle name="40% - Énfasis5 34" xfId="1299" xr:uid="{35E3B2DC-7D79-4153-B12C-EFC0395636FE}"/>
    <cellStyle name="40% - Énfasis5 34 2" xfId="2621" xr:uid="{686F9B55-6B4E-483D-BEFE-68F2051A349D}"/>
    <cellStyle name="40% - Énfasis5 34 2 2" xfId="5241" xr:uid="{12B305DE-E3D4-4A4B-B8E5-94C4FA14E6D0}"/>
    <cellStyle name="40% - Énfasis5 34 3" xfId="3929" xr:uid="{83151267-A683-4530-9665-7B93EE1303F2}"/>
    <cellStyle name="40% - Énfasis5 35" xfId="1319" xr:uid="{1009CE23-219F-4593-90DB-82663B710DD7}"/>
    <cellStyle name="40% - Énfasis5 35 2" xfId="2641" xr:uid="{2315CA14-68C5-4218-BBD3-A8B5CEC9BAA1}"/>
    <cellStyle name="40% - Énfasis5 35 2 2" xfId="5261" xr:uid="{F01536B3-F1E7-4781-B216-438673F7946E}"/>
    <cellStyle name="40% - Énfasis5 35 3" xfId="3949" xr:uid="{B3A0A03F-2B9A-49AC-B029-95ACCC6F87B9}"/>
    <cellStyle name="40% - Énfasis5 36" xfId="1357" xr:uid="{10D6F961-77E1-467C-850C-CD3CAE89B8DE}"/>
    <cellStyle name="40% - Énfasis5 36 2" xfId="3979" xr:uid="{4E51EA75-C060-4339-A582-42F73AF78166}"/>
    <cellStyle name="40% - Énfasis5 37" xfId="2667" xr:uid="{3359A720-B833-4E59-9F3A-0750CCE60D08}"/>
    <cellStyle name="40% - Énfasis5 4" xfId="619" xr:uid="{CF817563-0BD9-4182-9BF4-C329D224695E}"/>
    <cellStyle name="40% - Énfasis5 4 2" xfId="1941" xr:uid="{48B3C140-C14F-4AD3-85E6-D093FFD67158}"/>
    <cellStyle name="40% - Énfasis5 4 2 2" xfId="4561" xr:uid="{04F083A6-F97B-49AE-BCFB-9651F3FBE6F4}"/>
    <cellStyle name="40% - Énfasis5 4 3" xfId="3249" xr:uid="{5C63798D-E63B-4C02-84E8-82900A916356}"/>
    <cellStyle name="40% - Énfasis5 5" xfId="639" xr:uid="{72C22091-AE3F-4E3B-8F96-99C0D1EC635C}"/>
    <cellStyle name="40% - Énfasis5 5 2" xfId="1961" xr:uid="{DFBDBFDD-BAEB-479D-98BA-D7CD47B7B563}"/>
    <cellStyle name="40% - Énfasis5 5 2 2" xfId="4581" xr:uid="{13FF4898-BF6B-421E-8284-AFABDB4C9B5B}"/>
    <cellStyle name="40% - Énfasis5 5 3" xfId="3269" xr:uid="{64829EF0-5E82-4DC0-9561-BA6AF73E591C}"/>
    <cellStyle name="40% - Énfasis5 6" xfId="659" xr:uid="{037B7CBA-F7EE-4462-A9B0-A1736A16A077}"/>
    <cellStyle name="40% - Énfasis5 6 2" xfId="1981" xr:uid="{DCD93DAB-A3C0-4748-B521-A19AD201E622}"/>
    <cellStyle name="40% - Énfasis5 6 2 2" xfId="4601" xr:uid="{36838E59-8172-41CE-B162-87B67172AA4C}"/>
    <cellStyle name="40% - Énfasis5 6 3" xfId="3289" xr:uid="{287127C9-6B85-410F-91F5-DE71050CF28D}"/>
    <cellStyle name="40% - Énfasis5 7" xfId="679" xr:uid="{E6597CC5-3EE7-493B-A225-C569B1375274}"/>
    <cellStyle name="40% - Énfasis5 7 2" xfId="2001" xr:uid="{A7DB0C7E-7C3F-4384-A6A4-246E0A7317F1}"/>
    <cellStyle name="40% - Énfasis5 7 2 2" xfId="4621" xr:uid="{B3E80A13-2E14-42EC-BB16-90F863E99130}"/>
    <cellStyle name="40% - Énfasis5 7 3" xfId="3309" xr:uid="{A6DCCA89-6099-48D3-A027-DCF061CBE54A}"/>
    <cellStyle name="40% - Énfasis5 8" xfId="699" xr:uid="{4308A331-AA29-423C-A0A5-2EC840DBB03F}"/>
    <cellStyle name="40% - Énfasis5 8 2" xfId="2021" xr:uid="{AF65437A-93F3-46A8-9535-133C686274CE}"/>
    <cellStyle name="40% - Énfasis5 8 2 2" xfId="4641" xr:uid="{34E9C618-4DCC-4176-8B31-D98258E38E2A}"/>
    <cellStyle name="40% - Énfasis5 8 3" xfId="3329" xr:uid="{A1005B0C-19C2-4BFB-81E4-D54A52A18C19}"/>
    <cellStyle name="40% - Énfasis5 9" xfId="719" xr:uid="{13D6B032-DA96-40D0-B1AB-F68DDFCF6EA1}"/>
    <cellStyle name="40% - Énfasis5 9 2" xfId="2041" xr:uid="{F3C60FA4-915D-4367-B978-3C0DC463A5BF}"/>
    <cellStyle name="40% - Énfasis5 9 2 2" xfId="4661" xr:uid="{0919DDF0-F81A-4305-BC13-79BED400E354}"/>
    <cellStyle name="40% - Énfasis5 9 3" xfId="3349" xr:uid="{3058DA86-E589-4947-A030-A9BB8CEB55C2}"/>
    <cellStyle name="40% - Énfasis6" xfId="39" builtinId="51" customBuiltin="1"/>
    <cellStyle name="40% - Énfasis6 10" xfId="742" xr:uid="{0428B66D-6585-47CA-97F5-923CC2744B40}"/>
    <cellStyle name="40% - Énfasis6 10 2" xfId="2064" xr:uid="{4366717B-0919-4BAE-9AB5-EF4BC3906AC6}"/>
    <cellStyle name="40% - Énfasis6 10 2 2" xfId="4684" xr:uid="{6773D20B-E50A-40CA-A19B-FCBBDF65F591}"/>
    <cellStyle name="40% - Énfasis6 10 3" xfId="3372" xr:uid="{EE32B97B-A362-479F-AC29-004195FC4033}"/>
    <cellStyle name="40% - Énfasis6 11" xfId="762" xr:uid="{5EF8312F-4EBA-4B6F-9C84-E65094DE0709}"/>
    <cellStyle name="40% - Énfasis6 11 2" xfId="2084" xr:uid="{C194862C-BAAC-495C-A4B6-97304BE19D1C}"/>
    <cellStyle name="40% - Énfasis6 11 2 2" xfId="4704" xr:uid="{F511E265-9CB9-4817-893E-F40B32056097}"/>
    <cellStyle name="40% - Énfasis6 11 3" xfId="3392" xr:uid="{92125434-9318-4711-A478-0B532FAC035E}"/>
    <cellStyle name="40% - Énfasis6 12" xfId="782" xr:uid="{A74E5509-9C38-41DB-BA06-047439870E36}"/>
    <cellStyle name="40% - Énfasis6 12 2" xfId="2104" xr:uid="{AAFB4307-E45B-4173-8B38-2D94CEE48ECE}"/>
    <cellStyle name="40% - Énfasis6 12 2 2" xfId="4724" xr:uid="{5AFC6008-6737-45E5-B953-29D28F7F6759}"/>
    <cellStyle name="40% - Énfasis6 12 3" xfId="3412" xr:uid="{F44D8BE2-87AD-4294-A9AA-A64F0299D8EF}"/>
    <cellStyle name="40% - Énfasis6 13" xfId="802" xr:uid="{FC9D4362-7D4B-4E01-90F9-A7EDE04DB8D4}"/>
    <cellStyle name="40% - Énfasis6 13 2" xfId="2124" xr:uid="{FF24568A-2ACA-45E7-A8E2-AEFA3F1B0C29}"/>
    <cellStyle name="40% - Énfasis6 13 2 2" xfId="4744" xr:uid="{F9FCC108-06AB-4B1F-8DBD-D57785D8612F}"/>
    <cellStyle name="40% - Énfasis6 13 3" xfId="3432" xr:uid="{9F8C7531-BDDC-4ABB-BB82-B0D440AA4102}"/>
    <cellStyle name="40% - Énfasis6 14" xfId="822" xr:uid="{0861E72C-70EC-447D-AE2F-10BE5590F69B}"/>
    <cellStyle name="40% - Énfasis6 14 2" xfId="2144" xr:uid="{461FF844-8531-4C19-8A56-61ABE084708C}"/>
    <cellStyle name="40% - Énfasis6 14 2 2" xfId="4764" xr:uid="{4098CBC6-A7F6-42A9-ACED-8831FF972353}"/>
    <cellStyle name="40% - Énfasis6 14 3" xfId="3452" xr:uid="{9E598C7C-5827-4956-B422-AE54051774B2}"/>
    <cellStyle name="40% - Énfasis6 15" xfId="842" xr:uid="{41E80AC1-0185-45D5-B9A8-B99E0E15A336}"/>
    <cellStyle name="40% - Énfasis6 15 2" xfId="2164" xr:uid="{7ABD6A03-235C-4AD6-B6AA-669AEEA52A36}"/>
    <cellStyle name="40% - Énfasis6 15 2 2" xfId="4784" xr:uid="{8403BD07-BDC9-4133-AEA4-0E7426C834D9}"/>
    <cellStyle name="40% - Énfasis6 15 3" xfId="3472" xr:uid="{7D17DFFF-AEA5-4B0E-AB9F-303895B05781}"/>
    <cellStyle name="40% - Énfasis6 16" xfId="862" xr:uid="{94EA6007-C304-48FE-972D-9E34ACAF8435}"/>
    <cellStyle name="40% - Énfasis6 16 2" xfId="2184" xr:uid="{6AEDC72E-746C-46D1-B5E1-9F91AA77D71B}"/>
    <cellStyle name="40% - Énfasis6 16 2 2" xfId="4804" xr:uid="{D02BC811-4675-4F78-A232-3775FB0209AA}"/>
    <cellStyle name="40% - Énfasis6 16 3" xfId="3492" xr:uid="{8C1C9184-B7BA-4FE0-B0D2-44650F88AC62}"/>
    <cellStyle name="40% - Énfasis6 17" xfId="882" xr:uid="{74A511BC-10E0-4F9E-8D8F-4D16243CC6A7}"/>
    <cellStyle name="40% - Énfasis6 17 2" xfId="2204" xr:uid="{91E3AFF2-328B-40C0-8C4B-2A45EC9665E1}"/>
    <cellStyle name="40% - Énfasis6 17 2 2" xfId="4824" xr:uid="{4EA3029A-8071-4F7A-9730-D077F84C9F55}"/>
    <cellStyle name="40% - Énfasis6 17 3" xfId="3512" xr:uid="{409335A0-ED9F-4C76-876F-C780DA6E6D33}"/>
    <cellStyle name="40% - Énfasis6 18" xfId="902" xr:uid="{A3ADC99D-CF7D-4607-BF0C-DE4F6DED8AFF}"/>
    <cellStyle name="40% - Énfasis6 18 2" xfId="2224" xr:uid="{78CBCB50-1725-4D02-8718-5EF6FFEF518C}"/>
    <cellStyle name="40% - Énfasis6 18 2 2" xfId="4844" xr:uid="{E2881C49-542F-4CFA-B16E-ADA0D3F89D0B}"/>
    <cellStyle name="40% - Énfasis6 18 3" xfId="3532" xr:uid="{5361E79D-7971-4A87-833C-10CE7CB37A9F}"/>
    <cellStyle name="40% - Énfasis6 19" xfId="922" xr:uid="{952204C0-A43E-49FA-BA19-81A98E65990A}"/>
    <cellStyle name="40% - Énfasis6 19 2" xfId="2244" xr:uid="{404E5790-1C49-4671-B006-F94B4C74828B}"/>
    <cellStyle name="40% - Énfasis6 19 2 2" xfId="4864" xr:uid="{12CF2370-7856-46D0-B01D-42024816FE21}"/>
    <cellStyle name="40% - Énfasis6 19 3" xfId="3552" xr:uid="{4A2FD1BA-28D1-49F0-ABD3-F2EC6DDDA45C}"/>
    <cellStyle name="40% - Énfasis6 2" xfId="582" xr:uid="{BB50D88F-F395-42AE-A39E-AA33EB909581}"/>
    <cellStyle name="40% - Énfasis6 2 2" xfId="1904" xr:uid="{8B1A54A4-1ECC-4C65-AD70-ABF864F1E0F0}"/>
    <cellStyle name="40% - Énfasis6 2 2 2" xfId="4524" xr:uid="{8A238EF6-26B4-41D3-BA6E-2076C7B9B06B}"/>
    <cellStyle name="40% - Énfasis6 2 3" xfId="3212" xr:uid="{FBCC588C-A2B7-4AEE-897E-CDA24F3F3E0A}"/>
    <cellStyle name="40% - Énfasis6 20" xfId="942" xr:uid="{CEF83770-D3FF-4EE9-9E0C-F36550E07571}"/>
    <cellStyle name="40% - Énfasis6 20 2" xfId="2264" xr:uid="{B98E99B4-9CA7-4990-BB79-8AEB0E3A2E0A}"/>
    <cellStyle name="40% - Énfasis6 20 2 2" xfId="4884" xr:uid="{0FD3A00E-3C98-4912-BABB-06925946AFC5}"/>
    <cellStyle name="40% - Énfasis6 20 3" xfId="3572" xr:uid="{B0AB0088-0957-4008-AD30-1F8D107CD0AC}"/>
    <cellStyle name="40% - Énfasis6 21" xfId="962" xr:uid="{F2C33BF2-77CA-484C-9643-8E9CFDFD98E0}"/>
    <cellStyle name="40% - Énfasis6 21 2" xfId="2284" xr:uid="{EC525D32-D937-41D7-9BF6-E1A708C2C7A3}"/>
    <cellStyle name="40% - Énfasis6 21 2 2" xfId="4904" xr:uid="{489D43F8-C61B-4A71-8609-875216B3911A}"/>
    <cellStyle name="40% - Énfasis6 21 3" xfId="3592" xr:uid="{6641B012-2822-4E31-B969-B7BD3AC6DA06}"/>
    <cellStyle name="40% - Énfasis6 22" xfId="982" xr:uid="{377CC35F-51FB-4D34-A931-166EABCA8296}"/>
    <cellStyle name="40% - Énfasis6 22 2" xfId="2304" xr:uid="{02711D2D-156E-4D0D-92EB-FE6052211501}"/>
    <cellStyle name="40% - Énfasis6 22 2 2" xfId="4924" xr:uid="{6F44433E-FE62-4D9F-8217-AAF8C138D04C}"/>
    <cellStyle name="40% - Énfasis6 22 3" xfId="3612" xr:uid="{9CD92D92-3639-4115-BF37-CCD8C1AA5D79}"/>
    <cellStyle name="40% - Énfasis6 23" xfId="1002" xr:uid="{ECA1972E-6788-4B2C-A465-C9EBC8EFD39F}"/>
    <cellStyle name="40% - Énfasis6 23 2" xfId="2324" xr:uid="{6A46A9E2-2D39-4328-8FB4-7DB2CC4626D8}"/>
    <cellStyle name="40% - Énfasis6 23 2 2" xfId="4944" xr:uid="{4C2B1D83-88D7-42CB-A714-EBBD771F22B9}"/>
    <cellStyle name="40% - Énfasis6 23 3" xfId="3632" xr:uid="{886F34E2-D236-4297-BD3F-037E77A2CE2D}"/>
    <cellStyle name="40% - Énfasis6 24" xfId="1022" xr:uid="{03CECE6B-1E6F-4F77-96C9-A0709F097960}"/>
    <cellStyle name="40% - Énfasis6 24 2" xfId="2344" xr:uid="{C024B4B8-5AC1-40D2-B9DB-4A0FE3FD52F0}"/>
    <cellStyle name="40% - Énfasis6 24 2 2" xfId="4964" xr:uid="{3A70AA31-5BFC-4879-8A2E-257DA4BBC838}"/>
    <cellStyle name="40% - Énfasis6 24 3" xfId="3652" xr:uid="{A9B35662-E89C-4495-B8EF-62E4BE5F06D8}"/>
    <cellStyle name="40% - Énfasis6 25" xfId="1042" xr:uid="{CA4D0FBD-58D7-41E8-B2FD-997994194B5D}"/>
    <cellStyle name="40% - Énfasis6 25 2" xfId="2364" xr:uid="{6F6B26B8-531C-46C0-BF8D-11993F8CE95E}"/>
    <cellStyle name="40% - Énfasis6 25 2 2" xfId="4984" xr:uid="{1C2D8FEF-2F9C-46BB-8677-A0E5873A2498}"/>
    <cellStyle name="40% - Énfasis6 25 3" xfId="3672" xr:uid="{C49E675B-F8F7-447D-A237-36B8AF4F04ED}"/>
    <cellStyle name="40% - Énfasis6 26" xfId="1142" xr:uid="{6B125563-A7F2-4E6E-B5C5-8C7C2E0C6134}"/>
    <cellStyle name="40% - Énfasis6 26 2" xfId="2464" xr:uid="{ADFFEFCF-305C-41FF-AD89-8A85DCE4FE51}"/>
    <cellStyle name="40% - Énfasis6 26 2 2" xfId="5084" xr:uid="{D97D8FC0-1AAB-4262-81CC-118792405221}"/>
    <cellStyle name="40% - Énfasis6 26 3" xfId="3772" xr:uid="{425D5ADF-838A-46F1-BB86-C208D3AFB5BD}"/>
    <cellStyle name="40% - Énfasis6 27" xfId="1162" xr:uid="{3FFC2A47-567F-4C0C-B3E9-BD1066ED00D1}"/>
    <cellStyle name="40% - Énfasis6 27 2" xfId="2484" xr:uid="{DF06B4E5-7E77-44F6-A291-C519728CDF5A}"/>
    <cellStyle name="40% - Énfasis6 27 2 2" xfId="5104" xr:uid="{C6FCBF02-D2DA-43F3-A5A3-E037C3EA68DF}"/>
    <cellStyle name="40% - Énfasis6 27 3" xfId="3792" xr:uid="{E6C821C7-EF8E-48A4-ACDC-8CEF5DF56B0C}"/>
    <cellStyle name="40% - Énfasis6 28" xfId="1182" xr:uid="{3355E901-20A6-45C5-B0FE-ABE0F861ECD7}"/>
    <cellStyle name="40% - Énfasis6 28 2" xfId="2504" xr:uid="{C7FC8C5D-5289-4B0F-ADBC-724D7289531C}"/>
    <cellStyle name="40% - Énfasis6 28 2 2" xfId="5124" xr:uid="{EE6A34F9-63B0-4176-A00D-8DB81A5ADF84}"/>
    <cellStyle name="40% - Énfasis6 28 3" xfId="3812" xr:uid="{6EA52EB3-3ABB-4BAA-BC8B-5A1A3E76A91B}"/>
    <cellStyle name="40% - Énfasis6 29" xfId="1202" xr:uid="{BBB0E28C-CCE6-4CA7-83AB-D61E66D57C52}"/>
    <cellStyle name="40% - Énfasis6 29 2" xfId="2524" xr:uid="{E6AC1CFC-7554-4B85-9D4A-64D01064BFA3}"/>
    <cellStyle name="40% - Énfasis6 29 2 2" xfId="5144" xr:uid="{60B59D91-CB54-44CA-90CA-B82C1C7E821C}"/>
    <cellStyle name="40% - Énfasis6 29 3" xfId="3832" xr:uid="{44B2FAB0-154B-45FA-A99A-1C27748AE3D2}"/>
    <cellStyle name="40% - Énfasis6 3" xfId="602" xr:uid="{9F3E91B5-B3BE-4B7B-9486-28FBE57E0A5E}"/>
    <cellStyle name="40% - Énfasis6 3 2" xfId="1924" xr:uid="{4A7EA0D1-8A3A-456B-8CA0-2DC3736E775B}"/>
    <cellStyle name="40% - Énfasis6 3 2 2" xfId="4544" xr:uid="{382BD9B4-FACF-4F0F-9A72-7B405B650D10}"/>
    <cellStyle name="40% - Énfasis6 3 3" xfId="3232" xr:uid="{4E6DE2D3-1D51-46D7-9F32-2E915ADB4D67}"/>
    <cellStyle name="40% - Énfasis6 30" xfId="1222" xr:uid="{B637E306-524E-4DA5-BC8F-D591CCAC8E24}"/>
    <cellStyle name="40% - Énfasis6 30 2" xfId="2544" xr:uid="{B97DB6C1-CE91-41EA-B4BD-0D0FD03C488D}"/>
    <cellStyle name="40% - Énfasis6 30 2 2" xfId="5164" xr:uid="{4E38D988-EF95-4E4F-99A4-DC2C337C43E3}"/>
    <cellStyle name="40% - Énfasis6 30 3" xfId="3852" xr:uid="{3F6899EC-483A-43C9-BAEA-60B2C08DBBB8}"/>
    <cellStyle name="40% - Énfasis6 31" xfId="1242" xr:uid="{72028798-FBF8-471D-8125-775CAC2B6D9E}"/>
    <cellStyle name="40% - Énfasis6 31 2" xfId="2564" xr:uid="{32F3F41B-F510-48AA-9ABC-43071B4E357B}"/>
    <cellStyle name="40% - Énfasis6 31 2 2" xfId="5184" xr:uid="{7A8FA175-1FFA-49D2-A26B-145F7E0733BA}"/>
    <cellStyle name="40% - Énfasis6 31 3" xfId="3872" xr:uid="{99DC8228-04C9-4C53-9E65-7AF7E2FD779F}"/>
    <cellStyle name="40% - Énfasis6 32" xfId="1262" xr:uid="{1D31867F-4CB9-4783-A4EC-32B5AC498793}"/>
    <cellStyle name="40% - Énfasis6 32 2" xfId="2584" xr:uid="{BD1585CC-3FF5-4A33-BA05-C54EE2DF255D}"/>
    <cellStyle name="40% - Énfasis6 32 2 2" xfId="5204" xr:uid="{CCA6D3EF-7A2A-49F6-8614-24078E86B217}"/>
    <cellStyle name="40% - Énfasis6 32 3" xfId="3892" xr:uid="{4581B1D6-5C4C-431F-B518-A972A8933FBB}"/>
    <cellStyle name="40% - Énfasis6 33" xfId="1282" xr:uid="{CFB0C94F-3A3E-4D02-9C2C-DF6F705D37A5}"/>
    <cellStyle name="40% - Énfasis6 33 2" xfId="2604" xr:uid="{554B9CFB-21DB-4C7A-B21B-34333EE575F6}"/>
    <cellStyle name="40% - Énfasis6 33 2 2" xfId="5224" xr:uid="{8D7606B3-9A89-43ED-BF62-A8513FBBABE9}"/>
    <cellStyle name="40% - Énfasis6 33 3" xfId="3912" xr:uid="{D988DC5D-A84A-496E-BB15-E3633A88B3F6}"/>
    <cellStyle name="40% - Énfasis6 34" xfId="1302" xr:uid="{3981C8F7-6DE9-483C-9B77-2DBD8CF13AA9}"/>
    <cellStyle name="40% - Énfasis6 34 2" xfId="2624" xr:uid="{DD1E6FA4-F9AA-43B8-A88A-1CDAAC5AF010}"/>
    <cellStyle name="40% - Énfasis6 34 2 2" xfId="5244" xr:uid="{FC1F021A-8D04-4898-BC1C-D1091A98B147}"/>
    <cellStyle name="40% - Énfasis6 34 3" xfId="3932" xr:uid="{56E09518-CBD9-4C8A-82B0-C12306BA0C0F}"/>
    <cellStyle name="40% - Énfasis6 35" xfId="1322" xr:uid="{D68DF997-3455-493C-8A0B-FB2F4F80C01A}"/>
    <cellStyle name="40% - Énfasis6 35 2" xfId="2644" xr:uid="{96C29260-808F-459D-AA44-20BA87F84E6A}"/>
    <cellStyle name="40% - Énfasis6 35 2 2" xfId="5264" xr:uid="{BA651E51-4ED7-43D6-B6C4-C6221192C794}"/>
    <cellStyle name="40% - Énfasis6 35 3" xfId="3952" xr:uid="{3F1F054F-F858-4BCC-B4F1-A42542292C73}"/>
    <cellStyle name="40% - Énfasis6 36" xfId="1360" xr:uid="{FD372CC3-1718-401C-8B81-29E83CD0D7C0}"/>
    <cellStyle name="40% - Énfasis6 36 2" xfId="3982" xr:uid="{D5C59276-6187-40BE-B2F6-170CF08CE9A2}"/>
    <cellStyle name="40% - Énfasis6 37" xfId="2670" xr:uid="{A42605AA-7D9E-466D-9A87-9EBC14FF4FDF}"/>
    <cellStyle name="40% - Énfasis6 4" xfId="622" xr:uid="{61B7B194-7751-4D61-9AD0-60E8A6D9F5DD}"/>
    <cellStyle name="40% - Énfasis6 4 2" xfId="1944" xr:uid="{828637FF-AA42-4684-995E-31662234BE34}"/>
    <cellStyle name="40% - Énfasis6 4 2 2" xfId="4564" xr:uid="{961E29D1-ECC9-4A75-A0A8-943B0DF348AF}"/>
    <cellStyle name="40% - Énfasis6 4 3" xfId="3252" xr:uid="{575829C5-9A05-450A-B77D-8548E48CB622}"/>
    <cellStyle name="40% - Énfasis6 5" xfId="642" xr:uid="{E290838D-877E-4700-8740-C4B5A9AC0C0D}"/>
    <cellStyle name="40% - Énfasis6 5 2" xfId="1964" xr:uid="{B0365B42-378D-4703-89CE-102EDEC2B52B}"/>
    <cellStyle name="40% - Énfasis6 5 2 2" xfId="4584" xr:uid="{16A11F23-7D33-42E2-B4BB-92E4AED6881E}"/>
    <cellStyle name="40% - Énfasis6 5 3" xfId="3272" xr:uid="{535034B7-9128-4519-A279-033DDA0FBEC1}"/>
    <cellStyle name="40% - Énfasis6 6" xfId="662" xr:uid="{CA3F97D3-EBBC-4A89-B9E1-80B474698E14}"/>
    <cellStyle name="40% - Énfasis6 6 2" xfId="1984" xr:uid="{653FE808-299D-4FEC-824B-2D2FE90DC674}"/>
    <cellStyle name="40% - Énfasis6 6 2 2" xfId="4604" xr:uid="{B0D298D6-F2A6-4E4F-9F7C-C8812ADD784A}"/>
    <cellStyle name="40% - Énfasis6 6 3" xfId="3292" xr:uid="{36C75E56-0FD1-4ED9-B617-74D2E0424D91}"/>
    <cellStyle name="40% - Énfasis6 7" xfId="682" xr:uid="{5EF926BE-E4F5-475A-B81C-FE04E08BD85D}"/>
    <cellStyle name="40% - Énfasis6 7 2" xfId="2004" xr:uid="{9700AFFB-58A8-42EF-9806-C4926CC3771C}"/>
    <cellStyle name="40% - Énfasis6 7 2 2" xfId="4624" xr:uid="{233E2543-9E6E-412C-B512-1517B0232AF7}"/>
    <cellStyle name="40% - Énfasis6 7 3" xfId="3312" xr:uid="{81C5D77A-2A0D-451A-A375-4F7BFC0BE0B9}"/>
    <cellStyle name="40% - Énfasis6 8" xfId="702" xr:uid="{D3921339-09EE-489D-83C2-DE7476C876B8}"/>
    <cellStyle name="40% - Énfasis6 8 2" xfId="2024" xr:uid="{6F343F19-E4A8-4D76-A613-26EB19F6AE11}"/>
    <cellStyle name="40% - Énfasis6 8 2 2" xfId="4644" xr:uid="{3DD63B89-4E55-4D44-9411-AF8E5B305DBF}"/>
    <cellStyle name="40% - Énfasis6 8 3" xfId="3332" xr:uid="{FA6DD3DA-CDA6-453E-9992-6E99FA69529E}"/>
    <cellStyle name="40% - Énfasis6 9" xfId="722" xr:uid="{CD34D2B7-2C33-4D2D-8A65-32915C3CDF13}"/>
    <cellStyle name="40% - Énfasis6 9 2" xfId="2044" xr:uid="{EB9AA4EB-FBBB-40B0-AAAC-8C13019B2494}"/>
    <cellStyle name="40% - Énfasis6 9 2 2" xfId="4664" xr:uid="{B56CFA23-8140-437E-9D75-17C4829D3AB8}"/>
    <cellStyle name="40% - Énfasis6 9 3" xfId="3352" xr:uid="{213C01E8-9565-46F5-95A0-86DCCB23602C}"/>
    <cellStyle name="60% - Accent1 10" xfId="208" xr:uid="{95F177AD-05C6-4606-B733-1755E5A1F065}"/>
    <cellStyle name="60% - Accent1 10 2" xfId="1530" xr:uid="{BB74003C-EDE2-44D6-87A0-FC4589B6C21A}"/>
    <cellStyle name="60% - Accent1 10 2 2" xfId="4150" xr:uid="{821389F4-52D1-4522-B029-18438C284D6E}"/>
    <cellStyle name="60% - Accent1 10 3" xfId="2838" xr:uid="{8304D8B2-01FD-49AF-A763-7412D7029188}"/>
    <cellStyle name="60% - Accent1 11" xfId="228" xr:uid="{62539EFB-7AE0-4282-9947-E24DDDB57734}"/>
    <cellStyle name="60% - Accent1 11 2" xfId="1550" xr:uid="{947F01E6-5FD5-485D-A88C-E575F9A581C6}"/>
    <cellStyle name="60% - Accent1 11 2 2" xfId="4170" xr:uid="{5C1F39CC-F30D-4FF6-A370-B8A3C12CFADD}"/>
    <cellStyle name="60% - Accent1 11 3" xfId="2858" xr:uid="{A6F1E4C7-2EAE-4C9F-BA64-42CC0EC48953}"/>
    <cellStyle name="60% - Accent1 12" xfId="248" xr:uid="{7CC67701-C467-49E4-B867-5BD019F77D06}"/>
    <cellStyle name="60% - Accent1 12 2" xfId="1570" xr:uid="{74E1EB22-338D-45F9-A331-32611A34B6F1}"/>
    <cellStyle name="60% - Accent1 12 2 2" xfId="4190" xr:uid="{58ADA8F5-5370-43F1-9940-477F375149EE}"/>
    <cellStyle name="60% - Accent1 12 3" xfId="2878" xr:uid="{69FF7841-686F-4DC3-9131-E8AAA33E4000}"/>
    <cellStyle name="60% - Accent1 13" xfId="268" xr:uid="{3136F1B6-1A41-44E3-9810-49CEE0A73579}"/>
    <cellStyle name="60% - Accent1 13 2" xfId="1590" xr:uid="{72BB58F3-9E86-49DD-AF57-954B6C5E982E}"/>
    <cellStyle name="60% - Accent1 13 2 2" xfId="4210" xr:uid="{1BC2F0B5-E651-44A5-A328-ACD4C4DD0CDB}"/>
    <cellStyle name="60% - Accent1 13 3" xfId="2898" xr:uid="{532B55A3-13ED-480B-ADD0-9675AF76D5C9}"/>
    <cellStyle name="60% - Accent1 14" xfId="288" xr:uid="{F197371A-81FE-4391-BE80-A7EE04213A1C}"/>
    <cellStyle name="60% - Accent1 14 2" xfId="1610" xr:uid="{73071275-9CA2-4ED9-BA45-DBBBE3742C69}"/>
    <cellStyle name="60% - Accent1 14 2 2" xfId="4230" xr:uid="{08FABD50-BE65-4CCA-BB7F-557DEDDFF237}"/>
    <cellStyle name="60% - Accent1 14 3" xfId="2918" xr:uid="{9C4EF4CB-FD66-46FA-917A-6C816E74A594}"/>
    <cellStyle name="60% - Accent1 15" xfId="308" xr:uid="{BB6530E7-21A1-49B1-9F2A-EAAE659133D3}"/>
    <cellStyle name="60% - Accent1 15 2" xfId="1630" xr:uid="{E9F029C5-D5C0-4F8C-8E51-121C525B597C}"/>
    <cellStyle name="60% - Accent1 15 2 2" xfId="4250" xr:uid="{D95B7EC5-70A7-4C58-94D8-E65B796ABA89}"/>
    <cellStyle name="60% - Accent1 15 3" xfId="2938" xr:uid="{3C488EF1-1A9A-4C2B-BFA1-061C31C0CF73}"/>
    <cellStyle name="60% - Accent1 16" xfId="328" xr:uid="{2FED8E2C-36AA-48D2-BD94-1018525EA086}"/>
    <cellStyle name="60% - Accent1 16 2" xfId="1650" xr:uid="{58282F42-646C-4CDE-B30C-95D1C59224EF}"/>
    <cellStyle name="60% - Accent1 16 2 2" xfId="4270" xr:uid="{08172B36-35DB-4EF7-9525-F49CBEB968FC}"/>
    <cellStyle name="60% - Accent1 16 3" xfId="2958" xr:uid="{07D2BC58-CC34-494F-9D96-1708B91D5D34}"/>
    <cellStyle name="60% - Accent1 17" xfId="348" xr:uid="{F2FEB119-CB01-4B3A-8791-14385087DAB4}"/>
    <cellStyle name="60% - Accent1 17 2" xfId="1670" xr:uid="{DA17AA52-1965-4702-8FEF-3BDF5160E09E}"/>
    <cellStyle name="60% - Accent1 17 2 2" xfId="4290" xr:uid="{AA4C3DFC-6FD8-490B-95EF-9F787AA1FFB8}"/>
    <cellStyle name="60% - Accent1 17 3" xfId="2978" xr:uid="{84116CDA-F0D3-4D76-9BC8-7005BA72D08C}"/>
    <cellStyle name="60% - Accent1 18" xfId="368" xr:uid="{1B89F45A-F9BD-4535-BFD1-9E9971A28454}"/>
    <cellStyle name="60% - Accent1 18 2" xfId="1690" xr:uid="{96DD5CA3-433B-46D7-8EA7-323C566A7E13}"/>
    <cellStyle name="60% - Accent1 18 2 2" xfId="4310" xr:uid="{F15D0E15-7D54-4D05-8F51-0A8D0D5BBF40}"/>
    <cellStyle name="60% - Accent1 18 3" xfId="2998" xr:uid="{5F6DBEFC-0BE3-44BA-B037-5E6B4C42A163}"/>
    <cellStyle name="60% - Accent1 19" xfId="388" xr:uid="{A62FFBBD-314A-4911-8EDE-66ED35206ED1}"/>
    <cellStyle name="60% - Accent1 19 2" xfId="1710" xr:uid="{3DDC2F16-3A1A-4881-86D3-6A70D49B0AE5}"/>
    <cellStyle name="60% - Accent1 19 2 2" xfId="4330" xr:uid="{978D2F3F-DBE0-4091-A276-34B3BDCFFA83}"/>
    <cellStyle name="60% - Accent1 19 3" xfId="3018" xr:uid="{01FE19B4-288E-40AD-A64A-6486BE48915B}"/>
    <cellStyle name="60% - Accent1 2" xfId="47" xr:uid="{716B783B-B0D0-43F7-B661-1DCF2BD6D1AD}"/>
    <cellStyle name="60% - Accent1 2 2" xfId="1369" xr:uid="{A8161D54-6AC3-47BB-8EEF-46F0EBE0D19F}"/>
    <cellStyle name="60% - Accent1 2 2 2" xfId="3990" xr:uid="{3E76B04A-3815-4C5B-AB9F-0230E7DFC0C5}"/>
    <cellStyle name="60% - Accent1 2 3" xfId="2678" xr:uid="{C1C1CCAA-CE5F-481F-881D-4464711AC0BD}"/>
    <cellStyle name="60% - Accent1 20" xfId="408" xr:uid="{DAB0261F-F4CD-4D78-B460-5595FEB122EE}"/>
    <cellStyle name="60% - Accent1 20 2" xfId="1730" xr:uid="{7112F03D-98C1-4BAE-A779-72AB590CE222}"/>
    <cellStyle name="60% - Accent1 20 2 2" xfId="4350" xr:uid="{87A2475B-8253-4C31-9B1D-D69159AE2836}"/>
    <cellStyle name="60% - Accent1 20 3" xfId="3038" xr:uid="{3F57AA4B-1688-4FB3-8267-8DE278001F82}"/>
    <cellStyle name="60% - Accent1 21" xfId="428" xr:uid="{CE3F57C5-FD09-4E4C-BC95-9BFE13A168DB}"/>
    <cellStyle name="60% - Accent1 21 2" xfId="1750" xr:uid="{12F2190E-305B-4D51-8215-676BB6454464}"/>
    <cellStyle name="60% - Accent1 21 2 2" xfId="4370" xr:uid="{181312E8-6992-44F5-951D-290BE56779F4}"/>
    <cellStyle name="60% - Accent1 21 3" xfId="3058" xr:uid="{08088A3C-6442-4527-AA52-FA63C5D5F8BE}"/>
    <cellStyle name="60% - Accent1 22" xfId="448" xr:uid="{293CDCB0-6900-4802-A5C7-63F53A51701D}"/>
    <cellStyle name="60% - Accent1 22 2" xfId="1770" xr:uid="{FDED1AEB-2735-4768-B41A-CF9238926C50}"/>
    <cellStyle name="60% - Accent1 22 2 2" xfId="4390" xr:uid="{83AFD10C-7EF3-4BD1-A87A-9F3D1E039FB2}"/>
    <cellStyle name="60% - Accent1 22 3" xfId="3078" xr:uid="{F6ADA392-0843-470A-AB0C-F2ABF3029E3C}"/>
    <cellStyle name="60% - Accent1 23" xfId="468" xr:uid="{9CBF1BCC-71E1-4721-ADF9-E0F5125751A7}"/>
    <cellStyle name="60% - Accent1 23 2" xfId="1790" xr:uid="{D10F28C3-6455-4D67-96FA-9305F3D67FFE}"/>
    <cellStyle name="60% - Accent1 23 2 2" xfId="4410" xr:uid="{0719D636-6433-462A-ADA9-5BBD61401EA1}"/>
    <cellStyle name="60% - Accent1 23 3" xfId="3098" xr:uid="{C61C8A2E-CF6F-478B-AE76-B3329DFB171A}"/>
    <cellStyle name="60% - Accent1 24" xfId="488" xr:uid="{C6B2151E-0831-4320-B27F-2278A2BB959B}"/>
    <cellStyle name="60% - Accent1 24 2" xfId="1810" xr:uid="{C3736441-F625-44D6-8F3B-CC4A00443270}"/>
    <cellStyle name="60% - Accent1 24 2 2" xfId="4430" xr:uid="{9FAC6046-D5F8-4098-A3C2-03E29744AD46}"/>
    <cellStyle name="60% - Accent1 24 3" xfId="3118" xr:uid="{7EAA4E61-594B-432C-AD1E-5DBF127FC7DB}"/>
    <cellStyle name="60% - Accent1 25" xfId="508" xr:uid="{87AB9B36-6CE1-426E-8049-9DD39CC7A778}"/>
    <cellStyle name="60% - Accent1 25 2" xfId="1830" xr:uid="{10697C8F-3215-4EB2-8DB3-13D765879E5D}"/>
    <cellStyle name="60% - Accent1 25 2 2" xfId="4450" xr:uid="{D44528BC-D521-49D2-A27E-581AA55AE50B}"/>
    <cellStyle name="60% - Accent1 25 3" xfId="3138" xr:uid="{2ACEC5CC-934A-4E9C-97EA-F30B5CD6571A}"/>
    <cellStyle name="60% - Accent1 26" xfId="528" xr:uid="{78748D2C-7ACC-4627-9BCB-68C4688139E3}"/>
    <cellStyle name="60% - Accent1 26 2" xfId="1850" xr:uid="{BFD4700F-8232-4DC2-BBF5-92CFC0373EF4}"/>
    <cellStyle name="60% - Accent1 26 2 2" xfId="4470" xr:uid="{B73F6BD0-7FE2-47FA-9D91-E3E8379DC9A3}"/>
    <cellStyle name="60% - Accent1 26 3" xfId="3158" xr:uid="{EC2451A8-A3EB-432F-BEB2-189FCFCFAA64}"/>
    <cellStyle name="60% - Accent1 27" xfId="548" xr:uid="{7F6D72F8-CE23-478C-919E-75FD0FC463D7}"/>
    <cellStyle name="60% - Accent1 27 2" xfId="1870" xr:uid="{3336508E-8F8F-408D-B923-C3E08D5B4D75}"/>
    <cellStyle name="60% - Accent1 27 2 2" xfId="4490" xr:uid="{C0C0B360-8F52-4F4B-BBE5-055431AEFAF7}"/>
    <cellStyle name="60% - Accent1 27 3" xfId="3178" xr:uid="{A56ADA14-7CA7-4EB5-B588-E24218BE00AC}"/>
    <cellStyle name="60% - Accent1 28" xfId="1048" xr:uid="{0AE85E3C-7781-4113-814F-7E8E97771341}"/>
    <cellStyle name="60% - Accent1 28 2" xfId="2370" xr:uid="{7BA4912C-FCCE-4EA7-9A7C-197F37C09660}"/>
    <cellStyle name="60% - Accent1 28 2 2" xfId="4990" xr:uid="{B4EFF7D6-D449-4B05-993C-D7046817E9F2}"/>
    <cellStyle name="60% - Accent1 28 3" xfId="3678" xr:uid="{54A1D4A1-F5E4-46FE-A0A4-DBA175BA6A25}"/>
    <cellStyle name="60% - Accent1 29" xfId="1068" xr:uid="{9CC93981-41C1-4DE8-8987-DE5256E9DB81}"/>
    <cellStyle name="60% - Accent1 29 2" xfId="2390" xr:uid="{DC4B7096-9E21-4ED8-8F16-001F657C2511}"/>
    <cellStyle name="60% - Accent1 29 2 2" xfId="5010" xr:uid="{A5B33644-64B6-4656-A1CC-A264B1A9E511}"/>
    <cellStyle name="60% - Accent1 29 3" xfId="3698" xr:uid="{F0310110-C6C3-4637-A4D6-93113FD7557B}"/>
    <cellStyle name="60% - Accent1 3" xfId="67" xr:uid="{E8BA3F75-73F7-4B1D-963B-C368AD5A6C93}"/>
    <cellStyle name="60% - Accent1 3 2" xfId="1389" xr:uid="{2B698371-BBD8-49F1-ADD0-4FB33E044BF5}"/>
    <cellStyle name="60% - Accent1 3 2 2" xfId="4010" xr:uid="{B11785B5-96BD-481E-99CE-37A18320AAE3}"/>
    <cellStyle name="60% - Accent1 3 3" xfId="2698" xr:uid="{6F6B24C6-BAD8-4109-8C9A-FB3AEF299678}"/>
    <cellStyle name="60% - Accent1 30" xfId="1088" xr:uid="{A48B2BBE-86E4-4D93-AE10-8BC3BFA93A0A}"/>
    <cellStyle name="60% - Accent1 30 2" xfId="2410" xr:uid="{91A08669-6793-49DC-A449-E2845327712E}"/>
    <cellStyle name="60% - Accent1 30 2 2" xfId="5030" xr:uid="{7C9FBA03-15FB-48A6-85D5-BB0D245ACEC2}"/>
    <cellStyle name="60% - Accent1 30 3" xfId="3718" xr:uid="{FC913F37-D7DA-49C2-B690-07B8B8CC34BD}"/>
    <cellStyle name="60% - Accent1 31" xfId="1108" xr:uid="{4A11C687-C945-483E-A320-06A01F745E64}"/>
    <cellStyle name="60% - Accent1 31 2" xfId="2430" xr:uid="{EF8E29BC-C9C3-410A-98E7-71D7EA2D65DB}"/>
    <cellStyle name="60% - Accent1 31 2 2" xfId="5050" xr:uid="{72FE8A4F-D23B-43D9-85D1-AC5A0C85BB47}"/>
    <cellStyle name="60% - Accent1 31 3" xfId="3738" xr:uid="{FF190F44-CA03-4287-B9B8-6C9126FBED65}"/>
    <cellStyle name="60% - Accent1 4" xfId="88" xr:uid="{C85E27A5-9B59-4B84-8CC3-CF3490952905}"/>
    <cellStyle name="60% - Accent1 4 2" xfId="1410" xr:uid="{8C9B0047-EEC8-4D69-8835-FC9495505175}"/>
    <cellStyle name="60% - Accent1 4 2 2" xfId="4030" xr:uid="{D075A5AF-46D7-4DAE-A82B-662316C4BA09}"/>
    <cellStyle name="60% - Accent1 4 3" xfId="2718" xr:uid="{15B4CF03-67D3-4A7A-A14C-6BA9BE58175D}"/>
    <cellStyle name="60% - Accent1 5" xfId="108" xr:uid="{DA650886-ADFB-4AD4-864D-5219A8D1D889}"/>
    <cellStyle name="60% - Accent1 5 2" xfId="1430" xr:uid="{12788BA9-F8D3-4884-8964-8B94E7C7704C}"/>
    <cellStyle name="60% - Accent1 5 2 2" xfId="4050" xr:uid="{0B80EB94-1D4F-4F41-9863-4D465D177FE0}"/>
    <cellStyle name="60% - Accent1 5 3" xfId="2738" xr:uid="{0A4951CA-3B21-4B26-AC2D-D792526112D9}"/>
    <cellStyle name="60% - Accent1 6" xfId="128" xr:uid="{DEC91426-4EF0-4686-9586-2713193D5699}"/>
    <cellStyle name="60% - Accent1 6 2" xfId="1450" xr:uid="{F24F7A65-B06E-407E-95E9-5CAEE9FFB864}"/>
    <cellStyle name="60% - Accent1 6 2 2" xfId="4070" xr:uid="{3E70F00C-DB56-48F3-B088-A54BCBC129E2}"/>
    <cellStyle name="60% - Accent1 6 3" xfId="2758" xr:uid="{2A5699D6-FDD6-47DB-9071-CD0E6D0F47E8}"/>
    <cellStyle name="60% - Accent1 7" xfId="148" xr:uid="{8B383E56-5F62-4152-95AE-785F8219CF31}"/>
    <cellStyle name="60% - Accent1 7 2" xfId="1470" xr:uid="{43AC5E79-18FB-4C87-A63C-C203DAF3660F}"/>
    <cellStyle name="60% - Accent1 7 2 2" xfId="4090" xr:uid="{B2D9F131-DFCE-48DA-9B50-48E18D9BEF4B}"/>
    <cellStyle name="60% - Accent1 7 3" xfId="2778" xr:uid="{3D9C7B2A-D198-4FE5-A5EB-3EDA43D7A148}"/>
    <cellStyle name="60% - Accent1 8" xfId="168" xr:uid="{CB216145-316F-41B2-8C8D-2DDB70F865E7}"/>
    <cellStyle name="60% - Accent1 8 2" xfId="1490" xr:uid="{77772D81-D3E0-4DBC-BC4A-1C1D735C2885}"/>
    <cellStyle name="60% - Accent1 8 2 2" xfId="4110" xr:uid="{2482EDD3-4AA9-4423-8563-195AF426BAC4}"/>
    <cellStyle name="60% - Accent1 8 3" xfId="2798" xr:uid="{99EFDFBB-40AC-430D-9C0D-09DD735B61E2}"/>
    <cellStyle name="60% - Accent1 9" xfId="188" xr:uid="{B3D107AA-BA7A-4D14-A689-2340D4C1966F}"/>
    <cellStyle name="60% - Accent1 9 2" xfId="1510" xr:uid="{DD44BCFC-DD87-468A-A2FD-47C942932427}"/>
    <cellStyle name="60% - Accent1 9 2 2" xfId="4130" xr:uid="{6EB821D5-F9E8-4E02-BEAC-E56EFC1E95C7}"/>
    <cellStyle name="60% - Accent1 9 3" xfId="2818" xr:uid="{F431675A-BB8C-44ED-9EA8-934716B60880}"/>
    <cellStyle name="60% - Accent2 10" xfId="211" xr:uid="{EE240537-7C87-472A-9096-5453AE40DDBE}"/>
    <cellStyle name="60% - Accent2 10 2" xfId="1533" xr:uid="{F196A3B9-EADA-43C5-B76B-E321E75F6BA3}"/>
    <cellStyle name="60% - Accent2 10 2 2" xfId="4153" xr:uid="{C098FE18-CDE9-495C-9A43-E39D9F27CC57}"/>
    <cellStyle name="60% - Accent2 10 3" xfId="2841" xr:uid="{A01BD423-65CF-4F68-96B9-7F9D9A11F6D7}"/>
    <cellStyle name="60% - Accent2 11" xfId="231" xr:uid="{655D9A24-58CB-492D-BA8A-7950C51FD803}"/>
    <cellStyle name="60% - Accent2 11 2" xfId="1553" xr:uid="{B7B4A151-39C5-4673-9685-DD8462911C88}"/>
    <cellStyle name="60% - Accent2 11 2 2" xfId="4173" xr:uid="{21CCDF1C-1A30-4A64-853C-A98BFC07CBF3}"/>
    <cellStyle name="60% - Accent2 11 3" xfId="2861" xr:uid="{A2A3EC87-5515-4248-BC16-5BCAAD03DDCD}"/>
    <cellStyle name="60% - Accent2 12" xfId="251" xr:uid="{F97E2F0D-6B23-4F63-9027-813BC870B11B}"/>
    <cellStyle name="60% - Accent2 12 2" xfId="1573" xr:uid="{1C738058-688C-4A7B-90F2-F89D0509FE0E}"/>
    <cellStyle name="60% - Accent2 12 2 2" xfId="4193" xr:uid="{C085B50D-5812-4D57-AAFD-ACB5FFB70BE6}"/>
    <cellStyle name="60% - Accent2 12 3" xfId="2881" xr:uid="{48AF7C8E-33CF-4E65-907F-8AA08F18548D}"/>
    <cellStyle name="60% - Accent2 13" xfId="271" xr:uid="{6F553373-C2A6-4BF5-9E7E-A85BBA9C3599}"/>
    <cellStyle name="60% - Accent2 13 2" xfId="1593" xr:uid="{6F200D11-8CA7-432F-9B86-E814FA8DFFDA}"/>
    <cellStyle name="60% - Accent2 13 2 2" xfId="4213" xr:uid="{F7CED87B-059E-4DA5-9F5B-C1E21DE34ED8}"/>
    <cellStyle name="60% - Accent2 13 3" xfId="2901" xr:uid="{64BCAEFE-0160-4689-B464-E4B654343D72}"/>
    <cellStyle name="60% - Accent2 14" xfId="291" xr:uid="{CDAD1862-0739-48CE-B6B8-CE8C0A3E0D8F}"/>
    <cellStyle name="60% - Accent2 14 2" xfId="1613" xr:uid="{0F91048F-F6B0-4A0C-93AB-AA05BC24AC72}"/>
    <cellStyle name="60% - Accent2 14 2 2" xfId="4233" xr:uid="{D550897B-D49C-4EAB-BFAA-A7E9A6EB885C}"/>
    <cellStyle name="60% - Accent2 14 3" xfId="2921" xr:uid="{462EC9A1-7441-41E2-BA7E-F08EBA757A93}"/>
    <cellStyle name="60% - Accent2 15" xfId="311" xr:uid="{EECA8D0C-D2E0-41F3-BED8-E02BA65EB356}"/>
    <cellStyle name="60% - Accent2 15 2" xfId="1633" xr:uid="{BAD04796-917A-4E92-B056-E2B685B5D9F1}"/>
    <cellStyle name="60% - Accent2 15 2 2" xfId="4253" xr:uid="{BB9F3711-4612-48F4-8D52-6EB8952B13A3}"/>
    <cellStyle name="60% - Accent2 15 3" xfId="2941" xr:uid="{2E092107-EFA3-4790-B272-C3A2CFE61CAA}"/>
    <cellStyle name="60% - Accent2 16" xfId="331" xr:uid="{7BAF9B6B-C15E-4385-9FFB-97A1049497D9}"/>
    <cellStyle name="60% - Accent2 16 2" xfId="1653" xr:uid="{C3622CDB-070A-4493-A8D8-8C6594D74749}"/>
    <cellStyle name="60% - Accent2 16 2 2" xfId="4273" xr:uid="{0B6A2746-9AFB-47E6-8E99-3FD5B8AD8224}"/>
    <cellStyle name="60% - Accent2 16 3" xfId="2961" xr:uid="{01ABF08C-AE17-4E92-BC60-70822F013B01}"/>
    <cellStyle name="60% - Accent2 17" xfId="351" xr:uid="{5354D3D6-35E9-4772-9FD7-1C5092FAE29E}"/>
    <cellStyle name="60% - Accent2 17 2" xfId="1673" xr:uid="{55FC17C3-1FF9-4434-9AED-66992E44008C}"/>
    <cellStyle name="60% - Accent2 17 2 2" xfId="4293" xr:uid="{9A68FAF0-7A3D-4D8D-954B-FDCB261173B1}"/>
    <cellStyle name="60% - Accent2 17 3" xfId="2981" xr:uid="{A0D033B3-1D85-407E-BF7D-E31682E0E071}"/>
    <cellStyle name="60% - Accent2 18" xfId="371" xr:uid="{F699575A-1077-47EE-AD00-9684766F9230}"/>
    <cellStyle name="60% - Accent2 18 2" xfId="1693" xr:uid="{EB428376-FC4C-4723-890E-34C937372F0E}"/>
    <cellStyle name="60% - Accent2 18 2 2" xfId="4313" xr:uid="{CE03D941-5D40-48CB-9121-6D0D9FCFF91D}"/>
    <cellStyle name="60% - Accent2 18 3" xfId="3001" xr:uid="{E2C489BF-4F99-4E36-B4C5-9FADCE427487}"/>
    <cellStyle name="60% - Accent2 19" xfId="391" xr:uid="{3CC0FD63-1792-4000-93EA-D5926FA84B80}"/>
    <cellStyle name="60% - Accent2 19 2" xfId="1713" xr:uid="{931336C7-2CB1-4700-BD42-AA38481C2C9A}"/>
    <cellStyle name="60% - Accent2 19 2 2" xfId="4333" xr:uid="{51D96BC2-5BDD-44AF-9D6B-7163BBEED6E9}"/>
    <cellStyle name="60% - Accent2 19 3" xfId="3021" xr:uid="{A313FE29-DB8A-437C-8257-EDCA25DD4402}"/>
    <cellStyle name="60% - Accent2 2" xfId="50" xr:uid="{537BA480-44D9-4477-9E15-9182242A468A}"/>
    <cellStyle name="60% - Accent2 2 2" xfId="1372" xr:uid="{6C8D8DCD-AC63-45C2-9852-15C51B7FFA83}"/>
    <cellStyle name="60% - Accent2 2 2 2" xfId="3993" xr:uid="{EA7E2C34-D244-40B8-ABF6-4885850DE654}"/>
    <cellStyle name="60% - Accent2 2 3" xfId="2681" xr:uid="{EFF43962-D436-480A-A862-52F4F0CB159D}"/>
    <cellStyle name="60% - Accent2 20" xfId="411" xr:uid="{ED1628AB-CEDE-424E-B905-B2A9C16C64DC}"/>
    <cellStyle name="60% - Accent2 20 2" xfId="1733" xr:uid="{10F107E5-9119-4288-817E-7AD6A2012962}"/>
    <cellStyle name="60% - Accent2 20 2 2" xfId="4353" xr:uid="{C4714F64-28FC-4879-AB32-2DD39964C235}"/>
    <cellStyle name="60% - Accent2 20 3" xfId="3041" xr:uid="{C46FE282-BE22-44F0-AE79-181D7B42A689}"/>
    <cellStyle name="60% - Accent2 21" xfId="431" xr:uid="{C31BF0F7-37C1-4F72-9891-364A7D90C1F6}"/>
    <cellStyle name="60% - Accent2 21 2" xfId="1753" xr:uid="{8858F71B-C4FE-4F6A-AFFE-8A232E198758}"/>
    <cellStyle name="60% - Accent2 21 2 2" xfId="4373" xr:uid="{90005A61-D467-4670-A790-28EC9C81254A}"/>
    <cellStyle name="60% - Accent2 21 3" xfId="3061" xr:uid="{92299B76-6D0D-46EF-A69D-0460E4D2315B}"/>
    <cellStyle name="60% - Accent2 22" xfId="451" xr:uid="{27912FF9-50AC-400D-A790-E71FCC61D473}"/>
    <cellStyle name="60% - Accent2 22 2" xfId="1773" xr:uid="{990C9062-AEDE-4818-A2DB-28A6FA87995F}"/>
    <cellStyle name="60% - Accent2 22 2 2" xfId="4393" xr:uid="{0B17ABE4-A9F2-4E3B-A731-0B18E960624B}"/>
    <cellStyle name="60% - Accent2 22 3" xfId="3081" xr:uid="{B809D453-3BC1-4E6E-AE0B-F8D69EE810C6}"/>
    <cellStyle name="60% - Accent2 23" xfId="471" xr:uid="{B164857F-75DF-42AA-8179-B39B5B9D99A3}"/>
    <cellStyle name="60% - Accent2 23 2" xfId="1793" xr:uid="{4A2E87B0-2BEE-4EB3-9941-EE71552B31C5}"/>
    <cellStyle name="60% - Accent2 23 2 2" xfId="4413" xr:uid="{4C04E1AC-E365-4AD8-9789-01EC4A32A00C}"/>
    <cellStyle name="60% - Accent2 23 3" xfId="3101" xr:uid="{8483D644-E4E9-4976-AA3C-D6EC82DC86DF}"/>
    <cellStyle name="60% - Accent2 24" xfId="491" xr:uid="{EC968690-4DC9-4DC0-999A-7FC4C065A28E}"/>
    <cellStyle name="60% - Accent2 24 2" xfId="1813" xr:uid="{87E6478D-8D73-4B34-90A1-FA0379A95590}"/>
    <cellStyle name="60% - Accent2 24 2 2" xfId="4433" xr:uid="{96E0DA9D-DD41-478A-8FA9-ADFF570D96D8}"/>
    <cellStyle name="60% - Accent2 24 3" xfId="3121" xr:uid="{429800A4-B665-41D5-8D35-94F725E02CE8}"/>
    <cellStyle name="60% - Accent2 25" xfId="511" xr:uid="{B4E2E968-9A6B-4C66-8637-C67E6F8B09E2}"/>
    <cellStyle name="60% - Accent2 25 2" xfId="1833" xr:uid="{53A0D3EB-F11D-41BD-B500-F7F4A4C2DA96}"/>
    <cellStyle name="60% - Accent2 25 2 2" xfId="4453" xr:uid="{59603C35-74C0-408A-B633-21CD7C0149BB}"/>
    <cellStyle name="60% - Accent2 25 3" xfId="3141" xr:uid="{83268249-3467-4D1A-8917-40A11D0CC3BA}"/>
    <cellStyle name="60% - Accent2 26" xfId="531" xr:uid="{1F175328-9638-49B5-BD7D-3B5D2941E606}"/>
    <cellStyle name="60% - Accent2 26 2" xfId="1853" xr:uid="{366A964C-F0F8-4C33-A72E-0EF67AD73815}"/>
    <cellStyle name="60% - Accent2 26 2 2" xfId="4473" xr:uid="{50BD4A2A-AA01-4426-AA51-2876298ED53C}"/>
    <cellStyle name="60% - Accent2 26 3" xfId="3161" xr:uid="{AF536B5D-AF1F-4EC6-8AB3-7F61713F43B4}"/>
    <cellStyle name="60% - Accent2 27" xfId="551" xr:uid="{D5CDB1D3-9AC3-4B55-9FAA-4E978FA2FE77}"/>
    <cellStyle name="60% - Accent2 27 2" xfId="1873" xr:uid="{512D45FC-81BC-439A-931A-DC31A9AE3BA1}"/>
    <cellStyle name="60% - Accent2 27 2 2" xfId="4493" xr:uid="{04CD1D0B-DE5C-4DF2-9415-24BC343B2322}"/>
    <cellStyle name="60% - Accent2 27 3" xfId="3181" xr:uid="{F6E0074B-4AE4-4C1A-88BB-0D4999994504}"/>
    <cellStyle name="60% - Accent2 28" xfId="1051" xr:uid="{92C6BAA1-B1F7-4A1A-BBE9-2FD1E01A6F8F}"/>
    <cellStyle name="60% - Accent2 28 2" xfId="2373" xr:uid="{4A66B6D5-E253-4692-89CD-BA48ECEBFAD4}"/>
    <cellStyle name="60% - Accent2 28 2 2" xfId="4993" xr:uid="{B50CAC9F-51CE-4F4A-A331-AAC5BF78264F}"/>
    <cellStyle name="60% - Accent2 28 3" xfId="3681" xr:uid="{8BCC5503-C670-4058-8CDF-A8BF746275F7}"/>
    <cellStyle name="60% - Accent2 29" xfId="1071" xr:uid="{BED593C6-890D-4BE9-98A6-AE5238B94B50}"/>
    <cellStyle name="60% - Accent2 29 2" xfId="2393" xr:uid="{9DEBD862-012C-4CD9-A471-257A038F319F}"/>
    <cellStyle name="60% - Accent2 29 2 2" xfId="5013" xr:uid="{27C817D7-6BF6-45BF-B28A-72DC7A6E02E0}"/>
    <cellStyle name="60% - Accent2 29 3" xfId="3701" xr:uid="{14432FDC-5F44-42CB-93B5-C008F1F805D2}"/>
    <cellStyle name="60% - Accent2 3" xfId="70" xr:uid="{10DC51E9-0CE7-43DC-9585-C63AC3414BF3}"/>
    <cellStyle name="60% - Accent2 3 2" xfId="1392" xr:uid="{825E4F65-1F4B-4DCE-B50C-726862D97251}"/>
    <cellStyle name="60% - Accent2 3 2 2" xfId="4013" xr:uid="{1E0E088D-40AD-4082-B265-8B6AAC64BB04}"/>
    <cellStyle name="60% - Accent2 3 3" xfId="2701" xr:uid="{EC2417E3-2D01-48F8-BF7F-239AD476251E}"/>
    <cellStyle name="60% - Accent2 30" xfId="1091" xr:uid="{2A3C599E-F7B4-4DF6-8670-6AE1C94D2EF7}"/>
    <cellStyle name="60% - Accent2 30 2" xfId="2413" xr:uid="{B6602EC5-5728-43C1-A568-C53E948C82D7}"/>
    <cellStyle name="60% - Accent2 30 2 2" xfId="5033" xr:uid="{D5D99875-9D11-4BA3-B061-E02E3A3FD22F}"/>
    <cellStyle name="60% - Accent2 30 3" xfId="3721" xr:uid="{9EBD2B97-EE3C-443A-B275-B9A6B05E5423}"/>
    <cellStyle name="60% - Accent2 31" xfId="1111" xr:uid="{9FB29B5C-9F91-413D-84C9-2EB0C841305E}"/>
    <cellStyle name="60% - Accent2 31 2" xfId="2433" xr:uid="{D9B79E6E-7E49-4F6C-9015-EF0852D4884D}"/>
    <cellStyle name="60% - Accent2 31 2 2" xfId="5053" xr:uid="{D83ED5A2-1796-4BB1-A780-02F1397567AC}"/>
    <cellStyle name="60% - Accent2 31 3" xfId="3741" xr:uid="{A392CBA6-EEC2-4740-A8B8-0341F4B226BD}"/>
    <cellStyle name="60% - Accent2 4" xfId="91" xr:uid="{CC5BFC23-4C45-413F-A002-B55A2C740EA8}"/>
    <cellStyle name="60% - Accent2 4 2" xfId="1413" xr:uid="{57FE4F32-9146-4E63-986E-2392039EBA97}"/>
    <cellStyle name="60% - Accent2 4 2 2" xfId="4033" xr:uid="{1D88C008-BC9E-413E-AC34-C4C6CD78F946}"/>
    <cellStyle name="60% - Accent2 4 3" xfId="2721" xr:uid="{1A8409F6-07F5-498B-A02A-7AC2AFB5EB10}"/>
    <cellStyle name="60% - Accent2 5" xfId="111" xr:uid="{82A86FEA-853B-42CE-8716-3D92DEDCC8DA}"/>
    <cellStyle name="60% - Accent2 5 2" xfId="1433" xr:uid="{D08ED28A-A274-4F4A-9534-962CAEDC4B51}"/>
    <cellStyle name="60% - Accent2 5 2 2" xfId="4053" xr:uid="{A5CDEF47-ED3F-4607-B31B-7306DC5DB7B4}"/>
    <cellStyle name="60% - Accent2 5 3" xfId="2741" xr:uid="{1D749A1D-B511-4155-92F6-EDC7799D1A94}"/>
    <cellStyle name="60% - Accent2 6" xfId="131" xr:uid="{3CAF4B90-351F-4B45-BE6D-59EB34F90960}"/>
    <cellStyle name="60% - Accent2 6 2" xfId="1453" xr:uid="{31EC378E-8861-40A9-937C-A7F96E4D0915}"/>
    <cellStyle name="60% - Accent2 6 2 2" xfId="4073" xr:uid="{5B5B00CF-1A7E-490E-851F-E618A7DC91B7}"/>
    <cellStyle name="60% - Accent2 6 3" xfId="2761" xr:uid="{9FCAB2B4-C343-488F-9440-F24CEFFCBFA6}"/>
    <cellStyle name="60% - Accent2 7" xfId="151" xr:uid="{704D90B0-141E-44FF-BB68-5B0C8D70F66C}"/>
    <cellStyle name="60% - Accent2 7 2" xfId="1473" xr:uid="{FAFEE374-F4F4-45A5-8B16-9E00E85D034C}"/>
    <cellStyle name="60% - Accent2 7 2 2" xfId="4093" xr:uid="{F3C3D7F3-6277-41E3-9C44-A65A5E6B78CC}"/>
    <cellStyle name="60% - Accent2 7 3" xfId="2781" xr:uid="{89B0AD5B-0032-44C9-AD7D-A33D5910C5BF}"/>
    <cellStyle name="60% - Accent2 8" xfId="171" xr:uid="{0F0463E4-9535-470C-A1E5-5E745FAAFA4E}"/>
    <cellStyle name="60% - Accent2 8 2" xfId="1493" xr:uid="{39E965D6-4B31-4F79-807C-E854719A8BB5}"/>
    <cellStyle name="60% - Accent2 8 2 2" xfId="4113" xr:uid="{2F8813FE-85C9-4A44-BBF7-447D58CBEEF2}"/>
    <cellStyle name="60% - Accent2 8 3" xfId="2801" xr:uid="{E1A0EF75-4189-4D4C-900C-F3270AFBB4BB}"/>
    <cellStyle name="60% - Accent2 9" xfId="191" xr:uid="{DB9D3877-ECF9-4DEE-91CE-D6FAF91ACE93}"/>
    <cellStyle name="60% - Accent2 9 2" xfId="1513" xr:uid="{3CD1B55A-A555-4A45-9B86-D198B9BCAE48}"/>
    <cellStyle name="60% - Accent2 9 2 2" xfId="4133" xr:uid="{42F7C035-6C11-417C-9627-D742F348753B}"/>
    <cellStyle name="60% - Accent2 9 3" xfId="2821" xr:uid="{CD58F10C-83AE-4546-B6DE-D7DC80D6C44E}"/>
    <cellStyle name="60% - Accent3 10" xfId="214" xr:uid="{6964D7B2-E9D4-4691-B179-55F1862B2EF8}"/>
    <cellStyle name="60% - Accent3 10 2" xfId="1536" xr:uid="{F5BA5D41-06FD-4DAD-BCFD-303B96F472B7}"/>
    <cellStyle name="60% - Accent3 10 2 2" xfId="4156" xr:uid="{08F507A0-4E8B-405C-8B87-11CE9E449353}"/>
    <cellStyle name="60% - Accent3 10 3" xfId="2844" xr:uid="{54D49678-B2FA-487C-90B1-912863093323}"/>
    <cellStyle name="60% - Accent3 11" xfId="234" xr:uid="{DE04460A-67A5-4D72-AC01-D525CE8199BC}"/>
    <cellStyle name="60% - Accent3 11 2" xfId="1556" xr:uid="{9FFC1AA5-689E-4377-8AD3-C6F988A6F814}"/>
    <cellStyle name="60% - Accent3 11 2 2" xfId="4176" xr:uid="{AAE9C097-4D7B-48A8-BC16-5CC929C3F6A2}"/>
    <cellStyle name="60% - Accent3 11 3" xfId="2864" xr:uid="{6CB6F672-C858-439D-91A8-5E01AFA281F8}"/>
    <cellStyle name="60% - Accent3 12" xfId="254" xr:uid="{542C0BFD-6099-4102-91C9-809B834DFFC6}"/>
    <cellStyle name="60% - Accent3 12 2" xfId="1576" xr:uid="{3D3E509E-6F2A-4A91-B75D-A4F7DB9ED732}"/>
    <cellStyle name="60% - Accent3 12 2 2" xfId="4196" xr:uid="{D21A8017-E003-468F-8919-6A803AAD3BD0}"/>
    <cellStyle name="60% - Accent3 12 3" xfId="2884" xr:uid="{C53658AB-46F5-4779-BDF1-892C4D5872B5}"/>
    <cellStyle name="60% - Accent3 13" xfId="274" xr:uid="{CFF68A34-6869-4949-AB17-7CD80F4CB5B6}"/>
    <cellStyle name="60% - Accent3 13 2" xfId="1596" xr:uid="{8F2A3015-8BC5-4A12-8BFA-B49415A10631}"/>
    <cellStyle name="60% - Accent3 13 2 2" xfId="4216" xr:uid="{42366145-255D-47B8-864A-BE11F7A6C1D0}"/>
    <cellStyle name="60% - Accent3 13 3" xfId="2904" xr:uid="{E3E12CAB-392A-48F4-851A-FFC4562A0127}"/>
    <cellStyle name="60% - Accent3 14" xfId="294" xr:uid="{CC624164-5E51-4FFE-822A-4C2FE39AF173}"/>
    <cellStyle name="60% - Accent3 14 2" xfId="1616" xr:uid="{9BFAF389-0956-45AD-AD1F-2B7886467FE8}"/>
    <cellStyle name="60% - Accent3 14 2 2" xfId="4236" xr:uid="{0085FCEF-0FFE-42DC-A934-4D3E6581072C}"/>
    <cellStyle name="60% - Accent3 14 3" xfId="2924" xr:uid="{CCD0ED27-E878-48E1-9306-E1034279D932}"/>
    <cellStyle name="60% - Accent3 15" xfId="314" xr:uid="{6822384E-0A78-4580-98E1-17F2EA833892}"/>
    <cellStyle name="60% - Accent3 15 2" xfId="1636" xr:uid="{E451FF14-1157-4804-A3F9-E8865AD0DF90}"/>
    <cellStyle name="60% - Accent3 15 2 2" xfId="4256" xr:uid="{A815AA75-2C01-486A-80E1-A723B670469E}"/>
    <cellStyle name="60% - Accent3 15 3" xfId="2944" xr:uid="{FF7442F5-5625-48A7-B64E-F82D4F0EA5A1}"/>
    <cellStyle name="60% - Accent3 16" xfId="334" xr:uid="{E29E96FF-73E5-4AAC-B645-5F7477302768}"/>
    <cellStyle name="60% - Accent3 16 2" xfId="1656" xr:uid="{AD2ECBF0-35FC-4A82-ACE1-6E50D61C6D45}"/>
    <cellStyle name="60% - Accent3 16 2 2" xfId="4276" xr:uid="{5C9ED63B-11A1-437A-BE5A-DCEA68223A78}"/>
    <cellStyle name="60% - Accent3 16 3" xfId="2964" xr:uid="{47C88951-7D9A-4795-927A-1B063E650AB6}"/>
    <cellStyle name="60% - Accent3 17" xfId="354" xr:uid="{B1342982-5A87-43A2-BC60-6B6F85206178}"/>
    <cellStyle name="60% - Accent3 17 2" xfId="1676" xr:uid="{31009AB6-4442-438A-9C4D-42D2E78925AF}"/>
    <cellStyle name="60% - Accent3 17 2 2" xfId="4296" xr:uid="{1FBB6D5B-DBC2-48E8-A370-D66EAA3AC27E}"/>
    <cellStyle name="60% - Accent3 17 3" xfId="2984" xr:uid="{3BA393D4-F79D-42A5-B9D1-B3076DD0E590}"/>
    <cellStyle name="60% - Accent3 18" xfId="374" xr:uid="{5F7B37D8-6E57-452B-AC3D-FF838B04B217}"/>
    <cellStyle name="60% - Accent3 18 2" xfId="1696" xr:uid="{8B7B9328-83F1-4BB1-8114-635AB5C10C03}"/>
    <cellStyle name="60% - Accent3 18 2 2" xfId="4316" xr:uid="{004FBFC5-8D72-412C-BF12-BEE96855FBB0}"/>
    <cellStyle name="60% - Accent3 18 3" xfId="3004" xr:uid="{A1982731-A2FE-454E-82AF-F83C19A7CB58}"/>
    <cellStyle name="60% - Accent3 19" xfId="394" xr:uid="{A0F4682A-1887-4103-97C4-B92055ADCC3E}"/>
    <cellStyle name="60% - Accent3 19 2" xfId="1716" xr:uid="{5579DC64-67EA-4D1A-A723-8FFCEFAADF09}"/>
    <cellStyle name="60% - Accent3 19 2 2" xfId="4336" xr:uid="{01F3B291-5D08-4EA2-A80C-5F293DE37127}"/>
    <cellStyle name="60% - Accent3 19 3" xfId="3024" xr:uid="{B221B40D-485E-41D1-8975-21AC156D1FD0}"/>
    <cellStyle name="60% - Accent3 2" xfId="53" xr:uid="{6762D6F4-6DD9-4F8B-9C99-106E74F39709}"/>
    <cellStyle name="60% - Accent3 2 2" xfId="1375" xr:uid="{035A43A1-EAFF-4ED3-9572-84B6D0D01815}"/>
    <cellStyle name="60% - Accent3 2 2 2" xfId="3996" xr:uid="{F00E18B5-2088-4C31-80C9-DD53D1510E94}"/>
    <cellStyle name="60% - Accent3 2 3" xfId="2684" xr:uid="{0BE88147-2FD0-4B00-8BC1-A4270A211748}"/>
    <cellStyle name="60% - Accent3 20" xfId="414" xr:uid="{14DDBEF4-9AEE-4823-9B84-A00BE3412A6C}"/>
    <cellStyle name="60% - Accent3 20 2" xfId="1736" xr:uid="{2F157932-D156-4F0F-B829-A5A220BCA9D2}"/>
    <cellStyle name="60% - Accent3 20 2 2" xfId="4356" xr:uid="{4922806B-A131-404C-BBB3-3D5C6D1099B4}"/>
    <cellStyle name="60% - Accent3 20 3" xfId="3044" xr:uid="{A7C99AC6-9CC9-4A6F-BFBB-986FCB34504A}"/>
    <cellStyle name="60% - Accent3 21" xfId="434" xr:uid="{6FD8685A-0278-4413-952A-BDC98D13C1C3}"/>
    <cellStyle name="60% - Accent3 21 2" xfId="1756" xr:uid="{23AB35AC-75E7-485D-9208-D3F0479426F4}"/>
    <cellStyle name="60% - Accent3 21 2 2" xfId="4376" xr:uid="{FF8A231B-B703-4E18-A8A0-BFD341F9C420}"/>
    <cellStyle name="60% - Accent3 21 3" xfId="3064" xr:uid="{A8BA2123-8CC4-4EE6-8BCB-8D59F5997FFE}"/>
    <cellStyle name="60% - Accent3 22" xfId="454" xr:uid="{48B6234D-7E7C-4724-AC56-2DBE5BEEC17A}"/>
    <cellStyle name="60% - Accent3 22 2" xfId="1776" xr:uid="{E8DBE7B3-E43F-43CB-9F4E-A9D98F461C64}"/>
    <cellStyle name="60% - Accent3 22 2 2" xfId="4396" xr:uid="{C01293E0-7332-4055-9450-644D7DE1DAC0}"/>
    <cellStyle name="60% - Accent3 22 3" xfId="3084" xr:uid="{F94AE0F5-262D-4D91-9178-31FF31C99492}"/>
    <cellStyle name="60% - Accent3 23" xfId="474" xr:uid="{32AF916B-4B27-4A9C-96F4-AD182C6B6ADA}"/>
    <cellStyle name="60% - Accent3 23 2" xfId="1796" xr:uid="{3876C704-A58C-4EBB-884B-8AD1C6D53492}"/>
    <cellStyle name="60% - Accent3 23 2 2" xfId="4416" xr:uid="{FB2D8116-2326-4647-A318-B3A59FA8D712}"/>
    <cellStyle name="60% - Accent3 23 3" xfId="3104" xr:uid="{4AB93641-5063-4963-964F-9743DD314977}"/>
    <cellStyle name="60% - Accent3 24" xfId="494" xr:uid="{29F7853E-7FA9-4618-8D00-8209B36E450A}"/>
    <cellStyle name="60% - Accent3 24 2" xfId="1816" xr:uid="{A11C1D90-7E9C-4131-B923-CAFEBBEE8792}"/>
    <cellStyle name="60% - Accent3 24 2 2" xfId="4436" xr:uid="{363256A9-63EC-4F0C-9EFB-2503B0F4BD9B}"/>
    <cellStyle name="60% - Accent3 24 3" xfId="3124" xr:uid="{22B7546F-F180-4972-88B5-72830C9B6CE6}"/>
    <cellStyle name="60% - Accent3 25" xfId="514" xr:uid="{0B3C0084-7E4F-49BD-92C2-87B6E9D8CF98}"/>
    <cellStyle name="60% - Accent3 25 2" xfId="1836" xr:uid="{EE958B71-4F86-45CB-9FAD-6BA3999C55F7}"/>
    <cellStyle name="60% - Accent3 25 2 2" xfId="4456" xr:uid="{ED7EA7F5-C995-4FEE-B866-EC0F6B4A7232}"/>
    <cellStyle name="60% - Accent3 25 3" xfId="3144" xr:uid="{91EE87E2-0F8A-4C52-B8DD-3A2246ABE431}"/>
    <cellStyle name="60% - Accent3 26" xfId="534" xr:uid="{1EED132E-763E-4F29-BAE6-D735749B6B20}"/>
    <cellStyle name="60% - Accent3 26 2" xfId="1856" xr:uid="{B219DBCE-84B4-42F5-92D8-554956E61EDC}"/>
    <cellStyle name="60% - Accent3 26 2 2" xfId="4476" xr:uid="{6D499E97-EDD7-4265-827D-145A3E074BE9}"/>
    <cellStyle name="60% - Accent3 26 3" xfId="3164" xr:uid="{F2AD7AFF-D6B5-43D7-B5D2-A2A52C91696A}"/>
    <cellStyle name="60% - Accent3 27" xfId="554" xr:uid="{ED998467-FF02-4CF8-83AA-F1176560DFE9}"/>
    <cellStyle name="60% - Accent3 27 2" xfId="1876" xr:uid="{8D1638BF-6993-4CDB-834F-9C689BDE489B}"/>
    <cellStyle name="60% - Accent3 27 2 2" xfId="4496" xr:uid="{99A85351-7BB4-47B7-A3A9-8070E9BC4E66}"/>
    <cellStyle name="60% - Accent3 27 3" xfId="3184" xr:uid="{C2203F22-9EB5-41FB-9F32-D101480C0EB5}"/>
    <cellStyle name="60% - Accent3 28" xfId="1054" xr:uid="{714C2E6A-1022-493E-BF6F-AE0F360CEB64}"/>
    <cellStyle name="60% - Accent3 28 2" xfId="2376" xr:uid="{D7CB1B3F-F580-4A22-AB3D-CF54EB8C58CA}"/>
    <cellStyle name="60% - Accent3 28 2 2" xfId="4996" xr:uid="{91D80C96-EC16-45B9-9873-BB2F89B740D1}"/>
    <cellStyle name="60% - Accent3 28 3" xfId="3684" xr:uid="{C0D86587-F29B-47A8-B2AB-1F3A2D6FC623}"/>
    <cellStyle name="60% - Accent3 29" xfId="1074" xr:uid="{D2CA1606-E040-4198-A400-762BDDBB59C9}"/>
    <cellStyle name="60% - Accent3 29 2" xfId="2396" xr:uid="{BAC350F0-6FA8-40E3-A33B-2C0CF0957F9A}"/>
    <cellStyle name="60% - Accent3 29 2 2" xfId="5016" xr:uid="{24D17FEB-AE77-493E-87B4-E6B16D2EE45C}"/>
    <cellStyle name="60% - Accent3 29 3" xfId="3704" xr:uid="{6976825F-8A7D-417F-B67B-1E0E516F29E0}"/>
    <cellStyle name="60% - Accent3 3" xfId="73" xr:uid="{70E2DEE2-76DB-4933-8390-5972C1344719}"/>
    <cellStyle name="60% - Accent3 3 2" xfId="1395" xr:uid="{25F65CCA-D529-4859-ACDC-536182A4DAC6}"/>
    <cellStyle name="60% - Accent3 3 2 2" xfId="4016" xr:uid="{99A5845F-6410-4D34-B045-986BB180D8EA}"/>
    <cellStyle name="60% - Accent3 3 3" xfId="2704" xr:uid="{2ABD983F-80D4-4703-B1C3-5FF090AB4CFD}"/>
    <cellStyle name="60% - Accent3 30" xfId="1094" xr:uid="{0CE4BC30-1F7A-4BC3-99D2-76544FFA554B}"/>
    <cellStyle name="60% - Accent3 30 2" xfId="2416" xr:uid="{CC8B5779-1CE2-41F9-93CD-957C3C0E4A1E}"/>
    <cellStyle name="60% - Accent3 30 2 2" xfId="5036" xr:uid="{9263E3C3-B92A-45C5-A8BA-F7FE01B9F78D}"/>
    <cellStyle name="60% - Accent3 30 3" xfId="3724" xr:uid="{B67CB264-1EB6-4CDC-A912-231ECB19A71B}"/>
    <cellStyle name="60% - Accent3 31" xfId="1114" xr:uid="{85C57FC1-74FE-41D9-9F24-6445FBD8A0BE}"/>
    <cellStyle name="60% - Accent3 31 2" xfId="2436" xr:uid="{AEDC6521-8876-47C1-89C2-DA139742DE8C}"/>
    <cellStyle name="60% - Accent3 31 2 2" xfId="5056" xr:uid="{80E74AC7-ADFD-478D-951A-2DF3A4E29284}"/>
    <cellStyle name="60% - Accent3 31 3" xfId="3744" xr:uid="{E7F19B99-C95A-42DA-B2F1-5E8DAA953350}"/>
    <cellStyle name="60% - Accent3 4" xfId="94" xr:uid="{83D0DF91-0FF5-4AE1-89D5-503439921449}"/>
    <cellStyle name="60% - Accent3 4 2" xfId="1416" xr:uid="{9877F9ED-EF7E-4EB5-9A9C-971691E282AF}"/>
    <cellStyle name="60% - Accent3 4 2 2" xfId="4036" xr:uid="{F01F0B01-0D68-47FD-A112-10245771B2F8}"/>
    <cellStyle name="60% - Accent3 4 3" xfId="2724" xr:uid="{637A71F9-98EF-4D60-936E-ADD4D962A1E5}"/>
    <cellStyle name="60% - Accent3 5" xfId="114" xr:uid="{F2D4373F-D190-4665-9B2C-CF1FE850C717}"/>
    <cellStyle name="60% - Accent3 5 2" xfId="1436" xr:uid="{CED225FE-DE8C-438A-8994-16530ED4579B}"/>
    <cellStyle name="60% - Accent3 5 2 2" xfId="4056" xr:uid="{72BAEBF4-F6E2-458C-B1F1-7866AFAF1B47}"/>
    <cellStyle name="60% - Accent3 5 3" xfId="2744" xr:uid="{F500072D-B737-4C43-9E8A-B179C214B733}"/>
    <cellStyle name="60% - Accent3 6" xfId="134" xr:uid="{A46ED29A-B708-4545-AAD4-3CC3104930B3}"/>
    <cellStyle name="60% - Accent3 6 2" xfId="1456" xr:uid="{C25E38CE-690F-4F39-BBDC-2B92BA9AA361}"/>
    <cellStyle name="60% - Accent3 6 2 2" xfId="4076" xr:uid="{35FB6E19-A925-45FF-ADA4-481B892CA654}"/>
    <cellStyle name="60% - Accent3 6 3" xfId="2764" xr:uid="{34ADB237-9FD8-4F3E-BE0D-EA2C5BD707CF}"/>
    <cellStyle name="60% - Accent3 7" xfId="154" xr:uid="{49C5ABAD-45E6-4424-9FFC-A8ED11467036}"/>
    <cellStyle name="60% - Accent3 7 2" xfId="1476" xr:uid="{2228E96A-B05C-42DC-AEF9-29A962AD3E59}"/>
    <cellStyle name="60% - Accent3 7 2 2" xfId="4096" xr:uid="{6EDE48D2-84DC-4063-9CDD-BAD1222852E2}"/>
    <cellStyle name="60% - Accent3 7 3" xfId="2784" xr:uid="{FE41490F-28AD-44DA-B5D5-ECEDC5682A48}"/>
    <cellStyle name="60% - Accent3 8" xfId="174" xr:uid="{011F86A5-5B8C-4D89-B2FB-78EECF615BCE}"/>
    <cellStyle name="60% - Accent3 8 2" xfId="1496" xr:uid="{4D93B408-FB22-4ECB-9940-5566B94996A4}"/>
    <cellStyle name="60% - Accent3 8 2 2" xfId="4116" xr:uid="{B9185A6C-E15D-4491-AE40-D76F833358CC}"/>
    <cellStyle name="60% - Accent3 8 3" xfId="2804" xr:uid="{7612ADCE-DB6E-4337-8016-2EC2CED89074}"/>
    <cellStyle name="60% - Accent3 9" xfId="194" xr:uid="{6DCADBD6-D9DA-49C6-A7BB-C74BF78991DF}"/>
    <cellStyle name="60% - Accent3 9 2" xfId="1516" xr:uid="{97D95A59-BC19-4FE9-B0DF-ABB3581A4782}"/>
    <cellStyle name="60% - Accent3 9 2 2" xfId="4136" xr:uid="{A299D1F7-86A5-403B-A71C-91913040D156}"/>
    <cellStyle name="60% - Accent3 9 3" xfId="2824" xr:uid="{2A7B5298-63A9-43DD-B710-F3FF5DB5217B}"/>
    <cellStyle name="60% - Accent4 10" xfId="217" xr:uid="{323D4948-5A47-4408-97AD-38D153B9E3D8}"/>
    <cellStyle name="60% - Accent4 10 2" xfId="1539" xr:uid="{C9B99537-5676-42FD-992F-F432439BE1E7}"/>
    <cellStyle name="60% - Accent4 10 2 2" xfId="4159" xr:uid="{27BB3782-B47D-451A-A35D-D643690C5AAF}"/>
    <cellStyle name="60% - Accent4 10 3" xfId="2847" xr:uid="{AA0CA83B-4F8A-4882-8AF1-205D390F868F}"/>
    <cellStyle name="60% - Accent4 11" xfId="237" xr:uid="{3F97482C-CD70-49CA-B40B-EE41EEEBF9C5}"/>
    <cellStyle name="60% - Accent4 11 2" xfId="1559" xr:uid="{A80F5827-7B80-4CF8-840E-4EE621644008}"/>
    <cellStyle name="60% - Accent4 11 2 2" xfId="4179" xr:uid="{825F5897-1F79-4B38-A908-4ADE0BFD211C}"/>
    <cellStyle name="60% - Accent4 11 3" xfId="2867" xr:uid="{D092121E-AEE7-4D6C-92AE-5526C40A7058}"/>
    <cellStyle name="60% - Accent4 12" xfId="257" xr:uid="{1A303C44-2FE1-4B42-81C6-7A8171A645A6}"/>
    <cellStyle name="60% - Accent4 12 2" xfId="1579" xr:uid="{5D163DD4-60F6-4EED-A766-03DD5DB6763B}"/>
    <cellStyle name="60% - Accent4 12 2 2" xfId="4199" xr:uid="{29F42C48-FEC6-4CCD-A09A-BE68BBEF2B55}"/>
    <cellStyle name="60% - Accent4 12 3" xfId="2887" xr:uid="{4E45A51E-10E9-465F-B31B-46700BB0B70A}"/>
    <cellStyle name="60% - Accent4 13" xfId="277" xr:uid="{8D497E11-503A-4C2F-80F3-2F132017BEEA}"/>
    <cellStyle name="60% - Accent4 13 2" xfId="1599" xr:uid="{C08260CD-E0D2-4C7D-A280-1C8B16B164CB}"/>
    <cellStyle name="60% - Accent4 13 2 2" xfId="4219" xr:uid="{7B92AD81-FC3E-4AB6-BB0F-9B97F9E16235}"/>
    <cellStyle name="60% - Accent4 13 3" xfId="2907" xr:uid="{B9396FDC-4D61-4E8A-8877-E40A37AD1B16}"/>
    <cellStyle name="60% - Accent4 14" xfId="297" xr:uid="{3A23552A-E0CF-4A2A-944E-3D37A61EE6FD}"/>
    <cellStyle name="60% - Accent4 14 2" xfId="1619" xr:uid="{0EAB5B21-0C06-4A44-99CA-97DAE1274F2C}"/>
    <cellStyle name="60% - Accent4 14 2 2" xfId="4239" xr:uid="{3D027733-B3AD-49BE-94B7-3CC4BE5D7933}"/>
    <cellStyle name="60% - Accent4 14 3" xfId="2927" xr:uid="{98F5E83B-CFF9-4672-BC06-A4F044B39DBE}"/>
    <cellStyle name="60% - Accent4 15" xfId="317" xr:uid="{C47780A5-7333-4220-8EE6-E1ABDFBD038F}"/>
    <cellStyle name="60% - Accent4 15 2" xfId="1639" xr:uid="{23F9A0B5-5D23-4D36-8F6E-FFF4F57DF110}"/>
    <cellStyle name="60% - Accent4 15 2 2" xfId="4259" xr:uid="{EA819D5C-8CAA-493F-A25A-8ABBB5C30AAA}"/>
    <cellStyle name="60% - Accent4 15 3" xfId="2947" xr:uid="{72E0E092-C29F-4557-BC2B-0F352E4F1577}"/>
    <cellStyle name="60% - Accent4 16" xfId="337" xr:uid="{3C146C90-5759-49A0-A59D-DD75AAF5EF12}"/>
    <cellStyle name="60% - Accent4 16 2" xfId="1659" xr:uid="{F08920AE-99A4-48E9-9302-ACEBC7A53BE2}"/>
    <cellStyle name="60% - Accent4 16 2 2" xfId="4279" xr:uid="{97570F15-92D9-4106-BF34-BA2232D05C28}"/>
    <cellStyle name="60% - Accent4 16 3" xfId="2967" xr:uid="{F2505535-2E94-44FC-B592-6547395CD105}"/>
    <cellStyle name="60% - Accent4 17" xfId="357" xr:uid="{6325754F-FC6E-4580-A626-3AC2DA24D3CE}"/>
    <cellStyle name="60% - Accent4 17 2" xfId="1679" xr:uid="{D2D53FF3-E244-4D04-872E-FF7BB77EC2A9}"/>
    <cellStyle name="60% - Accent4 17 2 2" xfId="4299" xr:uid="{64C90CA7-166D-4FA8-8917-214AB2EDE444}"/>
    <cellStyle name="60% - Accent4 17 3" xfId="2987" xr:uid="{93C9A15A-58C2-46BD-A976-8F6E3D3A2241}"/>
    <cellStyle name="60% - Accent4 18" xfId="377" xr:uid="{D9BBF2A2-F831-4775-8E07-F53110BF1AA1}"/>
    <cellStyle name="60% - Accent4 18 2" xfId="1699" xr:uid="{12BFFC16-230F-4D42-A767-663F501503D1}"/>
    <cellStyle name="60% - Accent4 18 2 2" xfId="4319" xr:uid="{65182BD9-8B4F-4BAB-B26F-DCAD124CD818}"/>
    <cellStyle name="60% - Accent4 18 3" xfId="3007" xr:uid="{CC2A8AE3-F3FC-453D-8433-FBC837FD730D}"/>
    <cellStyle name="60% - Accent4 19" xfId="397" xr:uid="{178021F0-701B-4C57-9C2D-B7A1C8230935}"/>
    <cellStyle name="60% - Accent4 19 2" xfId="1719" xr:uid="{BEF52650-5E22-4D86-85D2-E810B2F53DE3}"/>
    <cellStyle name="60% - Accent4 19 2 2" xfId="4339" xr:uid="{7EB69B99-7B7C-4FEC-81FC-4ECAC75670AC}"/>
    <cellStyle name="60% - Accent4 19 3" xfId="3027" xr:uid="{1EF106AD-C8F1-434D-AFA8-80565197E488}"/>
    <cellStyle name="60% - Accent4 2" xfId="56" xr:uid="{A3EE5487-539D-437D-B263-B987A3F4DE99}"/>
    <cellStyle name="60% - Accent4 2 2" xfId="1378" xr:uid="{49AE6237-2F21-424A-9FF9-91748F48F12A}"/>
    <cellStyle name="60% - Accent4 2 2 2" xfId="3999" xr:uid="{0FF87BB0-DE58-40F8-87AC-2244AD645DAB}"/>
    <cellStyle name="60% - Accent4 2 3" xfId="2687" xr:uid="{5E4CB593-F882-493D-B429-07DFD0084B7B}"/>
    <cellStyle name="60% - Accent4 20" xfId="417" xr:uid="{137FB940-AF8E-48F8-95EC-7F39A61DDC1C}"/>
    <cellStyle name="60% - Accent4 20 2" xfId="1739" xr:uid="{D4465F53-8F6C-431F-823E-AA56C5F628B8}"/>
    <cellStyle name="60% - Accent4 20 2 2" xfId="4359" xr:uid="{69643500-FA07-4ED2-893A-87E478B10FE6}"/>
    <cellStyle name="60% - Accent4 20 3" xfId="3047" xr:uid="{9E9D9693-4B64-4AD0-875A-626EFDC6BF44}"/>
    <cellStyle name="60% - Accent4 21" xfId="437" xr:uid="{6E3521D0-838F-43E7-A08E-FBF96171965C}"/>
    <cellStyle name="60% - Accent4 21 2" xfId="1759" xr:uid="{A159F6C7-63FB-436A-A01A-D3BF2CAB5984}"/>
    <cellStyle name="60% - Accent4 21 2 2" xfId="4379" xr:uid="{2B17C03C-6CEB-4251-BC35-D55BA2E20767}"/>
    <cellStyle name="60% - Accent4 21 3" xfId="3067" xr:uid="{6595A7F9-4A0D-48C0-91D3-AADCE25FECBF}"/>
    <cellStyle name="60% - Accent4 22" xfId="457" xr:uid="{7753B15A-CD92-48C3-B027-1781F2B6A843}"/>
    <cellStyle name="60% - Accent4 22 2" xfId="1779" xr:uid="{41403F00-4F59-4506-9414-EECF5109E9BC}"/>
    <cellStyle name="60% - Accent4 22 2 2" xfId="4399" xr:uid="{7F2E35A9-EA47-4B47-91D4-243C08619A40}"/>
    <cellStyle name="60% - Accent4 22 3" xfId="3087" xr:uid="{03316D23-A7A0-408D-959C-952C15B967C1}"/>
    <cellStyle name="60% - Accent4 23" xfId="477" xr:uid="{37F0ABF6-97D7-465B-B7BF-B2DE9BCA3C33}"/>
    <cellStyle name="60% - Accent4 23 2" xfId="1799" xr:uid="{0450617D-F06A-4739-9A94-C8EE346B3094}"/>
    <cellStyle name="60% - Accent4 23 2 2" xfId="4419" xr:uid="{B838457C-C01A-424D-B1E4-A4793117FB20}"/>
    <cellStyle name="60% - Accent4 23 3" xfId="3107" xr:uid="{B8F821B9-24EC-4759-B75B-8B92631B5EB0}"/>
    <cellStyle name="60% - Accent4 24" xfId="497" xr:uid="{6CDEB7AD-0AC6-4C8F-ADD5-89B8E7B29EC6}"/>
    <cellStyle name="60% - Accent4 24 2" xfId="1819" xr:uid="{FD0F435D-C757-423C-8A39-02F3E1428D58}"/>
    <cellStyle name="60% - Accent4 24 2 2" xfId="4439" xr:uid="{7D84FAA6-3D3A-482D-872E-D0402556D315}"/>
    <cellStyle name="60% - Accent4 24 3" xfId="3127" xr:uid="{7D3CAD84-CF4D-4FA8-93EE-1F2A4515D7CA}"/>
    <cellStyle name="60% - Accent4 25" xfId="517" xr:uid="{EE8A646F-A537-46C5-B52D-C6DFFE00B903}"/>
    <cellStyle name="60% - Accent4 25 2" xfId="1839" xr:uid="{DD383085-C853-4B6D-882E-FF0BE5B40EA9}"/>
    <cellStyle name="60% - Accent4 25 2 2" xfId="4459" xr:uid="{691AE5E8-71F8-484C-99DD-0E2C1E0107C1}"/>
    <cellStyle name="60% - Accent4 25 3" xfId="3147" xr:uid="{137CE6F0-AFC3-4E19-84CD-9CFC726C2513}"/>
    <cellStyle name="60% - Accent4 26" xfId="537" xr:uid="{F0FDB276-7DF1-42F0-9A6B-EE77C2F5130B}"/>
    <cellStyle name="60% - Accent4 26 2" xfId="1859" xr:uid="{75B761FE-3943-4D23-A65A-4CE206A530F5}"/>
    <cellStyle name="60% - Accent4 26 2 2" xfId="4479" xr:uid="{13B749AF-0627-4ACE-BA03-03AE01103A23}"/>
    <cellStyle name="60% - Accent4 26 3" xfId="3167" xr:uid="{5BB00275-FDBA-407C-8DFE-43A36EBB1A12}"/>
    <cellStyle name="60% - Accent4 27" xfId="557" xr:uid="{92390B6A-4AD5-47AD-9C67-4A284B012F06}"/>
    <cellStyle name="60% - Accent4 27 2" xfId="1879" xr:uid="{EE4175C2-5744-4FF8-A098-1C17CB6AD820}"/>
    <cellStyle name="60% - Accent4 27 2 2" xfId="4499" xr:uid="{38FEFC15-4B3C-4C82-A6B5-B4B8809D9BF4}"/>
    <cellStyle name="60% - Accent4 27 3" xfId="3187" xr:uid="{6D12E99E-1405-44DB-A823-66977F6AFE9A}"/>
    <cellStyle name="60% - Accent4 28" xfId="1057" xr:uid="{979ABD75-DCD0-407F-A00C-AF509418038A}"/>
    <cellStyle name="60% - Accent4 28 2" xfId="2379" xr:uid="{666868EA-AE94-496F-83F3-5C165DBD8F10}"/>
    <cellStyle name="60% - Accent4 28 2 2" xfId="4999" xr:uid="{29A76D11-0CE1-4235-AA79-05F84485BC3D}"/>
    <cellStyle name="60% - Accent4 28 3" xfId="3687" xr:uid="{6D248459-FD58-4895-B3CF-770F86B6001E}"/>
    <cellStyle name="60% - Accent4 29" xfId="1077" xr:uid="{8255A12A-D652-47FE-8ABE-84DE06D4B126}"/>
    <cellStyle name="60% - Accent4 29 2" xfId="2399" xr:uid="{7AB50158-9EE8-4A54-BAB2-7BD15697627E}"/>
    <cellStyle name="60% - Accent4 29 2 2" xfId="5019" xr:uid="{E42805E2-741F-48C6-8B17-F4C098FD9712}"/>
    <cellStyle name="60% - Accent4 29 3" xfId="3707" xr:uid="{DE050A19-8761-41F4-8DF9-6A073FCEF21F}"/>
    <cellStyle name="60% - Accent4 3" xfId="76" xr:uid="{A6EB7735-267A-4BB4-A058-3E0FA6061083}"/>
    <cellStyle name="60% - Accent4 3 2" xfId="1398" xr:uid="{F9D0815B-997E-4AB5-9212-83E9BAD49093}"/>
    <cellStyle name="60% - Accent4 3 2 2" xfId="4019" xr:uid="{E8D05866-D685-4085-862F-D7DEC3ED78E5}"/>
    <cellStyle name="60% - Accent4 3 3" xfId="2707" xr:uid="{1B00F91D-1931-489C-9A19-8BFF4B76D3FD}"/>
    <cellStyle name="60% - Accent4 30" xfId="1097" xr:uid="{9BF2A426-2D98-4E03-AE3D-4BCFFBE0A9F8}"/>
    <cellStyle name="60% - Accent4 30 2" xfId="2419" xr:uid="{54ABD114-DE37-49DD-9946-668FB461E286}"/>
    <cellStyle name="60% - Accent4 30 2 2" xfId="5039" xr:uid="{0D9D4AAC-A667-4828-8223-FCA13C4AAA93}"/>
    <cellStyle name="60% - Accent4 30 3" xfId="3727" xr:uid="{53634167-F505-4E6A-AC95-3CE186C11D21}"/>
    <cellStyle name="60% - Accent4 31" xfId="1117" xr:uid="{36D3DF63-390E-4BA0-A7DF-334B69C13D35}"/>
    <cellStyle name="60% - Accent4 31 2" xfId="2439" xr:uid="{DB499529-50E3-456B-BD49-9556B623E8F2}"/>
    <cellStyle name="60% - Accent4 31 2 2" xfId="5059" xr:uid="{96B81E39-8803-4EC9-BE22-FF48C93CE38F}"/>
    <cellStyle name="60% - Accent4 31 3" xfId="3747" xr:uid="{E124FE13-3EA5-4663-9CE0-416099589AB0}"/>
    <cellStyle name="60% - Accent4 4" xfId="97" xr:uid="{4AF96A4F-CD6B-4079-833F-26797F0A7F59}"/>
    <cellStyle name="60% - Accent4 4 2" xfId="1419" xr:uid="{765B5FD8-3D0E-472A-A38B-C0A9B0832A47}"/>
    <cellStyle name="60% - Accent4 4 2 2" xfId="4039" xr:uid="{47FF7FFC-FB3D-4E9D-9912-732AEA1575AD}"/>
    <cellStyle name="60% - Accent4 4 3" xfId="2727" xr:uid="{82AE9878-AF28-4157-A833-FFE3F5295198}"/>
    <cellStyle name="60% - Accent4 5" xfId="117" xr:uid="{EAB81F0A-C3D5-4710-9BB3-91D454618BFC}"/>
    <cellStyle name="60% - Accent4 5 2" xfId="1439" xr:uid="{EFB7B18C-2228-4BBB-B6A5-EE246B8CBF9E}"/>
    <cellStyle name="60% - Accent4 5 2 2" xfId="4059" xr:uid="{051A624A-221D-4D65-B1F6-D97EBFB3C235}"/>
    <cellStyle name="60% - Accent4 5 3" xfId="2747" xr:uid="{31411011-BD37-4744-A222-6F6E3051ED57}"/>
    <cellStyle name="60% - Accent4 6" xfId="137" xr:uid="{EE7BACCE-2B62-4CAF-9392-97254B25DC87}"/>
    <cellStyle name="60% - Accent4 6 2" xfId="1459" xr:uid="{47DF63C3-2678-46D7-8F08-F12A8CEC7CEF}"/>
    <cellStyle name="60% - Accent4 6 2 2" xfId="4079" xr:uid="{F9DDA8B6-5040-4961-BE91-C2BD899582C4}"/>
    <cellStyle name="60% - Accent4 6 3" xfId="2767" xr:uid="{5C506389-B12C-4B97-A9E8-F0CC8D9E36AE}"/>
    <cellStyle name="60% - Accent4 7" xfId="157" xr:uid="{645FF757-3E8E-47D9-AA39-B1172C06EF6D}"/>
    <cellStyle name="60% - Accent4 7 2" xfId="1479" xr:uid="{94EF3414-2E07-4B6B-86A2-CCE916C180D0}"/>
    <cellStyle name="60% - Accent4 7 2 2" xfId="4099" xr:uid="{828D02D4-C697-4C31-9FC2-90CF804A9D8F}"/>
    <cellStyle name="60% - Accent4 7 3" xfId="2787" xr:uid="{E57CE65B-9365-4F39-8EBE-5998270E1E47}"/>
    <cellStyle name="60% - Accent4 8" xfId="177" xr:uid="{3AF42365-1624-4715-A4F3-F73EEE3EC9DA}"/>
    <cellStyle name="60% - Accent4 8 2" xfId="1499" xr:uid="{4C5E611E-74FD-4B20-964D-41A456C80802}"/>
    <cellStyle name="60% - Accent4 8 2 2" xfId="4119" xr:uid="{88BB09C8-F695-41FC-9ED8-E6606221B000}"/>
    <cellStyle name="60% - Accent4 8 3" xfId="2807" xr:uid="{D39C28C2-0782-4D1F-8723-930FE316D43A}"/>
    <cellStyle name="60% - Accent4 9" xfId="197" xr:uid="{5741A6B4-A987-4A7E-B14F-9D423ED08E59}"/>
    <cellStyle name="60% - Accent4 9 2" xfId="1519" xr:uid="{0394E6E8-34EF-4F0A-AA2F-3F2360FEBAFD}"/>
    <cellStyle name="60% - Accent4 9 2 2" xfId="4139" xr:uid="{75CD0E5C-3769-4FC0-ADA4-F90F79332E05}"/>
    <cellStyle name="60% - Accent4 9 3" xfId="2827" xr:uid="{0E27463A-F681-42D9-8A77-5D2B07880AAB}"/>
    <cellStyle name="60% - Accent5 10" xfId="220" xr:uid="{A9C2EA32-D81E-462E-AB35-CB8BCFE18F16}"/>
    <cellStyle name="60% - Accent5 10 2" xfId="1542" xr:uid="{86C1492B-F37E-42FD-91CD-916F6ADC305F}"/>
    <cellStyle name="60% - Accent5 10 2 2" xfId="4162" xr:uid="{044D4333-735A-4AC7-8403-FF0A1A68E6E5}"/>
    <cellStyle name="60% - Accent5 10 3" xfId="2850" xr:uid="{445AC4B9-AA2D-4A58-8139-34A5349CBE37}"/>
    <cellStyle name="60% - Accent5 11" xfId="240" xr:uid="{693D795A-D495-4C1B-A70D-C44AEC683214}"/>
    <cellStyle name="60% - Accent5 11 2" xfId="1562" xr:uid="{D46AABC1-A0AA-4F9A-87A0-6D419AD480CE}"/>
    <cellStyle name="60% - Accent5 11 2 2" xfId="4182" xr:uid="{3AC09B5C-A993-4BD5-8623-7B5C79CA0B55}"/>
    <cellStyle name="60% - Accent5 11 3" xfId="2870" xr:uid="{AF9B3E90-0F60-4BD7-B9AE-D85BC404C97B}"/>
    <cellStyle name="60% - Accent5 12" xfId="260" xr:uid="{F275ECB8-53FA-465F-869D-C85CF574154B}"/>
    <cellStyle name="60% - Accent5 12 2" xfId="1582" xr:uid="{C1166C02-3EF8-4400-BE47-3B59C658C41F}"/>
    <cellStyle name="60% - Accent5 12 2 2" xfId="4202" xr:uid="{164214E8-5EFF-4E06-9257-78779EE3FAEE}"/>
    <cellStyle name="60% - Accent5 12 3" xfId="2890" xr:uid="{34BED01D-4D7A-4352-A8DA-28E0A1A07B3E}"/>
    <cellStyle name="60% - Accent5 13" xfId="280" xr:uid="{29405FE2-0539-4205-A665-604328834AD5}"/>
    <cellStyle name="60% - Accent5 13 2" xfId="1602" xr:uid="{BD016A46-3703-43C2-BF8B-6BD23AF9F3E1}"/>
    <cellStyle name="60% - Accent5 13 2 2" xfId="4222" xr:uid="{5E7D8C00-A39D-4207-B9CA-BC64F7489F68}"/>
    <cellStyle name="60% - Accent5 13 3" xfId="2910" xr:uid="{C6B15C5A-2A60-4CC1-97B5-F59231DA0F82}"/>
    <cellStyle name="60% - Accent5 14" xfId="300" xr:uid="{8C32293D-9486-459A-9466-44ED09CE9464}"/>
    <cellStyle name="60% - Accent5 14 2" xfId="1622" xr:uid="{0414EE13-5A36-473A-A300-EB1A9FF87A9E}"/>
    <cellStyle name="60% - Accent5 14 2 2" xfId="4242" xr:uid="{042C1823-62F4-4CE4-BB66-0B2C63FA3E7E}"/>
    <cellStyle name="60% - Accent5 14 3" xfId="2930" xr:uid="{8BAAD9D5-B11E-4C37-A38D-93E7ECD6AFBE}"/>
    <cellStyle name="60% - Accent5 15" xfId="320" xr:uid="{2142454F-F3D5-42AC-B7B4-715C72D10EC9}"/>
    <cellStyle name="60% - Accent5 15 2" xfId="1642" xr:uid="{04654C53-158F-4455-ABFB-21B84B18A06A}"/>
    <cellStyle name="60% - Accent5 15 2 2" xfId="4262" xr:uid="{7E10F58E-2764-407B-9C95-0232B25BD4C4}"/>
    <cellStyle name="60% - Accent5 15 3" xfId="2950" xr:uid="{51EF6BDC-BCC2-46E9-B9AA-09DF835B17CE}"/>
    <cellStyle name="60% - Accent5 16" xfId="340" xr:uid="{D72077DE-998A-4D07-9E59-99734D0D9044}"/>
    <cellStyle name="60% - Accent5 16 2" xfId="1662" xr:uid="{51F41D46-E05B-4126-973A-51373E8B1776}"/>
    <cellStyle name="60% - Accent5 16 2 2" xfId="4282" xr:uid="{0CE63F29-C2FD-431B-BF56-26B92DFE0CC4}"/>
    <cellStyle name="60% - Accent5 16 3" xfId="2970" xr:uid="{6968B1CA-2211-4F92-A264-8D3DA08EC3B3}"/>
    <cellStyle name="60% - Accent5 17" xfId="360" xr:uid="{776599C4-BAAF-4BFA-A892-C47D04AD9558}"/>
    <cellStyle name="60% - Accent5 17 2" xfId="1682" xr:uid="{7729BA8D-7693-4449-B180-B3A6307861BB}"/>
    <cellStyle name="60% - Accent5 17 2 2" xfId="4302" xr:uid="{4DDB73B2-01B8-4F08-B0AA-7E6D7A427594}"/>
    <cellStyle name="60% - Accent5 17 3" xfId="2990" xr:uid="{7F0BAFEF-E89B-4D0D-92C4-4E64B434B968}"/>
    <cellStyle name="60% - Accent5 18" xfId="380" xr:uid="{B3F19E46-5E4E-4E3F-AD27-400B00E96A3B}"/>
    <cellStyle name="60% - Accent5 18 2" xfId="1702" xr:uid="{87B5CD67-A4FB-4ABE-B7F5-7662F9C9C435}"/>
    <cellStyle name="60% - Accent5 18 2 2" xfId="4322" xr:uid="{B4D6BDD1-2FEB-4342-9187-9A3BE77AC785}"/>
    <cellStyle name="60% - Accent5 18 3" xfId="3010" xr:uid="{AF23149F-ABDF-4992-8942-4F78AE9D5648}"/>
    <cellStyle name="60% - Accent5 19" xfId="400" xr:uid="{923E70E9-DB01-49A2-B77B-DCA594B7C6EB}"/>
    <cellStyle name="60% - Accent5 19 2" xfId="1722" xr:uid="{3F81592C-B0AA-4264-886A-85D602A292AA}"/>
    <cellStyle name="60% - Accent5 19 2 2" xfId="4342" xr:uid="{B00A6F6F-F19B-4407-BBCE-DC5411F1A38D}"/>
    <cellStyle name="60% - Accent5 19 3" xfId="3030" xr:uid="{4F60279B-BBA4-4CAB-98CC-BF02E2A4E6DA}"/>
    <cellStyle name="60% - Accent5 2" xfId="59" xr:uid="{17845DD0-4761-4A3F-92B3-DE5D261418C4}"/>
    <cellStyle name="60% - Accent5 2 2" xfId="1381" xr:uid="{758607D7-2391-407E-A3B0-92F1B9DB7340}"/>
    <cellStyle name="60% - Accent5 2 2 2" xfId="4002" xr:uid="{78E05758-848F-4699-89F3-C7270F94C8CB}"/>
    <cellStyle name="60% - Accent5 2 3" xfId="2690" xr:uid="{1C49ACB8-7A19-4AAC-9FDD-35AE9CDF6764}"/>
    <cellStyle name="60% - Accent5 20" xfId="420" xr:uid="{58D677D9-04E5-40A4-A4C3-7646E9B776F2}"/>
    <cellStyle name="60% - Accent5 20 2" xfId="1742" xr:uid="{365BF555-DC6B-4198-9808-863F43FA4B09}"/>
    <cellStyle name="60% - Accent5 20 2 2" xfId="4362" xr:uid="{9C38769D-A9F1-4085-BC64-7743248FE5C4}"/>
    <cellStyle name="60% - Accent5 20 3" xfId="3050" xr:uid="{80F31A66-9B5B-4DB6-A09A-FE153316448A}"/>
    <cellStyle name="60% - Accent5 21" xfId="440" xr:uid="{97FB70B0-9D32-4EF1-916D-ADA496292627}"/>
    <cellStyle name="60% - Accent5 21 2" xfId="1762" xr:uid="{106C694D-D700-40A9-8653-0C0013069864}"/>
    <cellStyle name="60% - Accent5 21 2 2" xfId="4382" xr:uid="{47C37E6D-A479-47C9-9C8F-AA91E6FD62B2}"/>
    <cellStyle name="60% - Accent5 21 3" xfId="3070" xr:uid="{1BECD9E5-4317-4AE3-A458-58ABD9C4FFD8}"/>
    <cellStyle name="60% - Accent5 22" xfId="460" xr:uid="{50D2B6F6-AADF-4240-9CCC-1338998C2C9A}"/>
    <cellStyle name="60% - Accent5 22 2" xfId="1782" xr:uid="{87114048-33CF-442E-9A87-293B70D62452}"/>
    <cellStyle name="60% - Accent5 22 2 2" xfId="4402" xr:uid="{A31245C9-F392-4103-A62A-71108E9D1219}"/>
    <cellStyle name="60% - Accent5 22 3" xfId="3090" xr:uid="{FB2981BE-86BD-4524-BB61-5801FCB08EDF}"/>
    <cellStyle name="60% - Accent5 23" xfId="480" xr:uid="{2ED92E0C-F73F-4A72-A162-2E9EFA464EC4}"/>
    <cellStyle name="60% - Accent5 23 2" xfId="1802" xr:uid="{486A2029-18AF-4446-AD9E-73485B4FF0AB}"/>
    <cellStyle name="60% - Accent5 23 2 2" xfId="4422" xr:uid="{F8AD3F5F-5A08-4D59-B8BD-524A9F50245A}"/>
    <cellStyle name="60% - Accent5 23 3" xfId="3110" xr:uid="{CAB56ECC-FFF2-4311-A3D2-CA0043D8E49C}"/>
    <cellStyle name="60% - Accent5 24" xfId="500" xr:uid="{BAA75F39-DBAC-4095-82B1-AF7C0FA42C78}"/>
    <cellStyle name="60% - Accent5 24 2" xfId="1822" xr:uid="{8CE12758-D5C1-453F-A688-4B9C435107A6}"/>
    <cellStyle name="60% - Accent5 24 2 2" xfId="4442" xr:uid="{DBA80BEA-3486-4A9A-A343-FBD7F72EF50B}"/>
    <cellStyle name="60% - Accent5 24 3" xfId="3130" xr:uid="{1768B1D4-2A47-4632-B5DE-8C46307CBB22}"/>
    <cellStyle name="60% - Accent5 25" xfId="520" xr:uid="{D6B4A31D-ED5C-468A-A721-14989A52FFE3}"/>
    <cellStyle name="60% - Accent5 25 2" xfId="1842" xr:uid="{F05AB0E0-33CC-42C7-914D-D34F764D11B7}"/>
    <cellStyle name="60% - Accent5 25 2 2" xfId="4462" xr:uid="{11DA65B3-27C5-432F-8324-4055A028242A}"/>
    <cellStyle name="60% - Accent5 25 3" xfId="3150" xr:uid="{8570F9F6-5EE8-4803-BFC3-8394586A1B9A}"/>
    <cellStyle name="60% - Accent5 26" xfId="540" xr:uid="{A45556CE-B02E-440E-B60F-F8BBF90BB181}"/>
    <cellStyle name="60% - Accent5 26 2" xfId="1862" xr:uid="{F385DF71-3C51-4C18-AA5B-908927A271B8}"/>
    <cellStyle name="60% - Accent5 26 2 2" xfId="4482" xr:uid="{99CF14A1-97F8-48FD-B098-25B25C5C859C}"/>
    <cellStyle name="60% - Accent5 26 3" xfId="3170" xr:uid="{217BD3C4-0627-425B-9BFF-50517F2C1386}"/>
    <cellStyle name="60% - Accent5 27" xfId="560" xr:uid="{0CA8B728-FC21-4958-A2DD-EDCF59E4CDCB}"/>
    <cellStyle name="60% - Accent5 27 2" xfId="1882" xr:uid="{52B5CB23-8C66-44BC-831D-080D4058213B}"/>
    <cellStyle name="60% - Accent5 27 2 2" xfId="4502" xr:uid="{213C0F8A-932E-4CC1-AE11-E4BD7B892906}"/>
    <cellStyle name="60% - Accent5 27 3" xfId="3190" xr:uid="{73B729E4-27E4-4851-B285-B17CB3FD56DD}"/>
    <cellStyle name="60% - Accent5 28" xfId="1060" xr:uid="{E6DF665E-A56B-443A-9746-85483138E2F3}"/>
    <cellStyle name="60% - Accent5 28 2" xfId="2382" xr:uid="{87CB186F-4D6F-45E5-8632-E50D5F98FF00}"/>
    <cellStyle name="60% - Accent5 28 2 2" xfId="5002" xr:uid="{C5906F0B-CFFA-44D6-9012-177488DDCAE5}"/>
    <cellStyle name="60% - Accent5 28 3" xfId="3690" xr:uid="{39CB9D90-A187-4CA4-AB1C-7138FF93A1D7}"/>
    <cellStyle name="60% - Accent5 29" xfId="1080" xr:uid="{1E244C37-8F3A-4163-8558-6B099A1EC169}"/>
    <cellStyle name="60% - Accent5 29 2" xfId="2402" xr:uid="{228DFAEF-7633-48C3-8AFF-A20A1F31828C}"/>
    <cellStyle name="60% - Accent5 29 2 2" xfId="5022" xr:uid="{816EAC00-1457-4A63-8A8B-C730A7DD7A86}"/>
    <cellStyle name="60% - Accent5 29 3" xfId="3710" xr:uid="{E628A06E-077C-471C-947B-1BACA3E66AC8}"/>
    <cellStyle name="60% - Accent5 3" xfId="79" xr:uid="{96B8C6E8-3298-4882-8738-33A48B7BABA1}"/>
    <cellStyle name="60% - Accent5 3 2" xfId="1401" xr:uid="{F4C53A6B-46AD-4261-AB0B-E91096635CB2}"/>
    <cellStyle name="60% - Accent5 3 2 2" xfId="4022" xr:uid="{3D52A54A-7FD9-4CF4-A44D-41AECA07E749}"/>
    <cellStyle name="60% - Accent5 3 3" xfId="2710" xr:uid="{5E622E04-E84F-4EB3-8171-A24489BD818A}"/>
    <cellStyle name="60% - Accent5 30" xfId="1100" xr:uid="{44C3D11E-4547-4C36-9625-230B5B231269}"/>
    <cellStyle name="60% - Accent5 30 2" xfId="2422" xr:uid="{69FC4274-008E-4774-AF43-D3E39A2BC2DC}"/>
    <cellStyle name="60% - Accent5 30 2 2" xfId="5042" xr:uid="{0A038B7E-AEF8-4411-92D3-46AC4513A692}"/>
    <cellStyle name="60% - Accent5 30 3" xfId="3730" xr:uid="{1B16D968-95B6-437C-B40F-DEADED99D2E6}"/>
    <cellStyle name="60% - Accent5 31" xfId="1120" xr:uid="{F963035A-20A4-47F1-8DF7-5B70F72DA701}"/>
    <cellStyle name="60% - Accent5 31 2" xfId="2442" xr:uid="{3F09F3A7-35E6-4BDF-B33B-8F60384D47AC}"/>
    <cellStyle name="60% - Accent5 31 2 2" xfId="5062" xr:uid="{73BC5924-4D3D-404E-B351-CD4C2DD1F359}"/>
    <cellStyle name="60% - Accent5 31 3" xfId="3750" xr:uid="{860BA3F8-4AE2-44AC-829F-F065BE602637}"/>
    <cellStyle name="60% - Accent5 4" xfId="100" xr:uid="{9F03ADC3-AD3F-4E8F-8AD2-BA871EA11F9D}"/>
    <cellStyle name="60% - Accent5 4 2" xfId="1422" xr:uid="{1E789BB0-0F1A-4C4D-A473-A35E1C6A3A29}"/>
    <cellStyle name="60% - Accent5 4 2 2" xfId="4042" xr:uid="{BF0B5CCD-022E-440B-83CE-7CAC91BD511C}"/>
    <cellStyle name="60% - Accent5 4 3" xfId="2730" xr:uid="{DBCC9A58-E3F5-44CF-82A7-68E7257809EC}"/>
    <cellStyle name="60% - Accent5 5" xfId="120" xr:uid="{B30CD84C-5BD8-404F-AB7D-43B695D7519E}"/>
    <cellStyle name="60% - Accent5 5 2" xfId="1442" xr:uid="{2C58186C-48C8-4968-AF2E-0F04C5CD2C17}"/>
    <cellStyle name="60% - Accent5 5 2 2" xfId="4062" xr:uid="{1D2D47FE-93B7-4877-B0D7-444ABD4C8555}"/>
    <cellStyle name="60% - Accent5 5 3" xfId="2750" xr:uid="{ADAAC808-DBE4-4309-BB21-13D16B7D4792}"/>
    <cellStyle name="60% - Accent5 6" xfId="140" xr:uid="{33380EE6-B09A-4082-83E0-8D72C205D528}"/>
    <cellStyle name="60% - Accent5 6 2" xfId="1462" xr:uid="{12C42A55-D243-41B2-B38B-5946ED06ABEC}"/>
    <cellStyle name="60% - Accent5 6 2 2" xfId="4082" xr:uid="{C803E2D2-A048-4B41-A648-6255F3C10068}"/>
    <cellStyle name="60% - Accent5 6 3" xfId="2770" xr:uid="{34AD4EC6-4047-4485-A97A-E167A2E77F9D}"/>
    <cellStyle name="60% - Accent5 7" xfId="160" xr:uid="{EBFA3EA1-D5F9-4066-BD81-533D99C2CB23}"/>
    <cellStyle name="60% - Accent5 7 2" xfId="1482" xr:uid="{49A2D08E-E23B-4667-97B3-802F70EF77B0}"/>
    <cellStyle name="60% - Accent5 7 2 2" xfId="4102" xr:uid="{93D4F938-0E63-4D2D-8E81-C4A8CAA4D3D1}"/>
    <cellStyle name="60% - Accent5 7 3" xfId="2790" xr:uid="{0E5A710F-F590-48BC-910B-88CB25037A9F}"/>
    <cellStyle name="60% - Accent5 8" xfId="180" xr:uid="{18779062-C7A6-4DD0-AE64-891593C47D28}"/>
    <cellStyle name="60% - Accent5 8 2" xfId="1502" xr:uid="{D2BC06FB-0A14-4F24-A9C9-560FEAAD8D5C}"/>
    <cellStyle name="60% - Accent5 8 2 2" xfId="4122" xr:uid="{4EE0AEA7-63D7-48FA-A300-40AA741EFAE8}"/>
    <cellStyle name="60% - Accent5 8 3" xfId="2810" xr:uid="{7F97AC67-0772-45EB-A572-F847336BE930}"/>
    <cellStyle name="60% - Accent5 9" xfId="200" xr:uid="{AD09C6DA-F246-47B9-AE54-857AA597E612}"/>
    <cellStyle name="60% - Accent5 9 2" xfId="1522" xr:uid="{F53E8E41-9F71-477A-B1FB-8FA9AEE3D60A}"/>
    <cellStyle name="60% - Accent5 9 2 2" xfId="4142" xr:uid="{E0652C95-F2CB-427E-AFA8-3B8FF5F640AC}"/>
    <cellStyle name="60% - Accent5 9 3" xfId="2830" xr:uid="{8501DEBE-1753-4BAE-B796-B31B6D30E603}"/>
    <cellStyle name="60% - Accent6 10" xfId="223" xr:uid="{227A0124-F621-4503-A86C-D0300896E5D4}"/>
    <cellStyle name="60% - Accent6 10 2" xfId="1545" xr:uid="{ADB6F954-880D-4C08-8D39-C901ECED744C}"/>
    <cellStyle name="60% - Accent6 10 2 2" xfId="4165" xr:uid="{57E117E5-5086-4BCC-9E2A-00151342B085}"/>
    <cellStyle name="60% - Accent6 10 3" xfId="2853" xr:uid="{1A9D00D6-3B79-4F09-B4DA-DC2345A2C70A}"/>
    <cellStyle name="60% - Accent6 11" xfId="243" xr:uid="{6ACD6850-BA39-4C02-929F-78199921D94C}"/>
    <cellStyle name="60% - Accent6 11 2" xfId="1565" xr:uid="{F87C78BF-25D0-4CE0-9F4B-D736BAB8C49A}"/>
    <cellStyle name="60% - Accent6 11 2 2" xfId="4185" xr:uid="{BD776502-B92A-4EBA-96FA-46A97DAD6702}"/>
    <cellStyle name="60% - Accent6 11 3" xfId="2873" xr:uid="{982B5C86-A211-41F6-A299-F0FD700F5821}"/>
    <cellStyle name="60% - Accent6 12" xfId="263" xr:uid="{95DDEF82-B6C9-4169-96EB-9132E1C1ACB9}"/>
    <cellStyle name="60% - Accent6 12 2" xfId="1585" xr:uid="{94CB91F9-D957-4783-AE59-6BAD19901BAC}"/>
    <cellStyle name="60% - Accent6 12 2 2" xfId="4205" xr:uid="{D95D0056-5C84-4ADB-A0EF-A7132BF1F2DA}"/>
    <cellStyle name="60% - Accent6 12 3" xfId="2893" xr:uid="{0BD68A4F-359F-4B19-BFAA-CE0A40B473A7}"/>
    <cellStyle name="60% - Accent6 13" xfId="283" xr:uid="{2F209BF0-8D26-4BC8-BEF2-1AB57113CCF8}"/>
    <cellStyle name="60% - Accent6 13 2" xfId="1605" xr:uid="{D0F6B91B-6550-49F2-B389-88AC1271C993}"/>
    <cellStyle name="60% - Accent6 13 2 2" xfId="4225" xr:uid="{7BC26E19-1C78-425B-80A1-0B5C93BAE7AC}"/>
    <cellStyle name="60% - Accent6 13 3" xfId="2913" xr:uid="{55CA935D-95FA-47AC-A0B4-BE9B4AB58BC1}"/>
    <cellStyle name="60% - Accent6 14" xfId="303" xr:uid="{F50D9937-9E4D-4F11-8653-0FB7BE0E8DA6}"/>
    <cellStyle name="60% - Accent6 14 2" xfId="1625" xr:uid="{C49D1564-D10E-4C28-9D9B-ED3494290127}"/>
    <cellStyle name="60% - Accent6 14 2 2" xfId="4245" xr:uid="{E0CDD853-F068-4164-A6F1-020EADCB37AA}"/>
    <cellStyle name="60% - Accent6 14 3" xfId="2933" xr:uid="{FB94C004-DC0E-4139-8A61-A77BFBB34A3A}"/>
    <cellStyle name="60% - Accent6 15" xfId="323" xr:uid="{D2BEA51E-C01C-4F23-9AD2-E6591F7D8656}"/>
    <cellStyle name="60% - Accent6 15 2" xfId="1645" xr:uid="{AA188D12-2852-4A75-A58A-EADB1D699101}"/>
    <cellStyle name="60% - Accent6 15 2 2" xfId="4265" xr:uid="{4BDBBCC3-843A-467A-9465-310886F7C6DC}"/>
    <cellStyle name="60% - Accent6 15 3" xfId="2953" xr:uid="{28C987C7-DD17-433D-9B39-0B4C3648503E}"/>
    <cellStyle name="60% - Accent6 16" xfId="343" xr:uid="{82A0C896-4DF1-4A03-84B4-E22387A331A5}"/>
    <cellStyle name="60% - Accent6 16 2" xfId="1665" xr:uid="{46C3765B-A77B-4209-BBAA-DCFE0FD2344C}"/>
    <cellStyle name="60% - Accent6 16 2 2" xfId="4285" xr:uid="{F383CC52-E0D8-417A-B521-CC72313124D1}"/>
    <cellStyle name="60% - Accent6 16 3" xfId="2973" xr:uid="{57B1523B-CB68-4B66-8CF0-B2EA98E71DDD}"/>
    <cellStyle name="60% - Accent6 17" xfId="363" xr:uid="{E51E5B35-BB24-4548-B438-1838BCD3471B}"/>
    <cellStyle name="60% - Accent6 17 2" xfId="1685" xr:uid="{EF67FDF7-7945-43E5-8D61-DD8441D5B708}"/>
    <cellStyle name="60% - Accent6 17 2 2" xfId="4305" xr:uid="{C7428696-C263-48D8-9E2A-C5B8CE72AB72}"/>
    <cellStyle name="60% - Accent6 17 3" xfId="2993" xr:uid="{75CEAA9D-E850-4177-B87C-639BB2F6F7F1}"/>
    <cellStyle name="60% - Accent6 18" xfId="383" xr:uid="{46F63768-C9B3-4CA2-A80C-2FC54AC55208}"/>
    <cellStyle name="60% - Accent6 18 2" xfId="1705" xr:uid="{C6FC7B67-605A-4ADA-BA6C-F89781B7A09F}"/>
    <cellStyle name="60% - Accent6 18 2 2" xfId="4325" xr:uid="{7354548E-13FD-4FF1-9CBB-52D3F83AE811}"/>
    <cellStyle name="60% - Accent6 18 3" xfId="3013" xr:uid="{E278F23B-DA32-4074-8143-2FE588E014A0}"/>
    <cellStyle name="60% - Accent6 19" xfId="403" xr:uid="{2858FF38-89C9-4187-B36A-DA9675DA9649}"/>
    <cellStyle name="60% - Accent6 19 2" xfId="1725" xr:uid="{F5B22AD4-9A6A-4EB4-8A83-285D0A695896}"/>
    <cellStyle name="60% - Accent6 19 2 2" xfId="4345" xr:uid="{FA32953E-91DE-43D7-A466-944A163D84D5}"/>
    <cellStyle name="60% - Accent6 19 3" xfId="3033" xr:uid="{EDDD1B9A-4251-48CF-B26B-C30F46ED2CE8}"/>
    <cellStyle name="60% - Accent6 2" xfId="62" xr:uid="{3F249405-A37C-4AA2-98AE-AA3A96E212BA}"/>
    <cellStyle name="60% - Accent6 2 2" xfId="1384" xr:uid="{094E396B-62D1-41B6-B584-4A8480AD2BFD}"/>
    <cellStyle name="60% - Accent6 2 2 2" xfId="4005" xr:uid="{4A650B4E-EE52-44C2-84EB-A9FC13DC91D9}"/>
    <cellStyle name="60% - Accent6 2 3" xfId="2693" xr:uid="{5CDB8271-F1D9-49B7-9EE0-19887CA3B452}"/>
    <cellStyle name="60% - Accent6 20" xfId="423" xr:uid="{34B7D751-3C42-41F6-85FE-C575AA62BD8F}"/>
    <cellStyle name="60% - Accent6 20 2" xfId="1745" xr:uid="{C381515F-92D7-42F5-ACE9-CE5727310C01}"/>
    <cellStyle name="60% - Accent6 20 2 2" xfId="4365" xr:uid="{122AEC80-2026-4ACA-96B1-A905E15FDA18}"/>
    <cellStyle name="60% - Accent6 20 3" xfId="3053" xr:uid="{1F1333F8-118A-4875-825A-C8C5E208012A}"/>
    <cellStyle name="60% - Accent6 21" xfId="443" xr:uid="{6C8B138F-C062-4F8A-BD4D-714C530FE85E}"/>
    <cellStyle name="60% - Accent6 21 2" xfId="1765" xr:uid="{CC504E47-E2E6-4C70-9761-7EC65923DD30}"/>
    <cellStyle name="60% - Accent6 21 2 2" xfId="4385" xr:uid="{3F33BE21-1CCE-4DAB-8C6D-028B205B6646}"/>
    <cellStyle name="60% - Accent6 21 3" xfId="3073" xr:uid="{06AF16BB-6B6A-45DE-9A25-4B313008B77B}"/>
    <cellStyle name="60% - Accent6 22" xfId="463" xr:uid="{0240C769-FEC5-49CE-A0FB-52AE8A4FEF31}"/>
    <cellStyle name="60% - Accent6 22 2" xfId="1785" xr:uid="{11AB42CF-D1A3-40BA-B44A-054BC3FBCE67}"/>
    <cellStyle name="60% - Accent6 22 2 2" xfId="4405" xr:uid="{F043CD36-67FF-40E0-A19F-AB8A84A541B2}"/>
    <cellStyle name="60% - Accent6 22 3" xfId="3093" xr:uid="{A106DFC3-8CBC-47B9-B193-FFB685063446}"/>
    <cellStyle name="60% - Accent6 23" xfId="483" xr:uid="{026BA990-AEC1-4410-85D2-A75B89EDBC9E}"/>
    <cellStyle name="60% - Accent6 23 2" xfId="1805" xr:uid="{CDBCFD8F-F7D5-4B8F-8A1B-8ACF0C6098C9}"/>
    <cellStyle name="60% - Accent6 23 2 2" xfId="4425" xr:uid="{C1F4167E-9C90-479E-8AE6-E5D472995025}"/>
    <cellStyle name="60% - Accent6 23 3" xfId="3113" xr:uid="{A4A69ED8-9B4B-4087-815E-575F76276494}"/>
    <cellStyle name="60% - Accent6 24" xfId="503" xr:uid="{4161ACF0-C43D-4F44-89D1-6ED09DD0F684}"/>
    <cellStyle name="60% - Accent6 24 2" xfId="1825" xr:uid="{5BC3A19D-36E4-4881-9FF9-1E1A109EC289}"/>
    <cellStyle name="60% - Accent6 24 2 2" xfId="4445" xr:uid="{7A4A83FA-532D-4ABD-A05E-67525F262F4D}"/>
    <cellStyle name="60% - Accent6 24 3" xfId="3133" xr:uid="{32D54683-4016-4013-831E-ECFCEF148237}"/>
    <cellStyle name="60% - Accent6 25" xfId="523" xr:uid="{F163F137-60B6-4F07-A2F5-E811E778C98A}"/>
    <cellStyle name="60% - Accent6 25 2" xfId="1845" xr:uid="{5549CB4D-056B-435B-84CB-A41F4D7F965F}"/>
    <cellStyle name="60% - Accent6 25 2 2" xfId="4465" xr:uid="{95BF09D5-CE1C-4918-BA08-539BEFADEA95}"/>
    <cellStyle name="60% - Accent6 25 3" xfId="3153" xr:uid="{A677D554-D9D7-4936-85A4-B2711368E43C}"/>
    <cellStyle name="60% - Accent6 26" xfId="543" xr:uid="{52CF8BE8-2B47-4E92-ADCC-57733DAF0B7D}"/>
    <cellStyle name="60% - Accent6 26 2" xfId="1865" xr:uid="{C71DC838-E64F-4EED-A2E1-5105A91E3DB3}"/>
    <cellStyle name="60% - Accent6 26 2 2" xfId="4485" xr:uid="{BB3CC16E-8293-47FC-A73F-CF4DD4843C28}"/>
    <cellStyle name="60% - Accent6 26 3" xfId="3173" xr:uid="{C7466A80-56E4-4FD3-A2DD-0AB50EBCA2B4}"/>
    <cellStyle name="60% - Accent6 27" xfId="563" xr:uid="{B461BCAE-EA43-4136-855B-6DDBE1802588}"/>
    <cellStyle name="60% - Accent6 27 2" xfId="1885" xr:uid="{422D21BF-A2B9-45D7-A572-CF6C083AF7BC}"/>
    <cellStyle name="60% - Accent6 27 2 2" xfId="4505" xr:uid="{BE57C85C-95D0-49C7-B078-691B0ADE00F4}"/>
    <cellStyle name="60% - Accent6 27 3" xfId="3193" xr:uid="{F752D316-FB91-4E89-99D5-59F57478C462}"/>
    <cellStyle name="60% - Accent6 28" xfId="1063" xr:uid="{51070447-F151-4A64-9010-1255A32C3B72}"/>
    <cellStyle name="60% - Accent6 28 2" xfId="2385" xr:uid="{B779D164-ED70-48F9-98B3-A51BA6734E03}"/>
    <cellStyle name="60% - Accent6 28 2 2" xfId="5005" xr:uid="{CFE49E64-D02F-44DB-9333-F74D54C49120}"/>
    <cellStyle name="60% - Accent6 28 3" xfId="3693" xr:uid="{E9A9E0B9-133E-4CE3-B749-308FFF8A2260}"/>
    <cellStyle name="60% - Accent6 29" xfId="1083" xr:uid="{A3E7EEB7-A512-4AB0-88DB-857931402ADB}"/>
    <cellStyle name="60% - Accent6 29 2" xfId="2405" xr:uid="{F3CE29A2-C814-4642-84CA-D65271305747}"/>
    <cellStyle name="60% - Accent6 29 2 2" xfId="5025" xr:uid="{97F4A64B-8381-466C-A2C5-229D68BD2436}"/>
    <cellStyle name="60% - Accent6 29 3" xfId="3713" xr:uid="{189C04BE-3F3D-4FFC-9AC1-AA889578A02B}"/>
    <cellStyle name="60% - Accent6 3" xfId="82" xr:uid="{61D40D7D-754D-4797-BB02-9D4F992F69EA}"/>
    <cellStyle name="60% - Accent6 3 2" xfId="1404" xr:uid="{7E98B66D-43C7-4034-8EDD-DFDC5FCBBD3F}"/>
    <cellStyle name="60% - Accent6 3 2 2" xfId="4025" xr:uid="{8823F4C4-3478-41D7-84D9-37833B906A48}"/>
    <cellStyle name="60% - Accent6 3 3" xfId="2713" xr:uid="{934F7253-D7C9-464D-BCB1-C96756B9253D}"/>
    <cellStyle name="60% - Accent6 30" xfId="1103" xr:uid="{8B9362EB-87BC-439C-AADD-59CE16673601}"/>
    <cellStyle name="60% - Accent6 30 2" xfId="2425" xr:uid="{07047523-D1C9-404D-9E52-C3C86BDC52F9}"/>
    <cellStyle name="60% - Accent6 30 2 2" xfId="5045" xr:uid="{C8B15F30-1403-4540-84E6-21CCA3473CAF}"/>
    <cellStyle name="60% - Accent6 30 3" xfId="3733" xr:uid="{2707076E-A037-4D31-9995-DA5EE6D66530}"/>
    <cellStyle name="60% - Accent6 31" xfId="1123" xr:uid="{52999EF5-0B47-46FD-82B7-803D1DCECBDE}"/>
    <cellStyle name="60% - Accent6 31 2" xfId="2445" xr:uid="{5B0E8494-1C85-44EA-A9A2-48A775C83FD2}"/>
    <cellStyle name="60% - Accent6 31 2 2" xfId="5065" xr:uid="{C8F03811-947B-4D95-A32B-BCD49E67528D}"/>
    <cellStyle name="60% - Accent6 31 3" xfId="3753" xr:uid="{1A88E37F-8A81-4910-8329-47E2DC521548}"/>
    <cellStyle name="60% - Accent6 4" xfId="103" xr:uid="{DC8D546C-3ECA-402C-893D-8E4BC4583EA0}"/>
    <cellStyle name="60% - Accent6 4 2" xfId="1425" xr:uid="{9CE69B1C-2EB4-446D-8B15-F879BB1E3A0B}"/>
    <cellStyle name="60% - Accent6 4 2 2" xfId="4045" xr:uid="{53C26DEB-F57F-48D7-845F-230061C6640C}"/>
    <cellStyle name="60% - Accent6 4 3" xfId="2733" xr:uid="{259E5FAE-A37B-4B4A-9CBF-C4CEC8777106}"/>
    <cellStyle name="60% - Accent6 5" xfId="123" xr:uid="{CAB53BC6-7AF8-41BE-91C1-B6FFE32BBCE3}"/>
    <cellStyle name="60% - Accent6 5 2" xfId="1445" xr:uid="{097EAC82-2FEA-4A03-BA42-8E34C83D22D1}"/>
    <cellStyle name="60% - Accent6 5 2 2" xfId="4065" xr:uid="{62E27156-C06B-4249-9ECE-2800CEFD1357}"/>
    <cellStyle name="60% - Accent6 5 3" xfId="2753" xr:uid="{C1F7DB8E-DA36-42CA-9D28-C25897DD688C}"/>
    <cellStyle name="60% - Accent6 6" xfId="143" xr:uid="{DE3EB3B7-FBEB-45D2-A89F-4ADBAB7366FA}"/>
    <cellStyle name="60% - Accent6 6 2" xfId="1465" xr:uid="{347330E9-99B9-404E-887C-891EDC1E563E}"/>
    <cellStyle name="60% - Accent6 6 2 2" xfId="4085" xr:uid="{3B0BBADC-4CC3-454F-A645-F0E022EF937E}"/>
    <cellStyle name="60% - Accent6 6 3" xfId="2773" xr:uid="{B6C8AB09-91C3-4615-9DBF-680730F5633B}"/>
    <cellStyle name="60% - Accent6 7" xfId="163" xr:uid="{104FE3DC-5A22-4B44-8619-6C68352BD27B}"/>
    <cellStyle name="60% - Accent6 7 2" xfId="1485" xr:uid="{1C83914E-DBAF-4282-9858-2B7EB30173A6}"/>
    <cellStyle name="60% - Accent6 7 2 2" xfId="4105" xr:uid="{A45CB150-487D-40B7-9CE7-B48C7148EFDF}"/>
    <cellStyle name="60% - Accent6 7 3" xfId="2793" xr:uid="{2E9E90EF-1D49-46B1-9E8E-E38FAEA6B318}"/>
    <cellStyle name="60% - Accent6 8" xfId="183" xr:uid="{7D86DC4A-AE00-40CF-B03E-62F4F5C060B5}"/>
    <cellStyle name="60% - Accent6 8 2" xfId="1505" xr:uid="{28325ECF-4191-4C85-A72E-3E285854B02A}"/>
    <cellStyle name="60% - Accent6 8 2 2" xfId="4125" xr:uid="{151E0D96-5B96-495B-ACD3-8A2204E456FC}"/>
    <cellStyle name="60% - Accent6 8 3" xfId="2813" xr:uid="{16E59D3C-3307-4FE8-A997-EFC4884719F0}"/>
    <cellStyle name="60% - Accent6 9" xfId="203" xr:uid="{103A87BA-6A5A-4727-8AFD-5DC8C7AD6A1E}"/>
    <cellStyle name="60% - Accent6 9 2" xfId="1525" xr:uid="{05FD50D3-250F-4E3E-803B-5C9659AF61F3}"/>
    <cellStyle name="60% - Accent6 9 2 2" xfId="4145" xr:uid="{C3B6B6D7-F841-43FE-B917-ED6ABCFB154E}"/>
    <cellStyle name="60% - Accent6 9 3" xfId="2833" xr:uid="{674012C2-A8CA-4F7F-BBA3-B7CF420643C2}"/>
    <cellStyle name="60% - Énfasis1" xfId="20" builtinId="32" customBuiltin="1"/>
    <cellStyle name="60% - Énfasis1 10" xfId="728" xr:uid="{62CFA512-DE61-4392-940F-3B9444EBE59C}"/>
    <cellStyle name="60% - Énfasis1 10 2" xfId="2050" xr:uid="{5BDA76A1-A806-49FE-8B69-14802C6A3940}"/>
    <cellStyle name="60% - Énfasis1 10 2 2" xfId="4670" xr:uid="{ACA4DDCB-CEB9-434F-AC0D-F4B4C8050465}"/>
    <cellStyle name="60% - Énfasis1 10 3" xfId="3358" xr:uid="{8CCABAF6-4EA5-4E5D-B88E-13D47250DB2A}"/>
    <cellStyle name="60% - Énfasis1 11" xfId="748" xr:uid="{A02F16DD-4553-46A0-A8C3-1D1322CD72BC}"/>
    <cellStyle name="60% - Énfasis1 11 2" xfId="2070" xr:uid="{5DC404D6-96AF-4C85-B360-6C84D1CDFD0E}"/>
    <cellStyle name="60% - Énfasis1 11 2 2" xfId="4690" xr:uid="{29A7C43A-5578-4BDD-88DD-95E8CCACCECE}"/>
    <cellStyle name="60% - Énfasis1 11 3" xfId="3378" xr:uid="{ACF7D46E-0BD5-4FB7-B258-580EDD314CC8}"/>
    <cellStyle name="60% - Énfasis1 12" xfId="768" xr:uid="{668C2A8F-EA30-48F4-87BE-CE07B9B54C23}"/>
    <cellStyle name="60% - Énfasis1 12 2" xfId="2090" xr:uid="{00F7CB1E-330C-43C4-AF19-8F44168BF3D5}"/>
    <cellStyle name="60% - Énfasis1 12 2 2" xfId="4710" xr:uid="{C481E520-84CC-41A7-8AC4-1678DA172A4F}"/>
    <cellStyle name="60% - Énfasis1 12 3" xfId="3398" xr:uid="{B0660BF4-61C0-4BD1-8D75-1DD2F16CC6EC}"/>
    <cellStyle name="60% - Énfasis1 13" xfId="788" xr:uid="{3FBB4E32-73AE-486B-8C1D-3C6CFF90A8BC}"/>
    <cellStyle name="60% - Énfasis1 13 2" xfId="2110" xr:uid="{E2EFC0FA-0C96-4BBB-AC88-F04CD2FF8B0C}"/>
    <cellStyle name="60% - Énfasis1 13 2 2" xfId="4730" xr:uid="{6F63E29B-E40F-47DE-B861-6B06D5284FD7}"/>
    <cellStyle name="60% - Énfasis1 13 3" xfId="3418" xr:uid="{D7B08EC2-F6F4-4C93-8E1C-5D399D1BDC1F}"/>
    <cellStyle name="60% - Énfasis1 14" xfId="808" xr:uid="{687D3329-1251-4B4B-A566-2A46A30A5AB5}"/>
    <cellStyle name="60% - Énfasis1 14 2" xfId="2130" xr:uid="{C9467D36-79AD-45BB-A471-DD2E1031D5F9}"/>
    <cellStyle name="60% - Énfasis1 14 2 2" xfId="4750" xr:uid="{140C6181-4BD9-4E92-92BA-45B1011DA9E3}"/>
    <cellStyle name="60% - Énfasis1 14 3" xfId="3438" xr:uid="{DE33BB1D-8DB2-40E9-BCDF-3DDD6CC20231}"/>
    <cellStyle name="60% - Énfasis1 15" xfId="828" xr:uid="{F0C30A49-4649-4F55-9204-AA46CC4945B0}"/>
    <cellStyle name="60% - Énfasis1 15 2" xfId="2150" xr:uid="{E9648906-3622-4CED-9DD4-B601591F035A}"/>
    <cellStyle name="60% - Énfasis1 15 2 2" xfId="4770" xr:uid="{ED378838-723C-48FA-82C2-227F52578B64}"/>
    <cellStyle name="60% - Énfasis1 15 3" xfId="3458" xr:uid="{F43C4648-9923-4B4A-85A7-C015D5D7387F}"/>
    <cellStyle name="60% - Énfasis1 16" xfId="848" xr:uid="{B2311A84-5264-43DF-9871-0F3DC8F8D022}"/>
    <cellStyle name="60% - Énfasis1 16 2" xfId="2170" xr:uid="{702EB911-DA3D-4E17-A5B4-FB0596E9583F}"/>
    <cellStyle name="60% - Énfasis1 16 2 2" xfId="4790" xr:uid="{A7E9F6B7-97A7-4D9A-8B41-29CD08593082}"/>
    <cellStyle name="60% - Énfasis1 16 3" xfId="3478" xr:uid="{2D0D36AF-652A-48B5-A919-E5DA62DB4D10}"/>
    <cellStyle name="60% - Énfasis1 17" xfId="868" xr:uid="{A36F063E-BEA0-4F69-BA38-A09686D8D781}"/>
    <cellStyle name="60% - Énfasis1 17 2" xfId="2190" xr:uid="{8DB257A6-B361-4DF1-A0BC-8333C30C8A75}"/>
    <cellStyle name="60% - Énfasis1 17 2 2" xfId="4810" xr:uid="{71BA8498-C8BF-4853-A612-08322997AD1C}"/>
    <cellStyle name="60% - Énfasis1 17 3" xfId="3498" xr:uid="{D643B999-CB56-4F42-A8BC-0726C7627093}"/>
    <cellStyle name="60% - Énfasis1 18" xfId="888" xr:uid="{09D4BE4B-C07C-4EBD-A1CA-61F610677BAB}"/>
    <cellStyle name="60% - Énfasis1 18 2" xfId="2210" xr:uid="{2E92769D-898C-4E05-8CCF-6FB43E4C0F58}"/>
    <cellStyle name="60% - Énfasis1 18 2 2" xfId="4830" xr:uid="{E4417452-D69D-4A92-B5EB-AE34B5D7276B}"/>
    <cellStyle name="60% - Énfasis1 18 3" xfId="3518" xr:uid="{D9446B9C-CC20-4172-8467-AF4485593B99}"/>
    <cellStyle name="60% - Énfasis1 19" xfId="908" xr:uid="{AD90C65C-6137-4648-9824-BD2288C19703}"/>
    <cellStyle name="60% - Énfasis1 19 2" xfId="2230" xr:uid="{7150EDD5-DD93-458A-9877-4C81E38B9D24}"/>
    <cellStyle name="60% - Énfasis1 19 2 2" xfId="4850" xr:uid="{7727DEB6-04A9-4AAD-9C53-732BF4269AA6}"/>
    <cellStyle name="60% - Énfasis1 19 3" xfId="3538" xr:uid="{6946BA54-828D-4B80-B75A-47D313E008CC}"/>
    <cellStyle name="60% - Énfasis1 2" xfId="568" xr:uid="{13DF2AF2-0617-4771-8A24-85F00CEAE52E}"/>
    <cellStyle name="60% - Énfasis1 2 2" xfId="1890" xr:uid="{2898C16E-64D5-44F6-8884-2FE5244C0DFF}"/>
    <cellStyle name="60% - Énfasis1 2 2 2" xfId="4510" xr:uid="{1B5AB6DB-6767-4159-85F8-B555F8C52904}"/>
    <cellStyle name="60% - Énfasis1 2 3" xfId="3198" xr:uid="{C2B777F6-A63F-4570-8243-DA4E1252481B}"/>
    <cellStyle name="60% - Énfasis1 20" xfId="928" xr:uid="{E3BB9649-729E-4F65-B324-D285A611C1AE}"/>
    <cellStyle name="60% - Énfasis1 20 2" xfId="2250" xr:uid="{423CEF39-18AC-4BFF-B782-6AAA83CC462C}"/>
    <cellStyle name="60% - Énfasis1 20 2 2" xfId="4870" xr:uid="{4017F7DF-DA64-48EB-83B5-931BEF284933}"/>
    <cellStyle name="60% - Énfasis1 20 3" xfId="3558" xr:uid="{4E11C84B-E727-4B17-A8A8-26CBF6333754}"/>
    <cellStyle name="60% - Énfasis1 21" xfId="948" xr:uid="{BFFDE1A4-2F9B-40DE-AE6F-3540710FD2A8}"/>
    <cellStyle name="60% - Énfasis1 21 2" xfId="2270" xr:uid="{68B00214-280C-4C4B-8F60-E4BFD65B5D31}"/>
    <cellStyle name="60% - Énfasis1 21 2 2" xfId="4890" xr:uid="{F9CFB65E-DEAC-48D4-BFC3-D015ECDE9C0B}"/>
    <cellStyle name="60% - Énfasis1 21 3" xfId="3578" xr:uid="{1F339C6D-D205-4FDA-94E9-D9222D42C329}"/>
    <cellStyle name="60% - Énfasis1 22" xfId="968" xr:uid="{776B85E5-5E72-46E1-82A3-D03CDAF41D87}"/>
    <cellStyle name="60% - Énfasis1 22 2" xfId="2290" xr:uid="{9D56ECE4-FF0D-4552-ACAE-88E0E9478F39}"/>
    <cellStyle name="60% - Énfasis1 22 2 2" xfId="4910" xr:uid="{368F09B7-16AE-4D46-B5E1-6467270D9C5D}"/>
    <cellStyle name="60% - Énfasis1 22 3" xfId="3598" xr:uid="{7118772B-D924-4F1A-8577-BE3A84529EA7}"/>
    <cellStyle name="60% - Énfasis1 23" xfId="988" xr:uid="{392A9462-5537-4E8E-9607-C9216DB83D0C}"/>
    <cellStyle name="60% - Énfasis1 23 2" xfId="2310" xr:uid="{79F4711A-8DEF-4880-A39B-8CBD71A477C1}"/>
    <cellStyle name="60% - Énfasis1 23 2 2" xfId="4930" xr:uid="{26E0DEEC-918D-4F8F-845F-E1D68401EAA1}"/>
    <cellStyle name="60% - Énfasis1 23 3" xfId="3618" xr:uid="{6EB281CC-8947-45AB-8450-B645E8CEFDAE}"/>
    <cellStyle name="60% - Énfasis1 24" xfId="1008" xr:uid="{7CB2CC18-FF2E-49CB-BE6D-152C01CBA7C3}"/>
    <cellStyle name="60% - Énfasis1 24 2" xfId="2330" xr:uid="{37BF4D9C-0ABD-4E8B-85B3-BFE43D3CE852}"/>
    <cellStyle name="60% - Énfasis1 24 2 2" xfId="4950" xr:uid="{790FF8AA-108C-4FDB-B550-3AF97B212680}"/>
    <cellStyle name="60% - Énfasis1 24 3" xfId="3638" xr:uid="{BCC5A97B-BA85-40AD-9DF8-66378D011F4B}"/>
    <cellStyle name="60% - Énfasis1 25" xfId="1028" xr:uid="{D720B660-7639-4768-9254-639C716922C6}"/>
    <cellStyle name="60% - Énfasis1 25 2" xfId="2350" xr:uid="{D0C7DDA4-453E-4106-A89E-F1D9730F4961}"/>
    <cellStyle name="60% - Énfasis1 25 2 2" xfId="4970" xr:uid="{686278FC-241E-4F51-91F0-5FAD3F41E2C5}"/>
    <cellStyle name="60% - Énfasis1 25 3" xfId="3658" xr:uid="{00801FCC-E0CF-4155-9555-92019A39911E}"/>
    <cellStyle name="60% - Énfasis1 26" xfId="1128" xr:uid="{65233B6D-E698-4604-8D02-3807A6E5CF6C}"/>
    <cellStyle name="60% - Énfasis1 26 2" xfId="2450" xr:uid="{3913DB5D-0963-4064-93C3-36B156F9439A}"/>
    <cellStyle name="60% - Énfasis1 26 2 2" xfId="5070" xr:uid="{314D8C8B-0038-4052-9A6F-1615DD1351E1}"/>
    <cellStyle name="60% - Énfasis1 26 3" xfId="3758" xr:uid="{52B87684-CDBF-458C-A0EB-BB062726A277}"/>
    <cellStyle name="60% - Énfasis1 27" xfId="1148" xr:uid="{92929D13-D4D3-4972-9503-6E5BEFFB9178}"/>
    <cellStyle name="60% - Énfasis1 27 2" xfId="2470" xr:uid="{9C7F3104-ED05-4A17-88CD-4FEA6D900EAE}"/>
    <cellStyle name="60% - Énfasis1 27 2 2" xfId="5090" xr:uid="{63C82797-7308-4F67-9C13-7E8D50184069}"/>
    <cellStyle name="60% - Énfasis1 27 3" xfId="3778" xr:uid="{938D6D1E-C9AC-4377-B00A-C57F85B0620E}"/>
    <cellStyle name="60% - Énfasis1 28" xfId="1168" xr:uid="{4AEFBC1A-9815-4446-8AC6-4C9B752E190C}"/>
    <cellStyle name="60% - Énfasis1 28 2" xfId="2490" xr:uid="{9613D929-B619-4DF1-99E2-85900002394C}"/>
    <cellStyle name="60% - Énfasis1 28 2 2" xfId="5110" xr:uid="{076AC2FC-D9C5-4DE5-86B6-A1E089E98229}"/>
    <cellStyle name="60% - Énfasis1 28 3" xfId="3798" xr:uid="{905FD3DB-6873-4493-8509-571B29AA551C}"/>
    <cellStyle name="60% - Énfasis1 29" xfId="1188" xr:uid="{66C32B34-E7AE-4970-91C0-11B0F1EA5102}"/>
    <cellStyle name="60% - Énfasis1 29 2" xfId="2510" xr:uid="{5E3D57F0-F43A-45AF-985F-68C76B40911B}"/>
    <cellStyle name="60% - Énfasis1 29 2 2" xfId="5130" xr:uid="{9F2E4E26-EC03-41D6-B840-FE8397C8554A}"/>
    <cellStyle name="60% - Énfasis1 29 3" xfId="3818" xr:uid="{E59E9F58-69E1-4574-8B29-CFBF3F4016F1}"/>
    <cellStyle name="60% - Énfasis1 3" xfId="588" xr:uid="{ED1B52FD-6018-4D01-A03A-42E6EDCBF240}"/>
    <cellStyle name="60% - Énfasis1 3 2" xfId="1910" xr:uid="{E3B4058D-F298-491B-A5B0-90D929A20C99}"/>
    <cellStyle name="60% - Énfasis1 3 2 2" xfId="4530" xr:uid="{54F73EA7-3273-4439-B492-ED5E10AA0F15}"/>
    <cellStyle name="60% - Énfasis1 3 3" xfId="3218" xr:uid="{2ACA06DB-D81F-464A-BA25-D14B981F49C0}"/>
    <cellStyle name="60% - Énfasis1 30" xfId="1208" xr:uid="{1BC49C4D-1962-4EEF-8807-603808574789}"/>
    <cellStyle name="60% - Énfasis1 30 2" xfId="2530" xr:uid="{8060C303-1D28-4E7D-AE9D-7F5E19472383}"/>
    <cellStyle name="60% - Énfasis1 30 2 2" xfId="5150" xr:uid="{86DF02CE-B302-4DA5-A184-ACF69F148B89}"/>
    <cellStyle name="60% - Énfasis1 30 3" xfId="3838" xr:uid="{C264B1AA-5A3D-47BC-BB4C-7AEE473BED34}"/>
    <cellStyle name="60% - Énfasis1 31" xfId="1228" xr:uid="{F123D147-D054-40C0-B674-CB5C0AA4A7AA}"/>
    <cellStyle name="60% - Énfasis1 31 2" xfId="2550" xr:uid="{EB50E233-61AB-420A-BE8D-1BF70D10E87D}"/>
    <cellStyle name="60% - Énfasis1 31 2 2" xfId="5170" xr:uid="{6713D8B9-8370-4C9F-B38F-B97B4F361DA7}"/>
    <cellStyle name="60% - Énfasis1 31 3" xfId="3858" xr:uid="{A83A4E83-D502-49C5-A7F1-1EE7FFCB7913}"/>
    <cellStyle name="60% - Énfasis1 32" xfId="1248" xr:uid="{039FBB3B-3FB0-4EC6-BF34-000AC9535574}"/>
    <cellStyle name="60% - Énfasis1 32 2" xfId="2570" xr:uid="{46B8431E-9593-47A7-BD6B-3A70E70C0885}"/>
    <cellStyle name="60% - Énfasis1 32 2 2" xfId="5190" xr:uid="{7175E0E9-5893-43C2-BD5F-77A32BA3599C}"/>
    <cellStyle name="60% - Énfasis1 32 3" xfId="3878" xr:uid="{AE5BE795-7C84-4883-A877-CD311A13EFBF}"/>
    <cellStyle name="60% - Énfasis1 33" xfId="1268" xr:uid="{FDBB0F7D-BDE4-48AF-90AD-7DEF9E088D0D}"/>
    <cellStyle name="60% - Énfasis1 33 2" xfId="2590" xr:uid="{A18F1EBA-2DEA-4811-983F-E808620CB948}"/>
    <cellStyle name="60% - Énfasis1 33 2 2" xfId="5210" xr:uid="{9C0ADBBC-EEDA-4D9E-8B0F-D8D3BC5ED615}"/>
    <cellStyle name="60% - Énfasis1 33 3" xfId="3898" xr:uid="{3CFCC5CD-DC4D-4C91-8E3C-24BE1B78F427}"/>
    <cellStyle name="60% - Énfasis1 34" xfId="1288" xr:uid="{709B7748-A452-4917-ACE0-8D5B08525BAF}"/>
    <cellStyle name="60% - Énfasis1 34 2" xfId="2610" xr:uid="{EAF2C0B2-DF05-405C-BCC3-7BBADF2BD901}"/>
    <cellStyle name="60% - Énfasis1 34 2 2" xfId="5230" xr:uid="{B658F500-23BA-4455-9D77-80D27AA0376C}"/>
    <cellStyle name="60% - Énfasis1 34 3" xfId="3918" xr:uid="{25AC8373-90DB-4889-8EC4-888E5F406C8B}"/>
    <cellStyle name="60% - Énfasis1 35" xfId="1308" xr:uid="{7DC888F5-4B6F-4AFB-9D26-E09DBD3F3C68}"/>
    <cellStyle name="60% - Énfasis1 35 2" xfId="2630" xr:uid="{E35F425B-454A-4449-9748-1D40F820F7DD}"/>
    <cellStyle name="60% - Énfasis1 35 2 2" xfId="5250" xr:uid="{3AE201FE-2DC1-49FB-8D2E-DD4FD9A316EE}"/>
    <cellStyle name="60% - Énfasis1 35 3" xfId="3938" xr:uid="{79A6942A-0B1F-4FF4-80C3-9B1F5183569F}"/>
    <cellStyle name="60% - Énfasis1 36" xfId="1346" xr:uid="{6F51442D-F6A5-457D-A52A-5F213EA57150}"/>
    <cellStyle name="60% - Énfasis1 36 2" xfId="3968" xr:uid="{5B5EA90A-518C-4942-BEEE-F7914DD8BDD3}"/>
    <cellStyle name="60% - Énfasis1 37" xfId="2656" xr:uid="{50FAFAA2-4ECD-41B3-9CC8-2CED416D1A87}"/>
    <cellStyle name="60% - Énfasis1 4" xfId="608" xr:uid="{9D88F001-85D4-4AC7-A227-33F8C9F897F4}"/>
    <cellStyle name="60% - Énfasis1 4 2" xfId="1930" xr:uid="{145D465C-0677-4548-924E-4ECFCF0660A6}"/>
    <cellStyle name="60% - Énfasis1 4 2 2" xfId="4550" xr:uid="{D13B7DE6-74B4-4101-8CDD-5EA26985516D}"/>
    <cellStyle name="60% - Énfasis1 4 3" xfId="3238" xr:uid="{FAF0EA4F-1F23-40F8-97E1-9FF294F0085F}"/>
    <cellStyle name="60% - Énfasis1 5" xfId="628" xr:uid="{47D06D24-4EDA-4F38-8DE7-31D635B21C38}"/>
    <cellStyle name="60% - Énfasis1 5 2" xfId="1950" xr:uid="{8B3C14B5-156A-4183-AEA8-2A4FA919A396}"/>
    <cellStyle name="60% - Énfasis1 5 2 2" xfId="4570" xr:uid="{84A5FF79-EA75-40AB-8B96-7F4DCF748BD9}"/>
    <cellStyle name="60% - Énfasis1 5 3" xfId="3258" xr:uid="{170670DD-7690-4AC5-944E-6104574442B8}"/>
    <cellStyle name="60% - Énfasis1 6" xfId="648" xr:uid="{C5D41B6D-DF0D-46E6-8A5F-03C6A9D7AF58}"/>
    <cellStyle name="60% - Énfasis1 6 2" xfId="1970" xr:uid="{0F6A7AC7-C5A2-454C-94F4-F602D744395E}"/>
    <cellStyle name="60% - Énfasis1 6 2 2" xfId="4590" xr:uid="{5B5A1435-8EF9-4623-A5D6-6F472C2DACD6}"/>
    <cellStyle name="60% - Énfasis1 6 3" xfId="3278" xr:uid="{6ADD0579-CD7A-4CB4-A186-FE8AB944445A}"/>
    <cellStyle name="60% - Énfasis1 7" xfId="668" xr:uid="{D0636AB9-64A0-41AB-87EA-7B365FBED7F0}"/>
    <cellStyle name="60% - Énfasis1 7 2" xfId="1990" xr:uid="{5DE5148D-4B7C-4729-9E25-7C002570DC36}"/>
    <cellStyle name="60% - Énfasis1 7 2 2" xfId="4610" xr:uid="{EC855491-12FF-4703-81F4-0283913BB712}"/>
    <cellStyle name="60% - Énfasis1 7 3" xfId="3298" xr:uid="{5441608C-7627-4EAD-810A-459242B5D911}"/>
    <cellStyle name="60% - Énfasis1 8" xfId="688" xr:uid="{3E4D2156-B1BF-4838-8ACB-922C1768803B}"/>
    <cellStyle name="60% - Énfasis1 8 2" xfId="2010" xr:uid="{1C07DF38-ADDB-41CA-B8AB-E40E346A0D48}"/>
    <cellStyle name="60% - Énfasis1 8 2 2" xfId="4630" xr:uid="{C3FE12E6-7AA2-400D-B46A-40A10DC52382}"/>
    <cellStyle name="60% - Énfasis1 8 3" xfId="3318" xr:uid="{7CAC494A-4907-4D6D-9BEB-DE1860C2183E}"/>
    <cellStyle name="60% - Énfasis1 9" xfId="708" xr:uid="{4BB16AD8-EF95-4E04-81ED-DFF6C3AC08A8}"/>
    <cellStyle name="60% - Énfasis1 9 2" xfId="2030" xr:uid="{4D7B5D24-BD15-40AE-AA27-92E8B24B5B59}"/>
    <cellStyle name="60% - Énfasis1 9 2 2" xfId="4650" xr:uid="{DFBB838E-9789-4A0C-A390-BD22C0EA78C6}"/>
    <cellStyle name="60% - Énfasis1 9 3" xfId="3338" xr:uid="{83DFE31F-735C-4DDF-B3D5-692826C971CF}"/>
    <cellStyle name="60% - Énfasis2" xfId="24" builtinId="36" customBuiltin="1"/>
    <cellStyle name="60% - Énfasis2 10" xfId="731" xr:uid="{6EC925C8-F9FB-44B2-8E62-53346E8D2FFB}"/>
    <cellStyle name="60% - Énfasis2 10 2" xfId="2053" xr:uid="{6100A590-0E21-4477-AB83-185BAFE31BDF}"/>
    <cellStyle name="60% - Énfasis2 10 2 2" xfId="4673" xr:uid="{DDCD0676-B33C-4E89-B573-57E023344E9D}"/>
    <cellStyle name="60% - Énfasis2 10 3" xfId="3361" xr:uid="{D2CF5621-0AD1-477F-8BB1-6C774A805A9C}"/>
    <cellStyle name="60% - Énfasis2 11" xfId="751" xr:uid="{B8A44825-E367-4FFF-A2EC-8788AD9C6CF7}"/>
    <cellStyle name="60% - Énfasis2 11 2" xfId="2073" xr:uid="{A151D0DD-88AF-42A6-AFA2-10D4A9E6848F}"/>
    <cellStyle name="60% - Énfasis2 11 2 2" xfId="4693" xr:uid="{6C4543A1-81FA-46E4-B957-F6DE244C622A}"/>
    <cellStyle name="60% - Énfasis2 11 3" xfId="3381" xr:uid="{F8793B58-384D-42EA-BD09-F4AED46B602C}"/>
    <cellStyle name="60% - Énfasis2 12" xfId="771" xr:uid="{D3973664-3FB9-49CD-8A74-82796CBABE23}"/>
    <cellStyle name="60% - Énfasis2 12 2" xfId="2093" xr:uid="{5DFA3B76-0E8B-451A-96CE-4A555CBAB3F5}"/>
    <cellStyle name="60% - Énfasis2 12 2 2" xfId="4713" xr:uid="{C337E368-8279-4FF4-AEBD-1C390FC2027D}"/>
    <cellStyle name="60% - Énfasis2 12 3" xfId="3401" xr:uid="{9D11E4E9-90C9-4356-8D21-485F6ED5BEBF}"/>
    <cellStyle name="60% - Énfasis2 13" xfId="791" xr:uid="{8C84321E-2D9F-4FB4-9177-0AFC566189EC}"/>
    <cellStyle name="60% - Énfasis2 13 2" xfId="2113" xr:uid="{B5F66FD0-346D-4C56-A407-F14B840C7E30}"/>
    <cellStyle name="60% - Énfasis2 13 2 2" xfId="4733" xr:uid="{6D34132C-5877-4219-AF83-5B2C30E5EB71}"/>
    <cellStyle name="60% - Énfasis2 13 3" xfId="3421" xr:uid="{B33C117F-C43D-47F8-A0F7-E0911F2ECE57}"/>
    <cellStyle name="60% - Énfasis2 14" xfId="811" xr:uid="{3F7658CC-0BAB-47F3-A994-5BE87B3970B6}"/>
    <cellStyle name="60% - Énfasis2 14 2" xfId="2133" xr:uid="{C59E3566-5EBE-4131-8919-AE5490E230E9}"/>
    <cellStyle name="60% - Énfasis2 14 2 2" xfId="4753" xr:uid="{874F9375-AE1D-4394-8360-34CD1AA98C59}"/>
    <cellStyle name="60% - Énfasis2 14 3" xfId="3441" xr:uid="{B64C767B-92E0-4804-A681-955081F4A78A}"/>
    <cellStyle name="60% - Énfasis2 15" xfId="831" xr:uid="{2A191CC9-9C4C-4151-B275-D1E2422CD128}"/>
    <cellStyle name="60% - Énfasis2 15 2" xfId="2153" xr:uid="{BB4C9ACC-CBEF-4292-9F2E-AA6AF3434C44}"/>
    <cellStyle name="60% - Énfasis2 15 2 2" xfId="4773" xr:uid="{C3208D2C-4787-424D-941C-180D7FD50267}"/>
    <cellStyle name="60% - Énfasis2 15 3" xfId="3461" xr:uid="{A16889F4-0205-4DBC-B814-F50E6ED1DF0B}"/>
    <cellStyle name="60% - Énfasis2 16" xfId="851" xr:uid="{8BC8D798-CD67-44DB-A38B-DF6968A46DDE}"/>
    <cellStyle name="60% - Énfasis2 16 2" xfId="2173" xr:uid="{50950314-D0E9-4564-ADFB-485E44530337}"/>
    <cellStyle name="60% - Énfasis2 16 2 2" xfId="4793" xr:uid="{C7E7460C-8FBF-4F31-B295-9D48597C22B5}"/>
    <cellStyle name="60% - Énfasis2 16 3" xfId="3481" xr:uid="{6BBDA7A4-FBE1-4DBB-ACD7-4BC2857849A6}"/>
    <cellStyle name="60% - Énfasis2 17" xfId="871" xr:uid="{45A7026C-C3FB-4261-9302-43CBEC1B7D28}"/>
    <cellStyle name="60% - Énfasis2 17 2" xfId="2193" xr:uid="{2A2C0448-7160-4F3D-9CBA-89FDE5A3B452}"/>
    <cellStyle name="60% - Énfasis2 17 2 2" xfId="4813" xr:uid="{4DC6F513-EB10-49D1-86DB-98CF32207803}"/>
    <cellStyle name="60% - Énfasis2 17 3" xfId="3501" xr:uid="{CAE55D67-CF3E-4C32-8B7E-4AA1F85DE1CC}"/>
    <cellStyle name="60% - Énfasis2 18" xfId="891" xr:uid="{F860EE68-FABB-410E-BEDA-A96622834280}"/>
    <cellStyle name="60% - Énfasis2 18 2" xfId="2213" xr:uid="{6F079271-8402-42BA-8EC5-923E0C865D48}"/>
    <cellStyle name="60% - Énfasis2 18 2 2" xfId="4833" xr:uid="{D319A655-24B2-419B-8642-BFF844E2C8FA}"/>
    <cellStyle name="60% - Énfasis2 18 3" xfId="3521" xr:uid="{2DEB6332-CC54-4DBA-A14C-366846CB88EE}"/>
    <cellStyle name="60% - Énfasis2 19" xfId="911" xr:uid="{2405BED0-8588-40E1-9DE0-5E8E2486B601}"/>
    <cellStyle name="60% - Énfasis2 19 2" xfId="2233" xr:uid="{2E3ED1D2-D046-4ADA-865C-504466F1D8D5}"/>
    <cellStyle name="60% - Énfasis2 19 2 2" xfId="4853" xr:uid="{082E1F19-6377-4196-A415-22878C6FB5FD}"/>
    <cellStyle name="60% - Énfasis2 19 3" xfId="3541" xr:uid="{CF7E7F0E-6894-4252-A5E5-27E1C2E52704}"/>
    <cellStyle name="60% - Énfasis2 2" xfId="571" xr:uid="{CD7ED375-88E3-4C30-86CC-9564845C7689}"/>
    <cellStyle name="60% - Énfasis2 2 2" xfId="1893" xr:uid="{4E4EBD46-74C7-46DD-B956-EA401ED754A8}"/>
    <cellStyle name="60% - Énfasis2 2 2 2" xfId="4513" xr:uid="{52C83F91-4807-4A7D-B3B8-CB9CD2F505E1}"/>
    <cellStyle name="60% - Énfasis2 2 3" xfId="3201" xr:uid="{68AEF7AF-1325-48D4-95E6-ED5B6D790408}"/>
    <cellStyle name="60% - Énfasis2 20" xfId="931" xr:uid="{AD2DCA81-4857-43DC-AC39-07A00AA38B10}"/>
    <cellStyle name="60% - Énfasis2 20 2" xfId="2253" xr:uid="{8A01D286-4378-452C-B571-FF74CD7C0038}"/>
    <cellStyle name="60% - Énfasis2 20 2 2" xfId="4873" xr:uid="{5C1C23DB-6F72-4D5C-BB0C-C4D27DFDAD98}"/>
    <cellStyle name="60% - Énfasis2 20 3" xfId="3561" xr:uid="{FE026EEE-581B-460A-AC40-BACE244780F8}"/>
    <cellStyle name="60% - Énfasis2 21" xfId="951" xr:uid="{D147723B-87D2-4656-91A0-34EAA8D1453D}"/>
    <cellStyle name="60% - Énfasis2 21 2" xfId="2273" xr:uid="{42A10233-2500-4284-ACBA-519A4A44C303}"/>
    <cellStyle name="60% - Énfasis2 21 2 2" xfId="4893" xr:uid="{EE634B61-5CEE-4147-8D11-2BCE40A8EA1C}"/>
    <cellStyle name="60% - Énfasis2 21 3" xfId="3581" xr:uid="{8EFBDF0F-B886-456E-91D6-2855303DFF86}"/>
    <cellStyle name="60% - Énfasis2 22" xfId="971" xr:uid="{CB4A8B81-C7E8-46B8-BE1F-6227649E68C6}"/>
    <cellStyle name="60% - Énfasis2 22 2" xfId="2293" xr:uid="{2FFECF50-10CA-4F99-B615-7CA207DA7DBB}"/>
    <cellStyle name="60% - Énfasis2 22 2 2" xfId="4913" xr:uid="{D06D1D99-6B0A-4BF9-9BBF-6C635EE6A26C}"/>
    <cellStyle name="60% - Énfasis2 22 3" xfId="3601" xr:uid="{D06F3DD1-EB8E-4121-9BEC-0B1DD442CE3C}"/>
    <cellStyle name="60% - Énfasis2 23" xfId="991" xr:uid="{212F9B51-B03A-4D5C-9E08-D7EC4E0B8533}"/>
    <cellStyle name="60% - Énfasis2 23 2" xfId="2313" xr:uid="{37637F8B-AE2F-4449-81BE-9079A3640B12}"/>
    <cellStyle name="60% - Énfasis2 23 2 2" xfId="4933" xr:uid="{B947D7B7-0747-4555-B266-165EF1339F2B}"/>
    <cellStyle name="60% - Énfasis2 23 3" xfId="3621" xr:uid="{B0CEF53B-28D6-4587-B014-D7D66D153EE9}"/>
    <cellStyle name="60% - Énfasis2 24" xfId="1011" xr:uid="{8602B8D5-5F0F-4DF3-9A84-6230CB2F51A4}"/>
    <cellStyle name="60% - Énfasis2 24 2" xfId="2333" xr:uid="{83155478-6BE2-4299-BEA3-24FCFE7096DB}"/>
    <cellStyle name="60% - Énfasis2 24 2 2" xfId="4953" xr:uid="{5C367723-2508-4885-B1EC-93CA3457FBBA}"/>
    <cellStyle name="60% - Énfasis2 24 3" xfId="3641" xr:uid="{A725796A-1BED-4E6A-B144-EA1ECDE7F976}"/>
    <cellStyle name="60% - Énfasis2 25" xfId="1031" xr:uid="{A2C98378-1406-460F-AF94-10493701DC95}"/>
    <cellStyle name="60% - Énfasis2 25 2" xfId="2353" xr:uid="{7671F00E-8315-4616-A19B-F33EBB0CD807}"/>
    <cellStyle name="60% - Énfasis2 25 2 2" xfId="4973" xr:uid="{4580A49C-6A6E-4448-9F4A-9F55FEAA3336}"/>
    <cellStyle name="60% - Énfasis2 25 3" xfId="3661" xr:uid="{BB9999C2-8FB6-4E3B-92C7-28FE1CCD1D96}"/>
    <cellStyle name="60% - Énfasis2 26" xfId="1131" xr:uid="{21B9EC4D-0762-4535-B61F-F0F7DA56EE0D}"/>
    <cellStyle name="60% - Énfasis2 26 2" xfId="2453" xr:uid="{47AC39A8-03F3-4EDF-837B-F7E12EFD90E6}"/>
    <cellStyle name="60% - Énfasis2 26 2 2" xfId="5073" xr:uid="{C23223D2-2F54-4029-BBA9-30390E842C69}"/>
    <cellStyle name="60% - Énfasis2 26 3" xfId="3761" xr:uid="{6EB667E3-571B-41C5-9397-DF9A7B2EFEE3}"/>
    <cellStyle name="60% - Énfasis2 27" xfId="1151" xr:uid="{5ACBC8E3-CA19-45D2-A2D9-C15C8F4C74D9}"/>
    <cellStyle name="60% - Énfasis2 27 2" xfId="2473" xr:uid="{AAED7F9B-58E8-43C5-8BEE-7B3A7D7CBD05}"/>
    <cellStyle name="60% - Énfasis2 27 2 2" xfId="5093" xr:uid="{6B6DBB3D-8290-4A41-BF8A-6DFCF1D99038}"/>
    <cellStyle name="60% - Énfasis2 27 3" xfId="3781" xr:uid="{865A7D99-6D88-47AF-BF01-128BE8389AEB}"/>
    <cellStyle name="60% - Énfasis2 28" xfId="1171" xr:uid="{610987A9-A5AB-473A-83B4-20ACA95F7E46}"/>
    <cellStyle name="60% - Énfasis2 28 2" xfId="2493" xr:uid="{3C7857A1-BF8D-421E-A12F-26797663656B}"/>
    <cellStyle name="60% - Énfasis2 28 2 2" xfId="5113" xr:uid="{C5E843B6-BEB7-449C-B167-C3FEE08D8E45}"/>
    <cellStyle name="60% - Énfasis2 28 3" xfId="3801" xr:uid="{151AC5D2-89E3-4427-8E2A-8B5565ED5815}"/>
    <cellStyle name="60% - Énfasis2 29" xfId="1191" xr:uid="{F0E3D0CC-3DDB-4727-A2D8-FF117A64C088}"/>
    <cellStyle name="60% - Énfasis2 29 2" xfId="2513" xr:uid="{2E231CD8-DCC2-42DF-9D02-68E50F57EAD6}"/>
    <cellStyle name="60% - Énfasis2 29 2 2" xfId="5133" xr:uid="{D8AE90D2-8C77-4EBF-8D90-1881538EB34B}"/>
    <cellStyle name="60% - Énfasis2 29 3" xfId="3821" xr:uid="{481A1BC7-38A6-4354-9883-9B9DAF819FE7}"/>
    <cellStyle name="60% - Énfasis2 3" xfId="591" xr:uid="{BEF74356-687B-4F0F-A28D-4C5C6FBFD217}"/>
    <cellStyle name="60% - Énfasis2 3 2" xfId="1913" xr:uid="{07F1D51D-DFAD-4806-86F2-CD5210769F9B}"/>
    <cellStyle name="60% - Énfasis2 3 2 2" xfId="4533" xr:uid="{8BEF9782-3637-4167-8775-E9D954DBEC1C}"/>
    <cellStyle name="60% - Énfasis2 3 3" xfId="3221" xr:uid="{B572A777-A216-49B0-899B-D58E67DC0AD8}"/>
    <cellStyle name="60% - Énfasis2 30" xfId="1211" xr:uid="{D8D6261D-B0A1-428E-BF2C-8A13EA3C4571}"/>
    <cellStyle name="60% - Énfasis2 30 2" xfId="2533" xr:uid="{39C2D4FD-B8D6-48BC-BC14-8E98E9B4D4B1}"/>
    <cellStyle name="60% - Énfasis2 30 2 2" xfId="5153" xr:uid="{BD39A86B-7A68-497A-9814-6826AE9C8313}"/>
    <cellStyle name="60% - Énfasis2 30 3" xfId="3841" xr:uid="{162BC196-E534-43BE-8CF5-05928FE84165}"/>
    <cellStyle name="60% - Énfasis2 31" xfId="1231" xr:uid="{63009670-5E7A-43F4-8EA0-598A381DF7D0}"/>
    <cellStyle name="60% - Énfasis2 31 2" xfId="2553" xr:uid="{064A7DCE-CA10-4BC3-AC42-C12193856CD0}"/>
    <cellStyle name="60% - Énfasis2 31 2 2" xfId="5173" xr:uid="{DB2BCAED-8A72-4136-A07E-325F3BC1D6A9}"/>
    <cellStyle name="60% - Énfasis2 31 3" xfId="3861" xr:uid="{497343DD-E33E-42D6-A87F-7E27D25FE5E3}"/>
    <cellStyle name="60% - Énfasis2 32" xfId="1251" xr:uid="{F72BF77E-FC33-4BC6-A7C4-37EF7599282D}"/>
    <cellStyle name="60% - Énfasis2 32 2" xfId="2573" xr:uid="{FE07B525-635B-4D75-9D66-EBF4BCF6C051}"/>
    <cellStyle name="60% - Énfasis2 32 2 2" xfId="5193" xr:uid="{B1C526E3-6CD0-40F2-9C05-2E473157317C}"/>
    <cellStyle name="60% - Énfasis2 32 3" xfId="3881" xr:uid="{2368019E-6606-41D6-AD1C-F93EB44C8EEA}"/>
    <cellStyle name="60% - Énfasis2 33" xfId="1271" xr:uid="{CDEA960E-2CB1-4CC0-976C-DD9E2F03A245}"/>
    <cellStyle name="60% - Énfasis2 33 2" xfId="2593" xr:uid="{BAC62144-E7C9-4B46-BFAB-8BDE7C0B4962}"/>
    <cellStyle name="60% - Énfasis2 33 2 2" xfId="5213" xr:uid="{C8919B69-80B9-4D21-BFD7-2F31DA70F54D}"/>
    <cellStyle name="60% - Énfasis2 33 3" xfId="3901" xr:uid="{36D0D68F-B2AB-4284-9E4D-570A7549D9F1}"/>
    <cellStyle name="60% - Énfasis2 34" xfId="1291" xr:uid="{C1964C2B-DC8F-4AD3-B41B-4E226B82DFCB}"/>
    <cellStyle name="60% - Énfasis2 34 2" xfId="2613" xr:uid="{1ED0E9A3-0D24-4415-B45F-07296CC6522A}"/>
    <cellStyle name="60% - Énfasis2 34 2 2" xfId="5233" xr:uid="{9F4DC873-04BF-48BE-AE9A-5AEB022D43DB}"/>
    <cellStyle name="60% - Énfasis2 34 3" xfId="3921" xr:uid="{E740108C-A431-4CFC-9BD8-79FEBCED545B}"/>
    <cellStyle name="60% - Énfasis2 35" xfId="1311" xr:uid="{3400E984-1F76-4F8D-BC8A-0FEA9AB515CE}"/>
    <cellStyle name="60% - Énfasis2 35 2" xfId="2633" xr:uid="{F6F19190-B89C-429F-9C8B-F99D61444476}"/>
    <cellStyle name="60% - Énfasis2 35 2 2" xfId="5253" xr:uid="{119A2AAD-F8CB-4A0D-BCD7-3937E19BA634}"/>
    <cellStyle name="60% - Énfasis2 35 3" xfId="3941" xr:uid="{66ED1758-2AF0-44C1-8B77-3BD023187C2D}"/>
    <cellStyle name="60% - Énfasis2 36" xfId="1349" xr:uid="{E6B50BC5-CC5E-4971-ACF2-3FCF41F9336A}"/>
    <cellStyle name="60% - Énfasis2 36 2" xfId="3971" xr:uid="{0940495E-7127-422B-BD87-003AE859A925}"/>
    <cellStyle name="60% - Énfasis2 37" xfId="2659" xr:uid="{7A672408-B903-49E8-9A7C-52228A557DE7}"/>
    <cellStyle name="60% - Énfasis2 4" xfId="611" xr:uid="{9DFBDA18-60A8-4B67-B17C-5718F2755012}"/>
    <cellStyle name="60% - Énfasis2 4 2" xfId="1933" xr:uid="{49B7EB7E-4153-4CC4-A92F-ADC21C80C46F}"/>
    <cellStyle name="60% - Énfasis2 4 2 2" xfId="4553" xr:uid="{57626FF6-4D85-45CE-9682-B379417DADF5}"/>
    <cellStyle name="60% - Énfasis2 4 3" xfId="3241" xr:uid="{A74DEB1B-5F64-4506-8181-137181947E2B}"/>
    <cellStyle name="60% - Énfasis2 5" xfId="631" xr:uid="{CC64363C-99BB-4F34-B8F2-0A313B72D7AC}"/>
    <cellStyle name="60% - Énfasis2 5 2" xfId="1953" xr:uid="{EC61D9ED-1CFA-4C66-B2C8-072CF0F33208}"/>
    <cellStyle name="60% - Énfasis2 5 2 2" xfId="4573" xr:uid="{DC48D79F-FE60-46E7-8283-68442CBE19C2}"/>
    <cellStyle name="60% - Énfasis2 5 3" xfId="3261" xr:uid="{99183A3A-2E77-496D-8360-3C3CE791B6F3}"/>
    <cellStyle name="60% - Énfasis2 6" xfId="651" xr:uid="{69CAF2D1-F891-4321-80CB-6D8FAD62B3DB}"/>
    <cellStyle name="60% - Énfasis2 6 2" xfId="1973" xr:uid="{11D56208-68A6-4641-8E8B-CF84273346BD}"/>
    <cellStyle name="60% - Énfasis2 6 2 2" xfId="4593" xr:uid="{4996A815-7EFB-4011-9E10-33373FD09226}"/>
    <cellStyle name="60% - Énfasis2 6 3" xfId="3281" xr:uid="{7E4394BC-8975-4025-9139-FD5C3CDB1E1B}"/>
    <cellStyle name="60% - Énfasis2 7" xfId="671" xr:uid="{ACF2DFE7-C8F5-4A50-B1BF-3A3262466564}"/>
    <cellStyle name="60% - Énfasis2 7 2" xfId="1993" xr:uid="{9C749CBD-B3BA-4372-A1BF-A0483E87F302}"/>
    <cellStyle name="60% - Énfasis2 7 2 2" xfId="4613" xr:uid="{FCC2184C-0F56-4AC7-A377-B2C635283B50}"/>
    <cellStyle name="60% - Énfasis2 7 3" xfId="3301" xr:uid="{127171C8-43A7-47BA-A346-A60B7B68E82A}"/>
    <cellStyle name="60% - Énfasis2 8" xfId="691" xr:uid="{0ED6A248-7AB6-43BF-9F5F-8A9180FC3A23}"/>
    <cellStyle name="60% - Énfasis2 8 2" xfId="2013" xr:uid="{9951CD2E-8BEB-447C-B5C0-05BCBF884835}"/>
    <cellStyle name="60% - Énfasis2 8 2 2" xfId="4633" xr:uid="{4A86A89E-2927-4979-AAEC-F455BBD9BF89}"/>
    <cellStyle name="60% - Énfasis2 8 3" xfId="3321" xr:uid="{90A2CA69-A2B5-4E29-9B23-AF1A1236D98F}"/>
    <cellStyle name="60% - Énfasis2 9" xfId="711" xr:uid="{FBD06E59-9A44-44EB-9D96-950225B3B1D7}"/>
    <cellStyle name="60% - Énfasis2 9 2" xfId="2033" xr:uid="{0478C881-9092-4EF3-8704-F0B4EA6AFD79}"/>
    <cellStyle name="60% - Énfasis2 9 2 2" xfId="4653" xr:uid="{58C3F615-CF31-4C8E-A7A1-6A5A9E896FC4}"/>
    <cellStyle name="60% - Énfasis2 9 3" xfId="3341" xr:uid="{35A7F4D8-B312-467C-91F9-E887AA9053EC}"/>
    <cellStyle name="60% - Énfasis3" xfId="28" builtinId="40" customBuiltin="1"/>
    <cellStyle name="60% - Énfasis3 10" xfId="734" xr:uid="{17FF7EFD-0C1E-4B54-8EE7-A78A2F650ACA}"/>
    <cellStyle name="60% - Énfasis3 10 2" xfId="2056" xr:uid="{356A9BB2-9B6D-482F-B7A3-6A7D7A9E314C}"/>
    <cellStyle name="60% - Énfasis3 10 2 2" xfId="4676" xr:uid="{3A52A922-BA65-434C-BCD6-9A69B2374424}"/>
    <cellStyle name="60% - Énfasis3 10 3" xfId="3364" xr:uid="{73B9E80C-2645-4CE4-BEA9-509DA219769A}"/>
    <cellStyle name="60% - Énfasis3 11" xfId="754" xr:uid="{05594396-1203-4295-B078-540D23D4ED1C}"/>
    <cellStyle name="60% - Énfasis3 11 2" xfId="2076" xr:uid="{02C61986-E33B-4153-99C9-113A4BC872E6}"/>
    <cellStyle name="60% - Énfasis3 11 2 2" xfId="4696" xr:uid="{61993D08-9574-4A39-83F5-AD4F0BC77071}"/>
    <cellStyle name="60% - Énfasis3 11 3" xfId="3384" xr:uid="{E674EEEE-AC2E-4FD3-94BA-483E3C0F24D2}"/>
    <cellStyle name="60% - Énfasis3 12" xfId="774" xr:uid="{7C2F8FA7-644B-4492-8FE5-6AE0710D8149}"/>
    <cellStyle name="60% - Énfasis3 12 2" xfId="2096" xr:uid="{27F14EBB-E853-477A-8CB9-E3CA03CA0377}"/>
    <cellStyle name="60% - Énfasis3 12 2 2" xfId="4716" xr:uid="{CF2BC491-34C9-4288-8DA6-829C6D457D96}"/>
    <cellStyle name="60% - Énfasis3 12 3" xfId="3404" xr:uid="{8009BCB2-63AE-48E4-B453-3560B7558681}"/>
    <cellStyle name="60% - Énfasis3 13" xfId="794" xr:uid="{499B6539-4508-45AC-B742-306747744807}"/>
    <cellStyle name="60% - Énfasis3 13 2" xfId="2116" xr:uid="{423D2E0A-3C93-43A5-A591-A5CA46228DCB}"/>
    <cellStyle name="60% - Énfasis3 13 2 2" xfId="4736" xr:uid="{99D4C874-009E-41AD-8514-10D27A89C756}"/>
    <cellStyle name="60% - Énfasis3 13 3" xfId="3424" xr:uid="{7AC84F12-4CC6-4120-93A6-AC6D3A48A60E}"/>
    <cellStyle name="60% - Énfasis3 14" xfId="814" xr:uid="{0944EADF-5836-4D64-813D-67D4D3D78AD6}"/>
    <cellStyle name="60% - Énfasis3 14 2" xfId="2136" xr:uid="{718A1405-9279-4C15-9CFC-E4D63A3734AB}"/>
    <cellStyle name="60% - Énfasis3 14 2 2" xfId="4756" xr:uid="{0744870B-DD13-4C5D-9E52-38546CE0FA83}"/>
    <cellStyle name="60% - Énfasis3 14 3" xfId="3444" xr:uid="{CFC0C654-7F8A-4C0A-8221-9F127EFBC80E}"/>
    <cellStyle name="60% - Énfasis3 15" xfId="834" xr:uid="{8BE07DDC-C59B-490A-B0A2-1AEA34B232E6}"/>
    <cellStyle name="60% - Énfasis3 15 2" xfId="2156" xr:uid="{C5B97E0E-A5BA-400F-BD74-5EA562625141}"/>
    <cellStyle name="60% - Énfasis3 15 2 2" xfId="4776" xr:uid="{19FB4516-3FE8-4E25-B58A-195DA5CFB9F4}"/>
    <cellStyle name="60% - Énfasis3 15 3" xfId="3464" xr:uid="{27087ED6-2A7B-493F-8159-E2249F4A73A4}"/>
    <cellStyle name="60% - Énfasis3 16" xfId="854" xr:uid="{BF4288D1-A100-4EC4-BC3A-4C1726C4D02B}"/>
    <cellStyle name="60% - Énfasis3 16 2" xfId="2176" xr:uid="{1F65B937-3F35-44AA-B7C4-C56D163D43A2}"/>
    <cellStyle name="60% - Énfasis3 16 2 2" xfId="4796" xr:uid="{83F90579-6234-4259-9F14-3E0B2C11AF60}"/>
    <cellStyle name="60% - Énfasis3 16 3" xfId="3484" xr:uid="{EA569859-7248-4406-A7D5-10F87190EBB7}"/>
    <cellStyle name="60% - Énfasis3 17" xfId="874" xr:uid="{3B4CE182-0F13-4064-B893-BC7262D61B69}"/>
    <cellStyle name="60% - Énfasis3 17 2" xfId="2196" xr:uid="{F7BD2812-D581-4B53-9546-BA49EEDB3B61}"/>
    <cellStyle name="60% - Énfasis3 17 2 2" xfId="4816" xr:uid="{982FE1CA-3814-4AB4-B607-CDAD33EB8531}"/>
    <cellStyle name="60% - Énfasis3 17 3" xfId="3504" xr:uid="{0F2ED3DE-8D80-4ED6-BD3F-D0267CFF1D3C}"/>
    <cellStyle name="60% - Énfasis3 18" xfId="894" xr:uid="{A4A4BB6E-7B4C-4031-A887-FA05382587BF}"/>
    <cellStyle name="60% - Énfasis3 18 2" xfId="2216" xr:uid="{4AF4EF97-2CB5-49F9-919F-0DB2FFC480B5}"/>
    <cellStyle name="60% - Énfasis3 18 2 2" xfId="4836" xr:uid="{383423C2-3966-4D88-9029-E00F922E2BBC}"/>
    <cellStyle name="60% - Énfasis3 18 3" xfId="3524" xr:uid="{856C3E24-4264-4D4E-8295-54346B2B6DFB}"/>
    <cellStyle name="60% - Énfasis3 19" xfId="914" xr:uid="{881E624C-E2AC-4078-9DD8-31A17855C983}"/>
    <cellStyle name="60% - Énfasis3 19 2" xfId="2236" xr:uid="{52FBC26C-5EA1-4BC6-9CD8-09A4251D0B93}"/>
    <cellStyle name="60% - Énfasis3 19 2 2" xfId="4856" xr:uid="{59D764F8-0CB2-41BD-AE80-A16113B34686}"/>
    <cellStyle name="60% - Énfasis3 19 3" xfId="3544" xr:uid="{86C1D5DC-57A0-4CC1-BBC0-CEFAEE4F322D}"/>
    <cellStyle name="60% - Énfasis3 2" xfId="574" xr:uid="{BFF8A68F-3D2E-4A0A-BD73-96DD4FC7B0CA}"/>
    <cellStyle name="60% - Énfasis3 2 2" xfId="1896" xr:uid="{EDD637E7-98CD-4CA2-944E-159B45770589}"/>
    <cellStyle name="60% - Énfasis3 2 2 2" xfId="4516" xr:uid="{3CEE183F-22EC-4BEE-A737-87761787E855}"/>
    <cellStyle name="60% - Énfasis3 2 3" xfId="3204" xr:uid="{60549BF1-2F67-4A07-A9A2-647B3667CAE0}"/>
    <cellStyle name="60% - Énfasis3 20" xfId="934" xr:uid="{0E15C11A-FF76-4FF0-BA44-D4DD63CD19E6}"/>
    <cellStyle name="60% - Énfasis3 20 2" xfId="2256" xr:uid="{BFC4B1E3-41F0-48E1-9C87-01BBACF21C05}"/>
    <cellStyle name="60% - Énfasis3 20 2 2" xfId="4876" xr:uid="{D0692D4C-A328-4CD6-9D1E-4902EFF84F7A}"/>
    <cellStyle name="60% - Énfasis3 20 3" xfId="3564" xr:uid="{0C9CEEA9-5E81-4882-A374-B714F9450304}"/>
    <cellStyle name="60% - Énfasis3 21" xfId="954" xr:uid="{FA4E57AE-3687-4284-ADCA-D8DE29B0D19C}"/>
    <cellStyle name="60% - Énfasis3 21 2" xfId="2276" xr:uid="{BB120130-5A2E-4B5B-9C6F-3268E7DAAA40}"/>
    <cellStyle name="60% - Énfasis3 21 2 2" xfId="4896" xr:uid="{CFAC2441-DB1D-4945-98E1-849E861E10B6}"/>
    <cellStyle name="60% - Énfasis3 21 3" xfId="3584" xr:uid="{19822C59-B874-4A37-A17D-5CB6A4DEC220}"/>
    <cellStyle name="60% - Énfasis3 22" xfId="974" xr:uid="{6992F2DA-9CE7-4060-8963-091FCEA17093}"/>
    <cellStyle name="60% - Énfasis3 22 2" xfId="2296" xr:uid="{7B96E073-832B-4E2E-89E4-CF68563FA4C4}"/>
    <cellStyle name="60% - Énfasis3 22 2 2" xfId="4916" xr:uid="{8DAEBA20-9634-4A4B-A4A5-40BB1A571A4D}"/>
    <cellStyle name="60% - Énfasis3 22 3" xfId="3604" xr:uid="{84BFD896-CC05-4FB3-8C6A-875105F9FE96}"/>
    <cellStyle name="60% - Énfasis3 23" xfId="994" xr:uid="{B5FD82C5-5BD3-4C78-BEE6-98CE7F7D21DD}"/>
    <cellStyle name="60% - Énfasis3 23 2" xfId="2316" xr:uid="{A70E3C76-596A-46B4-AC21-F200335F035A}"/>
    <cellStyle name="60% - Énfasis3 23 2 2" xfId="4936" xr:uid="{28AF91FA-699C-4F68-B27E-BDF4A6F12077}"/>
    <cellStyle name="60% - Énfasis3 23 3" xfId="3624" xr:uid="{4DD5CAD1-0D5B-4D5F-9E1C-025FD4CA10C7}"/>
    <cellStyle name="60% - Énfasis3 24" xfId="1014" xr:uid="{683FDA54-FB3F-4EB2-B3F5-9047D886B6A7}"/>
    <cellStyle name="60% - Énfasis3 24 2" xfId="2336" xr:uid="{C083B3CE-108F-44A2-B026-B6334AF6551F}"/>
    <cellStyle name="60% - Énfasis3 24 2 2" xfId="4956" xr:uid="{31BEA341-9573-4BD2-8C91-4B0743CE1CAC}"/>
    <cellStyle name="60% - Énfasis3 24 3" xfId="3644" xr:uid="{F89CA50A-7C2C-47A9-951F-2ACDE58EFD0F}"/>
    <cellStyle name="60% - Énfasis3 25" xfId="1034" xr:uid="{4F66B1D6-E7D1-4C7F-AAB0-B735259942F9}"/>
    <cellStyle name="60% - Énfasis3 25 2" xfId="2356" xr:uid="{547462DA-9AFE-4383-85DF-60CFC2DB20AF}"/>
    <cellStyle name="60% - Énfasis3 25 2 2" xfId="4976" xr:uid="{3D92753C-7417-4C9E-AC1B-BB8132FCD2F8}"/>
    <cellStyle name="60% - Énfasis3 25 3" xfId="3664" xr:uid="{2FF3DB18-9A27-4D7A-BCC9-7B4EEB654439}"/>
    <cellStyle name="60% - Énfasis3 26" xfId="1134" xr:uid="{6E1B863C-AE20-468D-947A-7B6108218A49}"/>
    <cellStyle name="60% - Énfasis3 26 2" xfId="2456" xr:uid="{00546592-31E2-4C37-9DFE-043E93A8BC32}"/>
    <cellStyle name="60% - Énfasis3 26 2 2" xfId="5076" xr:uid="{0DECE7B8-B6CF-45B5-96D1-D71B9291600B}"/>
    <cellStyle name="60% - Énfasis3 26 3" xfId="3764" xr:uid="{F3273B03-E0C8-451D-B799-3689AFFCB193}"/>
    <cellStyle name="60% - Énfasis3 27" xfId="1154" xr:uid="{51327551-DAF5-4FE2-8F4D-DDC12A16FA6B}"/>
    <cellStyle name="60% - Énfasis3 27 2" xfId="2476" xr:uid="{4E0D12FF-7639-4BF9-BC25-FBDFE2ED0AF1}"/>
    <cellStyle name="60% - Énfasis3 27 2 2" xfId="5096" xr:uid="{10746F8F-EE62-4390-8171-61D57E406089}"/>
    <cellStyle name="60% - Énfasis3 27 3" xfId="3784" xr:uid="{FED03C02-6455-4A05-B331-1094085349E8}"/>
    <cellStyle name="60% - Énfasis3 28" xfId="1174" xr:uid="{E9C5AAB0-D30E-4D22-9E9B-0B60EE401D28}"/>
    <cellStyle name="60% - Énfasis3 28 2" xfId="2496" xr:uid="{910D02EB-8441-489D-B7A4-1C2260556FA1}"/>
    <cellStyle name="60% - Énfasis3 28 2 2" xfId="5116" xr:uid="{FBB464B3-5DEF-40E4-B305-791DBD169B4E}"/>
    <cellStyle name="60% - Énfasis3 28 3" xfId="3804" xr:uid="{424300A1-246E-4F88-9ED3-EC71D01CDDD1}"/>
    <cellStyle name="60% - Énfasis3 29" xfId="1194" xr:uid="{532E9558-6BC1-498C-B3FF-0BE0A6AAEA60}"/>
    <cellStyle name="60% - Énfasis3 29 2" xfId="2516" xr:uid="{4353370F-E42A-43AB-8A66-E72F6B1443E6}"/>
    <cellStyle name="60% - Énfasis3 29 2 2" xfId="5136" xr:uid="{DE8B3338-F21E-47A6-8B24-9FF3D2C2F493}"/>
    <cellStyle name="60% - Énfasis3 29 3" xfId="3824" xr:uid="{E4CF3ACC-3C25-42A0-8C54-BE4FB5C6ACCF}"/>
    <cellStyle name="60% - Énfasis3 3" xfId="594" xr:uid="{195F95A2-54F8-430B-A2C9-5D4FB642DCCF}"/>
    <cellStyle name="60% - Énfasis3 3 2" xfId="1916" xr:uid="{55F65EB0-B6CD-413A-8B1B-B6AB4CFD808D}"/>
    <cellStyle name="60% - Énfasis3 3 2 2" xfId="4536" xr:uid="{3CC5E191-F83E-424A-9B41-40CBA74F2501}"/>
    <cellStyle name="60% - Énfasis3 3 3" xfId="3224" xr:uid="{92786310-273A-42AD-B4D7-C81F25E51450}"/>
    <cellStyle name="60% - Énfasis3 30" xfId="1214" xr:uid="{3FCC70D6-C2D2-4942-B6A4-63AB6BFA4309}"/>
    <cellStyle name="60% - Énfasis3 30 2" xfId="2536" xr:uid="{10F6B57B-CD4C-44B0-9DBE-9BA39484325E}"/>
    <cellStyle name="60% - Énfasis3 30 2 2" xfId="5156" xr:uid="{CDD1434E-FBA2-4BC9-A3E6-CF2BDC0EB97A}"/>
    <cellStyle name="60% - Énfasis3 30 3" xfId="3844" xr:uid="{DD1125DB-8D87-4754-AA89-C631D40C1365}"/>
    <cellStyle name="60% - Énfasis3 31" xfId="1234" xr:uid="{F5BDC44B-6EE4-44F7-B759-80CC2A31B70F}"/>
    <cellStyle name="60% - Énfasis3 31 2" xfId="2556" xr:uid="{D02E188D-E8AA-4799-BF92-C42108C7F7EE}"/>
    <cellStyle name="60% - Énfasis3 31 2 2" xfId="5176" xr:uid="{BE359718-9E52-438C-97D7-552ABE5703C1}"/>
    <cellStyle name="60% - Énfasis3 31 3" xfId="3864" xr:uid="{2D0E7AE7-6142-4829-8A9D-7150BE1C25FC}"/>
    <cellStyle name="60% - Énfasis3 32" xfId="1254" xr:uid="{E6FA3BBA-B7BF-48BA-8C85-0584BE443F82}"/>
    <cellStyle name="60% - Énfasis3 32 2" xfId="2576" xr:uid="{0F886931-B952-45E9-A722-CCDE868E1FD5}"/>
    <cellStyle name="60% - Énfasis3 32 2 2" xfId="5196" xr:uid="{A43E0725-311B-4FE9-BFCF-543F9FE85405}"/>
    <cellStyle name="60% - Énfasis3 32 3" xfId="3884" xr:uid="{2F55FDD1-8644-47BB-B7A3-060C6E8634C4}"/>
    <cellStyle name="60% - Énfasis3 33" xfId="1274" xr:uid="{09D55F55-471C-4173-BA0D-875A6BC7CD8B}"/>
    <cellStyle name="60% - Énfasis3 33 2" xfId="2596" xr:uid="{7DE794A7-5E08-43FC-BD30-0B53A2C06212}"/>
    <cellStyle name="60% - Énfasis3 33 2 2" xfId="5216" xr:uid="{A6C72B81-32AD-4E3B-A972-BBCA92268E78}"/>
    <cellStyle name="60% - Énfasis3 33 3" xfId="3904" xr:uid="{12298D47-25A8-4C37-AD0B-711B9990445D}"/>
    <cellStyle name="60% - Énfasis3 34" xfId="1294" xr:uid="{4E0A725D-8C9E-4952-9CD4-9A0073D1BF8E}"/>
    <cellStyle name="60% - Énfasis3 34 2" xfId="2616" xr:uid="{F050B6F3-8B7A-468F-AE5B-F4D4D7749E13}"/>
    <cellStyle name="60% - Énfasis3 34 2 2" xfId="5236" xr:uid="{CDB93651-1D8F-4D69-878B-0B60C59B76F2}"/>
    <cellStyle name="60% - Énfasis3 34 3" xfId="3924" xr:uid="{36FA7219-66AB-46B2-A644-AD3570782AEA}"/>
    <cellStyle name="60% - Énfasis3 35" xfId="1314" xr:uid="{A7740B8C-DACB-4080-83E5-D5A6466C441F}"/>
    <cellStyle name="60% - Énfasis3 35 2" xfId="2636" xr:uid="{508EB9F0-7374-4806-BDDB-FE3D552BC063}"/>
    <cellStyle name="60% - Énfasis3 35 2 2" xfId="5256" xr:uid="{402A7609-6676-4E48-B5B5-924ECE142CFE}"/>
    <cellStyle name="60% - Énfasis3 35 3" xfId="3944" xr:uid="{7A384C0B-5066-4EEA-A743-90782DB6F85B}"/>
    <cellStyle name="60% - Énfasis3 36" xfId="1352" xr:uid="{C308168A-E80F-4BC1-8753-CCAFC97132D1}"/>
    <cellStyle name="60% - Énfasis3 36 2" xfId="3974" xr:uid="{FD671D3D-3E33-4680-8CE6-427A1758A37E}"/>
    <cellStyle name="60% - Énfasis3 37" xfId="2662" xr:uid="{4A956B3D-4DC0-44FB-83EE-C9FD0450AA32}"/>
    <cellStyle name="60% - Énfasis3 4" xfId="614" xr:uid="{7AB84799-9539-4434-AAE9-1A32798C1A5C}"/>
    <cellStyle name="60% - Énfasis3 4 2" xfId="1936" xr:uid="{95429A23-F9CB-4656-AD6D-911A309F03C1}"/>
    <cellStyle name="60% - Énfasis3 4 2 2" xfId="4556" xr:uid="{D4DD4855-FBE2-4799-8E1B-5812E7FE1AA7}"/>
    <cellStyle name="60% - Énfasis3 4 3" xfId="3244" xr:uid="{B623C790-0C66-4965-83BB-80FAB0A904AA}"/>
    <cellStyle name="60% - Énfasis3 5" xfId="634" xr:uid="{0762E10C-4657-4D86-BB48-F3CA656210D4}"/>
    <cellStyle name="60% - Énfasis3 5 2" xfId="1956" xr:uid="{7C1725F0-CB0C-4958-B31C-6466DCA682DE}"/>
    <cellStyle name="60% - Énfasis3 5 2 2" xfId="4576" xr:uid="{4E71243C-D9B5-48CE-9ABC-262FEBE385C2}"/>
    <cellStyle name="60% - Énfasis3 5 3" xfId="3264" xr:uid="{B80657B4-A92D-4C71-B433-A1108A47A296}"/>
    <cellStyle name="60% - Énfasis3 6" xfId="654" xr:uid="{7B987543-A864-4EB8-B1A1-FBD377D1864C}"/>
    <cellStyle name="60% - Énfasis3 6 2" xfId="1976" xr:uid="{9DB7D62D-4818-4607-B246-A45DD8E7B297}"/>
    <cellStyle name="60% - Énfasis3 6 2 2" xfId="4596" xr:uid="{7358B2EB-9FF7-4041-B585-12D134D593A0}"/>
    <cellStyle name="60% - Énfasis3 6 3" xfId="3284" xr:uid="{FB1F5699-4FC4-4732-B480-86B71A07C5CB}"/>
    <cellStyle name="60% - Énfasis3 7" xfId="674" xr:uid="{26978446-FE72-44B5-83CB-CF9D9D664C76}"/>
    <cellStyle name="60% - Énfasis3 7 2" xfId="1996" xr:uid="{64689363-2804-4700-8858-5EF839A4C50B}"/>
    <cellStyle name="60% - Énfasis3 7 2 2" xfId="4616" xr:uid="{06D15873-B3D3-446D-8D0B-6AE18B682A2C}"/>
    <cellStyle name="60% - Énfasis3 7 3" xfId="3304" xr:uid="{6A4C698E-A345-4D66-B953-65108B32662D}"/>
    <cellStyle name="60% - Énfasis3 8" xfId="694" xr:uid="{78914701-1DAE-4A2E-8F79-30C170EC317C}"/>
    <cellStyle name="60% - Énfasis3 8 2" xfId="2016" xr:uid="{8C7E1076-4E42-4225-BB0A-092572E577E4}"/>
    <cellStyle name="60% - Énfasis3 8 2 2" xfId="4636" xr:uid="{EA563CD1-32E5-41C0-AAE7-9ECB972F7907}"/>
    <cellStyle name="60% - Énfasis3 8 3" xfId="3324" xr:uid="{87BA3FFC-81CE-4589-A3A4-DE319A03BE41}"/>
    <cellStyle name="60% - Énfasis3 9" xfId="714" xr:uid="{63ED62A5-2CBB-4F79-BABE-90D099666261}"/>
    <cellStyle name="60% - Énfasis3 9 2" xfId="2036" xr:uid="{032EBDBD-33E9-40F3-83D2-71F186281D36}"/>
    <cellStyle name="60% - Énfasis3 9 2 2" xfId="4656" xr:uid="{648F9878-4E94-4B14-925A-875474DA1019}"/>
    <cellStyle name="60% - Énfasis3 9 3" xfId="3344" xr:uid="{04E78E16-BF67-4F73-AAED-E5BE26D5D120}"/>
    <cellStyle name="60% - Énfasis4" xfId="32" builtinId="44" customBuiltin="1"/>
    <cellStyle name="60% - Énfasis4 10" xfId="737" xr:uid="{AEC84081-D26D-49F0-8C96-685CA39DD776}"/>
    <cellStyle name="60% - Énfasis4 10 2" xfId="2059" xr:uid="{A2417BF4-E7FA-4F12-BE53-FE3E3ED0B8EB}"/>
    <cellStyle name="60% - Énfasis4 10 2 2" xfId="4679" xr:uid="{8E757107-A498-4139-9AC7-2C72735B7FC3}"/>
    <cellStyle name="60% - Énfasis4 10 3" xfId="3367" xr:uid="{D8851AB6-13D6-42EB-BC89-C65D343EAD79}"/>
    <cellStyle name="60% - Énfasis4 11" xfId="757" xr:uid="{1E4510D3-1B8A-4DE6-844E-DA224AEF9ADF}"/>
    <cellStyle name="60% - Énfasis4 11 2" xfId="2079" xr:uid="{517C4B39-8F79-464C-9CB0-320693D8CD86}"/>
    <cellStyle name="60% - Énfasis4 11 2 2" xfId="4699" xr:uid="{AEEE10EF-1B92-4842-ADEA-F68E1F6D3284}"/>
    <cellStyle name="60% - Énfasis4 11 3" xfId="3387" xr:uid="{075D5F21-8B65-465D-88E5-5BBC1499B316}"/>
    <cellStyle name="60% - Énfasis4 12" xfId="777" xr:uid="{F1D146BB-85F1-4039-9088-4F9E94C59080}"/>
    <cellStyle name="60% - Énfasis4 12 2" xfId="2099" xr:uid="{C57CA96E-BCC1-4351-9783-331F11897224}"/>
    <cellStyle name="60% - Énfasis4 12 2 2" xfId="4719" xr:uid="{295B421D-9A18-42C2-8953-2BB03E2CF688}"/>
    <cellStyle name="60% - Énfasis4 12 3" xfId="3407" xr:uid="{74C6BF12-3637-452F-89C5-8278E64248A9}"/>
    <cellStyle name="60% - Énfasis4 13" xfId="797" xr:uid="{679493B9-A3E5-4D76-8488-A7160056B82E}"/>
    <cellStyle name="60% - Énfasis4 13 2" xfId="2119" xr:uid="{30C831AD-037E-4F65-AC77-B079DAF219B8}"/>
    <cellStyle name="60% - Énfasis4 13 2 2" xfId="4739" xr:uid="{A7BFA415-61EB-4933-8D26-B651312071A2}"/>
    <cellStyle name="60% - Énfasis4 13 3" xfId="3427" xr:uid="{827A82FB-4A28-4047-8A6A-10EC776725D8}"/>
    <cellStyle name="60% - Énfasis4 14" xfId="817" xr:uid="{ED281F1B-8348-4A0C-B187-D66DF39E31F1}"/>
    <cellStyle name="60% - Énfasis4 14 2" xfId="2139" xr:uid="{4D7B4BE4-C8E4-417D-A8DB-096F7CCC2A64}"/>
    <cellStyle name="60% - Énfasis4 14 2 2" xfId="4759" xr:uid="{95D8DDA7-0261-4788-99CF-991FABF68509}"/>
    <cellStyle name="60% - Énfasis4 14 3" xfId="3447" xr:uid="{0CE70E3B-0CCF-4C0E-BC3A-5B55BAC5C1F3}"/>
    <cellStyle name="60% - Énfasis4 15" xfId="837" xr:uid="{846DFA16-90A6-4045-9D43-75558C9D5F3E}"/>
    <cellStyle name="60% - Énfasis4 15 2" xfId="2159" xr:uid="{626BEC85-C24A-45EB-A8FE-427287897EB7}"/>
    <cellStyle name="60% - Énfasis4 15 2 2" xfId="4779" xr:uid="{7B28A99A-6875-4ABE-B6EF-0A130B25D869}"/>
    <cellStyle name="60% - Énfasis4 15 3" xfId="3467" xr:uid="{670F81A5-F71E-4EDE-BA2E-A529AD2B9F20}"/>
    <cellStyle name="60% - Énfasis4 16" xfId="857" xr:uid="{5E3CBAC5-BAE8-4EA6-B63A-D879464436A7}"/>
    <cellStyle name="60% - Énfasis4 16 2" xfId="2179" xr:uid="{9C80BDB1-459D-407E-9010-9E007CCEA010}"/>
    <cellStyle name="60% - Énfasis4 16 2 2" xfId="4799" xr:uid="{50EABD73-7D65-4789-9524-EB4F371EC10F}"/>
    <cellStyle name="60% - Énfasis4 16 3" xfId="3487" xr:uid="{7348C940-59B1-41A7-B146-727ED004A50C}"/>
    <cellStyle name="60% - Énfasis4 17" xfId="877" xr:uid="{1DF8E295-7CC9-460A-BFBE-10E7B974CF31}"/>
    <cellStyle name="60% - Énfasis4 17 2" xfId="2199" xr:uid="{8097CBD8-CD4E-4C3F-8DD8-E31605245AA6}"/>
    <cellStyle name="60% - Énfasis4 17 2 2" xfId="4819" xr:uid="{262DFAD0-0096-4A85-AD56-A8B2D060EC16}"/>
    <cellStyle name="60% - Énfasis4 17 3" xfId="3507" xr:uid="{40C05449-4AE0-4C05-83C6-E2523C680F1A}"/>
    <cellStyle name="60% - Énfasis4 18" xfId="897" xr:uid="{B33CC4D6-7DE2-4294-A562-A8E80F38F934}"/>
    <cellStyle name="60% - Énfasis4 18 2" xfId="2219" xr:uid="{2712DB03-82D2-4164-AF39-3F093A687C66}"/>
    <cellStyle name="60% - Énfasis4 18 2 2" xfId="4839" xr:uid="{C3112B96-BF42-4A3A-B84D-64412D210A49}"/>
    <cellStyle name="60% - Énfasis4 18 3" xfId="3527" xr:uid="{044725FE-0583-4DA8-899A-1DEB3CDD7886}"/>
    <cellStyle name="60% - Énfasis4 19" xfId="917" xr:uid="{48B0C30F-89F5-45A9-BDF2-F060B5262992}"/>
    <cellStyle name="60% - Énfasis4 19 2" xfId="2239" xr:uid="{93234308-CBCE-4454-8569-CB0843026284}"/>
    <cellStyle name="60% - Énfasis4 19 2 2" xfId="4859" xr:uid="{46A04C92-FAAA-4B95-90E7-82E887A402B3}"/>
    <cellStyle name="60% - Énfasis4 19 3" xfId="3547" xr:uid="{8F9C0B67-71BB-406D-8E98-BD059C0B86C8}"/>
    <cellStyle name="60% - Énfasis4 2" xfId="577" xr:uid="{A67D15C7-38B6-46CE-872A-35CFA2C919EC}"/>
    <cellStyle name="60% - Énfasis4 2 2" xfId="1899" xr:uid="{0F914850-3E85-4B97-AC78-CFA6B9CDF217}"/>
    <cellStyle name="60% - Énfasis4 2 2 2" xfId="4519" xr:uid="{945266D1-11E1-464F-B488-3975BA9CB2BB}"/>
    <cellStyle name="60% - Énfasis4 2 3" xfId="3207" xr:uid="{0AAC9BC6-57D3-49CD-9632-BF760813EEE6}"/>
    <cellStyle name="60% - Énfasis4 20" xfId="937" xr:uid="{1C6AD227-996E-49CF-8B62-662C27D22E97}"/>
    <cellStyle name="60% - Énfasis4 20 2" xfId="2259" xr:uid="{1D5C1D12-3D2A-430F-90B3-A214E7880E39}"/>
    <cellStyle name="60% - Énfasis4 20 2 2" xfId="4879" xr:uid="{2D1195E9-C63A-435E-A968-ABF5AAA4BEED}"/>
    <cellStyle name="60% - Énfasis4 20 3" xfId="3567" xr:uid="{346C0C73-3E73-4CC8-B475-1413F20EBD73}"/>
    <cellStyle name="60% - Énfasis4 21" xfId="957" xr:uid="{F1DB1F28-514C-42BA-BA21-B6BD9C9F45C3}"/>
    <cellStyle name="60% - Énfasis4 21 2" xfId="2279" xr:uid="{DF277B86-7278-4761-A308-C59FA81A0DDE}"/>
    <cellStyle name="60% - Énfasis4 21 2 2" xfId="4899" xr:uid="{285FDD63-2606-4AA7-95D9-C9BF5B67A3A5}"/>
    <cellStyle name="60% - Énfasis4 21 3" xfId="3587" xr:uid="{9DC2894A-E236-4E72-A609-57A8A03BBEB6}"/>
    <cellStyle name="60% - Énfasis4 22" xfId="977" xr:uid="{BF26E74D-1839-48D1-9BB1-C8E99E382BEF}"/>
    <cellStyle name="60% - Énfasis4 22 2" xfId="2299" xr:uid="{EA69F906-8639-4B02-9F6C-81698EACA8C4}"/>
    <cellStyle name="60% - Énfasis4 22 2 2" xfId="4919" xr:uid="{C4DF15F2-20DE-4C23-88FA-DE684FE810DD}"/>
    <cellStyle name="60% - Énfasis4 22 3" xfId="3607" xr:uid="{688C3130-B2A0-4F58-AE1A-87AEC826797C}"/>
    <cellStyle name="60% - Énfasis4 23" xfId="997" xr:uid="{BA44D009-1EB5-41E6-A758-AB31EA3B4442}"/>
    <cellStyle name="60% - Énfasis4 23 2" xfId="2319" xr:uid="{31AEF32A-26C3-4AD4-92B3-00D10C1416DA}"/>
    <cellStyle name="60% - Énfasis4 23 2 2" xfId="4939" xr:uid="{A780917B-5F0F-42CE-9CDD-731999FB597E}"/>
    <cellStyle name="60% - Énfasis4 23 3" xfId="3627" xr:uid="{9C1B6316-A5FC-40EB-904C-A35DBDB3EE86}"/>
    <cellStyle name="60% - Énfasis4 24" xfId="1017" xr:uid="{72A0EBAF-D388-487E-8D84-49D3A712DB5B}"/>
    <cellStyle name="60% - Énfasis4 24 2" xfId="2339" xr:uid="{B26BDF84-1CC2-4622-8B6E-E6FB87C64D69}"/>
    <cellStyle name="60% - Énfasis4 24 2 2" xfId="4959" xr:uid="{DCADDC6E-7FA9-4845-A10A-DD9B3DB2BDE8}"/>
    <cellStyle name="60% - Énfasis4 24 3" xfId="3647" xr:uid="{999337F9-9291-4B01-BC44-5DE4FE3F796C}"/>
    <cellStyle name="60% - Énfasis4 25" xfId="1037" xr:uid="{6870964F-433E-498C-8928-313A440A0088}"/>
    <cellStyle name="60% - Énfasis4 25 2" xfId="2359" xr:uid="{B7D217AF-E14E-4C0E-BE44-DC65D660C305}"/>
    <cellStyle name="60% - Énfasis4 25 2 2" xfId="4979" xr:uid="{4E699EFA-DEA4-4E92-BD38-E946E44AC2A2}"/>
    <cellStyle name="60% - Énfasis4 25 3" xfId="3667" xr:uid="{E6722A55-58E0-4316-AD6B-3F082E942047}"/>
    <cellStyle name="60% - Énfasis4 26" xfId="1137" xr:uid="{A52F73A5-F304-4227-8B50-3A50FB2C73D2}"/>
    <cellStyle name="60% - Énfasis4 26 2" xfId="2459" xr:uid="{91BBA4E3-992E-48FD-84CA-2BF76A8607D2}"/>
    <cellStyle name="60% - Énfasis4 26 2 2" xfId="5079" xr:uid="{BB183647-3655-4F90-B842-69044CB56CE6}"/>
    <cellStyle name="60% - Énfasis4 26 3" xfId="3767" xr:uid="{128E7102-A030-433C-B8AE-B9BDCBAAF912}"/>
    <cellStyle name="60% - Énfasis4 27" xfId="1157" xr:uid="{C92AC302-312C-41AC-BB8A-A844FDFCA814}"/>
    <cellStyle name="60% - Énfasis4 27 2" xfId="2479" xr:uid="{0C1AD760-D67A-42CE-8F31-AA3435D4086C}"/>
    <cellStyle name="60% - Énfasis4 27 2 2" xfId="5099" xr:uid="{E85D5A70-1F97-4A35-AF59-F2F30C674B56}"/>
    <cellStyle name="60% - Énfasis4 27 3" xfId="3787" xr:uid="{801D703F-9C9E-46BB-9A14-B73977674E3B}"/>
    <cellStyle name="60% - Énfasis4 28" xfId="1177" xr:uid="{5B63EA54-A9D1-424A-BC97-F07CE3AF2C01}"/>
    <cellStyle name="60% - Énfasis4 28 2" xfId="2499" xr:uid="{1A5C6EBD-184C-4924-8A00-A688EA83E4CC}"/>
    <cellStyle name="60% - Énfasis4 28 2 2" xfId="5119" xr:uid="{C94AD22D-91DA-465E-9982-F107552D5B4E}"/>
    <cellStyle name="60% - Énfasis4 28 3" xfId="3807" xr:uid="{57AC8510-26AE-48CD-9396-FA02162E6ABA}"/>
    <cellStyle name="60% - Énfasis4 29" xfId="1197" xr:uid="{F58BB8D7-7AF1-460F-BBDD-BAC121F92E05}"/>
    <cellStyle name="60% - Énfasis4 29 2" xfId="2519" xr:uid="{63AC8AAB-1B0D-4457-84ED-4B64ECB4C0A3}"/>
    <cellStyle name="60% - Énfasis4 29 2 2" xfId="5139" xr:uid="{0BACF82D-8B40-4856-86DA-503D89B1DE4E}"/>
    <cellStyle name="60% - Énfasis4 29 3" xfId="3827" xr:uid="{11B8CF30-879B-448B-B165-E1E2D5E667CF}"/>
    <cellStyle name="60% - Énfasis4 3" xfId="597" xr:uid="{1B113FD7-36EA-42D3-9078-3DA9446FBDFC}"/>
    <cellStyle name="60% - Énfasis4 3 2" xfId="1919" xr:uid="{665F08A1-7AB6-40A3-ABB7-CBF40C7E900A}"/>
    <cellStyle name="60% - Énfasis4 3 2 2" xfId="4539" xr:uid="{3F2AC13D-4467-45EE-AE14-404FB65A80A2}"/>
    <cellStyle name="60% - Énfasis4 3 3" xfId="3227" xr:uid="{B224A00D-30BE-4044-B89F-AC6D9448BEB4}"/>
    <cellStyle name="60% - Énfasis4 30" xfId="1217" xr:uid="{90C580A8-7020-47CE-82C7-2390BAB71673}"/>
    <cellStyle name="60% - Énfasis4 30 2" xfId="2539" xr:uid="{061DD81A-93A7-4275-A20E-D8F223B2F55F}"/>
    <cellStyle name="60% - Énfasis4 30 2 2" xfId="5159" xr:uid="{77EA9932-DC12-42B6-B94B-E056EF41E37D}"/>
    <cellStyle name="60% - Énfasis4 30 3" xfId="3847" xr:uid="{19CFC71F-90BA-4D73-9210-456F45F39C00}"/>
    <cellStyle name="60% - Énfasis4 31" xfId="1237" xr:uid="{EF346567-9638-4273-897E-1BDAAF8101B4}"/>
    <cellStyle name="60% - Énfasis4 31 2" xfId="2559" xr:uid="{FD0D7DDF-B872-44C8-80B2-1AAF4E513C00}"/>
    <cellStyle name="60% - Énfasis4 31 2 2" xfId="5179" xr:uid="{6CD7ABC4-916C-4CEA-AA8C-23B2532E83A0}"/>
    <cellStyle name="60% - Énfasis4 31 3" xfId="3867" xr:uid="{FA33A7DD-AC1D-4D01-8BD9-7D77F3368726}"/>
    <cellStyle name="60% - Énfasis4 32" xfId="1257" xr:uid="{242E84FC-9F89-457F-A801-8C3CF90F961D}"/>
    <cellStyle name="60% - Énfasis4 32 2" xfId="2579" xr:uid="{1CD8ED29-96AA-4D72-AB04-0271A17144B1}"/>
    <cellStyle name="60% - Énfasis4 32 2 2" xfId="5199" xr:uid="{A35CF92B-743D-435C-A83F-DD31570DF888}"/>
    <cellStyle name="60% - Énfasis4 32 3" xfId="3887" xr:uid="{2BE08344-0D57-404F-8648-E875CB9A457B}"/>
    <cellStyle name="60% - Énfasis4 33" xfId="1277" xr:uid="{4914F8FE-FABC-4E51-B0AD-AD7F5420C458}"/>
    <cellStyle name="60% - Énfasis4 33 2" xfId="2599" xr:uid="{96D46067-E4A9-45A9-8F29-88FAD0DD5F6E}"/>
    <cellStyle name="60% - Énfasis4 33 2 2" xfId="5219" xr:uid="{5D9005DD-D0FE-42AD-A49B-F64DAE4FBBC5}"/>
    <cellStyle name="60% - Énfasis4 33 3" xfId="3907" xr:uid="{A03A4E40-F610-4F4B-8E63-E3A07C619C00}"/>
    <cellStyle name="60% - Énfasis4 34" xfId="1297" xr:uid="{3F5095F7-1097-4535-AE6F-EFDF53CA51BD}"/>
    <cellStyle name="60% - Énfasis4 34 2" xfId="2619" xr:uid="{F2025F70-C940-409E-8237-B80B2828AE8C}"/>
    <cellStyle name="60% - Énfasis4 34 2 2" xfId="5239" xr:uid="{C7C59867-1DAC-45FA-BDEC-38E689752CAF}"/>
    <cellStyle name="60% - Énfasis4 34 3" xfId="3927" xr:uid="{3F28CABC-4340-41F6-92AF-A4D05E687B67}"/>
    <cellStyle name="60% - Énfasis4 35" xfId="1317" xr:uid="{0AB19387-E56A-4183-B6C9-765651301C73}"/>
    <cellStyle name="60% - Énfasis4 35 2" xfId="2639" xr:uid="{D2D754C1-F7B2-4389-B660-8BBA1FBCCB10}"/>
    <cellStyle name="60% - Énfasis4 35 2 2" xfId="5259" xr:uid="{BE20DE5E-1C0F-4D3C-ACFE-6C9AC8C04AB2}"/>
    <cellStyle name="60% - Énfasis4 35 3" xfId="3947" xr:uid="{7F0C7518-D93F-4684-90B2-BAA2BE05415F}"/>
    <cellStyle name="60% - Énfasis4 36" xfId="1355" xr:uid="{6BEFA298-C15C-4314-B4F0-5C534729EFA3}"/>
    <cellStyle name="60% - Énfasis4 36 2" xfId="3977" xr:uid="{6736E1EE-631C-4E30-8DB9-C7D28544193F}"/>
    <cellStyle name="60% - Énfasis4 37" xfId="2665" xr:uid="{05FAF503-7B47-4763-A063-7A9BE8D65547}"/>
    <cellStyle name="60% - Énfasis4 4" xfId="617" xr:uid="{E3EBF4C1-C33E-4990-9698-D56B9E5620A3}"/>
    <cellStyle name="60% - Énfasis4 4 2" xfId="1939" xr:uid="{C4EB7868-281F-4FF6-B3C6-A9D090EFBBB4}"/>
    <cellStyle name="60% - Énfasis4 4 2 2" xfId="4559" xr:uid="{2B1BC4DC-6480-4D78-956C-3217F7ED157F}"/>
    <cellStyle name="60% - Énfasis4 4 3" xfId="3247" xr:uid="{690048BF-8B12-4998-A832-3E6EE098820D}"/>
    <cellStyle name="60% - Énfasis4 5" xfId="637" xr:uid="{965F4C39-855F-4103-BBC5-C836A6A9F7BC}"/>
    <cellStyle name="60% - Énfasis4 5 2" xfId="1959" xr:uid="{B28ABB7E-D2FE-4429-9386-C375803601E7}"/>
    <cellStyle name="60% - Énfasis4 5 2 2" xfId="4579" xr:uid="{45A0B47D-509B-4CF9-8D7D-CFEEFFD3E4E3}"/>
    <cellStyle name="60% - Énfasis4 5 3" xfId="3267" xr:uid="{D4ADB130-052F-4B79-8444-77A1CDD25C00}"/>
    <cellStyle name="60% - Énfasis4 6" xfId="657" xr:uid="{F60FF30B-3537-44E5-9D48-192C3742B782}"/>
    <cellStyle name="60% - Énfasis4 6 2" xfId="1979" xr:uid="{46BF9CEE-3627-4762-AEF9-0163057F3964}"/>
    <cellStyle name="60% - Énfasis4 6 2 2" xfId="4599" xr:uid="{1C74A267-F266-4D99-9A5B-B79053F1594F}"/>
    <cellStyle name="60% - Énfasis4 6 3" xfId="3287" xr:uid="{F3EFA8DF-A366-47E7-A69A-9564BB61868A}"/>
    <cellStyle name="60% - Énfasis4 7" xfId="677" xr:uid="{DFB9B439-1D82-4159-A87D-09E760A3F218}"/>
    <cellStyle name="60% - Énfasis4 7 2" xfId="1999" xr:uid="{E7D47BB4-53F0-45AE-B692-244D0ED404B5}"/>
    <cellStyle name="60% - Énfasis4 7 2 2" xfId="4619" xr:uid="{D89D4CD2-5CD2-4F86-BA18-74D7D97F3771}"/>
    <cellStyle name="60% - Énfasis4 7 3" xfId="3307" xr:uid="{00CD0998-D53B-49C1-9858-41318DBE52EE}"/>
    <cellStyle name="60% - Énfasis4 8" xfId="697" xr:uid="{0D518EC3-6715-410E-8430-DAAAF3FCB76E}"/>
    <cellStyle name="60% - Énfasis4 8 2" xfId="2019" xr:uid="{9B7CD661-65F8-4C94-B05A-4186A41C1C6F}"/>
    <cellStyle name="60% - Énfasis4 8 2 2" xfId="4639" xr:uid="{9065408D-B5CF-4738-A116-AD7AC118674A}"/>
    <cellStyle name="60% - Énfasis4 8 3" xfId="3327" xr:uid="{B181B177-5DB7-4F48-9D6C-148CAEE11FB7}"/>
    <cellStyle name="60% - Énfasis4 9" xfId="717" xr:uid="{6D66A884-CAB5-4DC3-91ED-6B3C748A6E65}"/>
    <cellStyle name="60% - Énfasis4 9 2" xfId="2039" xr:uid="{C5866F6A-17AF-4E0A-9F98-34AA07E66436}"/>
    <cellStyle name="60% - Énfasis4 9 2 2" xfId="4659" xr:uid="{7275F5A3-20A5-44F4-880C-E81F45347396}"/>
    <cellStyle name="60% - Énfasis4 9 3" xfId="3347" xr:uid="{C8F3879A-1900-4C48-BAA9-EAE2B941AFD7}"/>
    <cellStyle name="60% - Énfasis5" xfId="36" builtinId="48" customBuiltin="1"/>
    <cellStyle name="60% - Énfasis5 10" xfId="740" xr:uid="{268BB292-D994-4807-9685-4C334D871582}"/>
    <cellStyle name="60% - Énfasis5 10 2" xfId="2062" xr:uid="{1BD1D942-2260-4D7B-A848-BBF956B676BB}"/>
    <cellStyle name="60% - Énfasis5 10 2 2" xfId="4682" xr:uid="{C87E7447-A6B5-4913-833D-87ADCDD1CD53}"/>
    <cellStyle name="60% - Énfasis5 10 3" xfId="3370" xr:uid="{A346EE1B-DADB-4CCF-BFD0-6DD8282B4321}"/>
    <cellStyle name="60% - Énfasis5 11" xfId="760" xr:uid="{1D118316-C788-4247-9279-4AA9D09E9B3C}"/>
    <cellStyle name="60% - Énfasis5 11 2" xfId="2082" xr:uid="{9DA4984F-1B0B-4B22-842F-99BF2CE5EDA6}"/>
    <cellStyle name="60% - Énfasis5 11 2 2" xfId="4702" xr:uid="{03192C9C-BA88-45D2-BAA3-8CC7D1106FEE}"/>
    <cellStyle name="60% - Énfasis5 11 3" xfId="3390" xr:uid="{42A5D383-A905-4DCD-914F-5AF86959F91E}"/>
    <cellStyle name="60% - Énfasis5 12" xfId="780" xr:uid="{8315E79A-9959-4555-A3D0-537391342AF0}"/>
    <cellStyle name="60% - Énfasis5 12 2" xfId="2102" xr:uid="{BF89C0B8-EDA6-405E-8FC9-CAE1729394C5}"/>
    <cellStyle name="60% - Énfasis5 12 2 2" xfId="4722" xr:uid="{2E573DE6-E125-49BD-9C29-E3C0F3E6849F}"/>
    <cellStyle name="60% - Énfasis5 12 3" xfId="3410" xr:uid="{59AF6344-3024-424B-994A-E88D6A99486E}"/>
    <cellStyle name="60% - Énfasis5 13" xfId="800" xr:uid="{D28224BE-CEDE-4BB7-9884-F45F79690602}"/>
    <cellStyle name="60% - Énfasis5 13 2" xfId="2122" xr:uid="{2BE54A9C-FD87-4D43-AE48-28BCE59039A6}"/>
    <cellStyle name="60% - Énfasis5 13 2 2" xfId="4742" xr:uid="{377A55F3-F83F-4EA0-9419-E7F10C508AEA}"/>
    <cellStyle name="60% - Énfasis5 13 3" xfId="3430" xr:uid="{B94D1488-A896-46D1-ABBC-24AD4286FE1B}"/>
    <cellStyle name="60% - Énfasis5 14" xfId="820" xr:uid="{D3F6E9EE-7796-4CF8-8E65-68B1EEB8CECA}"/>
    <cellStyle name="60% - Énfasis5 14 2" xfId="2142" xr:uid="{1022A5FE-D19E-4E66-80CE-49D6C1BBA874}"/>
    <cellStyle name="60% - Énfasis5 14 2 2" xfId="4762" xr:uid="{16FF1A9B-A8C6-44F1-B326-E75E7B1136CA}"/>
    <cellStyle name="60% - Énfasis5 14 3" xfId="3450" xr:uid="{0E86C65A-BE18-4593-A699-74B1BD449D58}"/>
    <cellStyle name="60% - Énfasis5 15" xfId="840" xr:uid="{A4B599BA-E7E5-4E25-8060-3E3F53732D25}"/>
    <cellStyle name="60% - Énfasis5 15 2" xfId="2162" xr:uid="{095160DA-EFA1-48AD-BF3D-370550E4F6D3}"/>
    <cellStyle name="60% - Énfasis5 15 2 2" xfId="4782" xr:uid="{EA9FBB57-6C53-4B9E-95E7-3FFB96F14FEB}"/>
    <cellStyle name="60% - Énfasis5 15 3" xfId="3470" xr:uid="{6E6ECDFA-B5E2-49F7-9214-973F23ECBAA5}"/>
    <cellStyle name="60% - Énfasis5 16" xfId="860" xr:uid="{01448567-478F-408C-B4AE-B19385C7163E}"/>
    <cellStyle name="60% - Énfasis5 16 2" xfId="2182" xr:uid="{97A903EF-4F56-4EF1-A4FF-B4605C2D6316}"/>
    <cellStyle name="60% - Énfasis5 16 2 2" xfId="4802" xr:uid="{DA5C2DE3-B34B-4192-B36B-ABFE64046C35}"/>
    <cellStyle name="60% - Énfasis5 16 3" xfId="3490" xr:uid="{59230A6B-92CA-4E4E-9D4A-5C757342C563}"/>
    <cellStyle name="60% - Énfasis5 17" xfId="880" xr:uid="{B7474DFE-CD33-46EF-A2F5-3A459F64A833}"/>
    <cellStyle name="60% - Énfasis5 17 2" xfId="2202" xr:uid="{74DE1726-295C-44FF-8DB9-31251FD12794}"/>
    <cellStyle name="60% - Énfasis5 17 2 2" xfId="4822" xr:uid="{E1E9F8B9-96AE-43C5-B0A6-4497C2F3AC82}"/>
    <cellStyle name="60% - Énfasis5 17 3" xfId="3510" xr:uid="{36DBA935-995D-4C28-9850-61B2F70CDCFA}"/>
    <cellStyle name="60% - Énfasis5 18" xfId="900" xr:uid="{F33CD5DA-0C69-4E63-B161-CA219E0A6550}"/>
    <cellStyle name="60% - Énfasis5 18 2" xfId="2222" xr:uid="{047E2F8B-2D6F-4D95-9B8F-A43FD0401B68}"/>
    <cellStyle name="60% - Énfasis5 18 2 2" xfId="4842" xr:uid="{114DEBA3-4985-4D43-99B0-3CA64CDECF4B}"/>
    <cellStyle name="60% - Énfasis5 18 3" xfId="3530" xr:uid="{C1F9237C-5639-4616-8E18-938173A93D6D}"/>
    <cellStyle name="60% - Énfasis5 19" xfId="920" xr:uid="{7C469959-8508-43D2-B4A1-36719B8B24B1}"/>
    <cellStyle name="60% - Énfasis5 19 2" xfId="2242" xr:uid="{29FD9096-B457-407C-85F3-3B960F4538E5}"/>
    <cellStyle name="60% - Énfasis5 19 2 2" xfId="4862" xr:uid="{560C72C5-C226-43AB-944B-DA022E821315}"/>
    <cellStyle name="60% - Énfasis5 19 3" xfId="3550" xr:uid="{4247C2E8-C1E7-4283-95F8-E65ECA8DE833}"/>
    <cellStyle name="60% - Énfasis5 2" xfId="580" xr:uid="{4403F2C2-B1D6-4BFE-8057-6A0073069627}"/>
    <cellStyle name="60% - Énfasis5 2 2" xfId="1902" xr:uid="{0F854284-EE91-43E1-A249-6E3FAB0B8804}"/>
    <cellStyle name="60% - Énfasis5 2 2 2" xfId="4522" xr:uid="{35CCCE62-9D35-422B-A303-C6B3D71B3B52}"/>
    <cellStyle name="60% - Énfasis5 2 3" xfId="3210" xr:uid="{8AFB259A-6251-469E-94E2-62AA27AA8F4C}"/>
    <cellStyle name="60% - Énfasis5 20" xfId="940" xr:uid="{25DDF195-92EF-4413-A631-021011078A18}"/>
    <cellStyle name="60% - Énfasis5 20 2" xfId="2262" xr:uid="{1362EBD8-30F7-415D-ABD4-9BDD10469FBD}"/>
    <cellStyle name="60% - Énfasis5 20 2 2" xfId="4882" xr:uid="{83B44671-7457-414C-A315-10401148301F}"/>
    <cellStyle name="60% - Énfasis5 20 3" xfId="3570" xr:uid="{B193B435-EE37-4F50-AACF-C2EEA60C2DB3}"/>
    <cellStyle name="60% - Énfasis5 21" xfId="960" xr:uid="{821D7092-D517-4596-BD04-32731C5B48F5}"/>
    <cellStyle name="60% - Énfasis5 21 2" xfId="2282" xr:uid="{4B887A54-8CDC-4347-A944-52DD3A8B709B}"/>
    <cellStyle name="60% - Énfasis5 21 2 2" xfId="4902" xr:uid="{ED53EA81-0C95-48C2-A950-3A873E877494}"/>
    <cellStyle name="60% - Énfasis5 21 3" xfId="3590" xr:uid="{DE4CF808-F67C-4797-816B-FF5D6FC4EC9A}"/>
    <cellStyle name="60% - Énfasis5 22" xfId="980" xr:uid="{2ABB2EE5-ACE8-4214-A5BF-250060BEEA67}"/>
    <cellStyle name="60% - Énfasis5 22 2" xfId="2302" xr:uid="{B2BE9A32-BF2B-436B-9BF9-D1E08CEAD2F3}"/>
    <cellStyle name="60% - Énfasis5 22 2 2" xfId="4922" xr:uid="{BD5937A7-6CBF-45A7-9D1B-082137D9CC93}"/>
    <cellStyle name="60% - Énfasis5 22 3" xfId="3610" xr:uid="{FBB5487C-5633-4656-88CD-EB6AF82E3275}"/>
    <cellStyle name="60% - Énfasis5 23" xfId="1000" xr:uid="{E8DFB35E-699F-44FA-AAE9-BF8C121B8E87}"/>
    <cellStyle name="60% - Énfasis5 23 2" xfId="2322" xr:uid="{3869F59D-6A85-4DF5-B470-F530FE4736D0}"/>
    <cellStyle name="60% - Énfasis5 23 2 2" xfId="4942" xr:uid="{2687793C-4C01-4EBB-86EB-BD62AE210A99}"/>
    <cellStyle name="60% - Énfasis5 23 3" xfId="3630" xr:uid="{F5F28182-BF45-4A48-8270-C88DFFCBBAE6}"/>
    <cellStyle name="60% - Énfasis5 24" xfId="1020" xr:uid="{80FFDA9E-7C3E-4F62-B75D-00505D1C81BA}"/>
    <cellStyle name="60% - Énfasis5 24 2" xfId="2342" xr:uid="{9C6F5A15-467D-44DC-B8CE-0AB91F493E74}"/>
    <cellStyle name="60% - Énfasis5 24 2 2" xfId="4962" xr:uid="{DBDD34BE-7779-4135-A6AE-C242938A56A2}"/>
    <cellStyle name="60% - Énfasis5 24 3" xfId="3650" xr:uid="{B730CE30-D9C5-4461-844A-4A96AC4D8EC9}"/>
    <cellStyle name="60% - Énfasis5 25" xfId="1040" xr:uid="{5273A93C-17AF-4396-A4B1-72A457C2D2D6}"/>
    <cellStyle name="60% - Énfasis5 25 2" xfId="2362" xr:uid="{A8426C36-EEFE-48BD-9F0B-F43D8D2D102D}"/>
    <cellStyle name="60% - Énfasis5 25 2 2" xfId="4982" xr:uid="{FD61EC95-C20F-4E74-8BBF-DA2AB420FD4E}"/>
    <cellStyle name="60% - Énfasis5 25 3" xfId="3670" xr:uid="{CDE2BAF4-639A-4FC8-A80E-ECCB4883E79F}"/>
    <cellStyle name="60% - Énfasis5 26" xfId="1140" xr:uid="{D1D16B27-D916-4E47-AEB9-0C72B305B4EB}"/>
    <cellStyle name="60% - Énfasis5 26 2" xfId="2462" xr:uid="{B85A3E8D-9B4F-4F70-9308-56079A6E0122}"/>
    <cellStyle name="60% - Énfasis5 26 2 2" xfId="5082" xr:uid="{AFBBA117-6C7E-4E3D-832E-77EEC58FAACB}"/>
    <cellStyle name="60% - Énfasis5 26 3" xfId="3770" xr:uid="{39863B35-50DD-4F16-85ED-E7E7DA5A5E10}"/>
    <cellStyle name="60% - Énfasis5 27" xfId="1160" xr:uid="{5873BBE5-204C-426D-8E42-5FAF23E267C4}"/>
    <cellStyle name="60% - Énfasis5 27 2" xfId="2482" xr:uid="{B91C36C9-23DA-41A2-9B99-5D1328101860}"/>
    <cellStyle name="60% - Énfasis5 27 2 2" xfId="5102" xr:uid="{2F413528-2B53-4E8B-9233-C2841926C2AE}"/>
    <cellStyle name="60% - Énfasis5 27 3" xfId="3790" xr:uid="{EB427C72-21FA-4B81-9765-2E2A12BE9A2D}"/>
    <cellStyle name="60% - Énfasis5 28" xfId="1180" xr:uid="{B9F050F3-5EED-455F-8E91-11B0E46B48C8}"/>
    <cellStyle name="60% - Énfasis5 28 2" xfId="2502" xr:uid="{060324EA-C92B-43B0-8783-4738CADBF11F}"/>
    <cellStyle name="60% - Énfasis5 28 2 2" xfId="5122" xr:uid="{127289B5-F991-46ED-A754-F4B5D33D9290}"/>
    <cellStyle name="60% - Énfasis5 28 3" xfId="3810" xr:uid="{D7E7FAB3-9DE5-4F31-A9A3-ED930447BD5E}"/>
    <cellStyle name="60% - Énfasis5 29" xfId="1200" xr:uid="{7F2AD69D-E652-4916-8DFF-6C4DCEC5525F}"/>
    <cellStyle name="60% - Énfasis5 29 2" xfId="2522" xr:uid="{4811B386-70B5-4A2B-BEC3-AE26D8078335}"/>
    <cellStyle name="60% - Énfasis5 29 2 2" xfId="5142" xr:uid="{E5AF583F-C31D-4AFC-A7FD-94A1DDDFA8AE}"/>
    <cellStyle name="60% - Énfasis5 29 3" xfId="3830" xr:uid="{F1B77B7E-689A-4420-8391-8F321CFCE2D7}"/>
    <cellStyle name="60% - Énfasis5 3" xfId="600" xr:uid="{DC4ED9D3-6BC4-4729-A9F6-872F697202E4}"/>
    <cellStyle name="60% - Énfasis5 3 2" xfId="1922" xr:uid="{920106B9-92CF-4E5B-AC81-46B3619D3CEB}"/>
    <cellStyle name="60% - Énfasis5 3 2 2" xfId="4542" xr:uid="{9DE941AF-F1A2-4190-AC4C-3C48918D0604}"/>
    <cellStyle name="60% - Énfasis5 3 3" xfId="3230" xr:uid="{C35FB7D0-A92F-4DA2-99BD-1AD9F129E017}"/>
    <cellStyle name="60% - Énfasis5 30" xfId="1220" xr:uid="{A6216683-A671-48B4-920B-B8CE5291A777}"/>
    <cellStyle name="60% - Énfasis5 30 2" xfId="2542" xr:uid="{7CC1A4C6-9A3E-4043-B6C3-CF5475461AE2}"/>
    <cellStyle name="60% - Énfasis5 30 2 2" xfId="5162" xr:uid="{BE5FC49C-A5C1-4E1B-8819-5B5E14D2A448}"/>
    <cellStyle name="60% - Énfasis5 30 3" xfId="3850" xr:uid="{B6964003-95A8-48F4-8351-36783CB409E6}"/>
    <cellStyle name="60% - Énfasis5 31" xfId="1240" xr:uid="{AA1B01F6-F576-4826-8166-12CB72F8161A}"/>
    <cellStyle name="60% - Énfasis5 31 2" xfId="2562" xr:uid="{EBF765B7-1DEE-4393-961C-5C942252CEAC}"/>
    <cellStyle name="60% - Énfasis5 31 2 2" xfId="5182" xr:uid="{B0BC1E17-6975-47B0-9423-BF0D4ED2538E}"/>
    <cellStyle name="60% - Énfasis5 31 3" xfId="3870" xr:uid="{E4741DBD-5D6C-4985-9DC8-FFD3A88A567E}"/>
    <cellStyle name="60% - Énfasis5 32" xfId="1260" xr:uid="{CE427E4F-A489-4925-8E8D-C454F76BF4C1}"/>
    <cellStyle name="60% - Énfasis5 32 2" xfId="2582" xr:uid="{6336FD2D-69FE-4550-934E-4169D7E615BE}"/>
    <cellStyle name="60% - Énfasis5 32 2 2" xfId="5202" xr:uid="{40BF8E69-2285-4DE6-BD99-9B0ED9479709}"/>
    <cellStyle name="60% - Énfasis5 32 3" xfId="3890" xr:uid="{3B32E836-EB7E-40EB-B1D4-D9275442FD7F}"/>
    <cellStyle name="60% - Énfasis5 33" xfId="1280" xr:uid="{9ACAE6C0-C0E1-45C0-BAFC-C8739F18B830}"/>
    <cellStyle name="60% - Énfasis5 33 2" xfId="2602" xr:uid="{C060AC34-D557-4D42-A9BB-F2BAB9D60049}"/>
    <cellStyle name="60% - Énfasis5 33 2 2" xfId="5222" xr:uid="{C002BE42-C8A2-4D39-AA77-6E7D615EE4EA}"/>
    <cellStyle name="60% - Énfasis5 33 3" xfId="3910" xr:uid="{3C552E63-D4A0-4176-8092-63CAD77CEBFC}"/>
    <cellStyle name="60% - Énfasis5 34" xfId="1300" xr:uid="{595F4A57-944E-4D39-9273-97801043DBC8}"/>
    <cellStyle name="60% - Énfasis5 34 2" xfId="2622" xr:uid="{F961F0C9-EC52-48F8-B913-B270180C730C}"/>
    <cellStyle name="60% - Énfasis5 34 2 2" xfId="5242" xr:uid="{C9834CE8-425B-4D07-9894-9F4AF75A4A16}"/>
    <cellStyle name="60% - Énfasis5 34 3" xfId="3930" xr:uid="{347FF76B-7214-4BEF-AC03-1276F53855B3}"/>
    <cellStyle name="60% - Énfasis5 35" xfId="1320" xr:uid="{C256B341-FAA8-44A2-8C26-C3E4397E2F33}"/>
    <cellStyle name="60% - Énfasis5 35 2" xfId="2642" xr:uid="{3D1BD48D-6020-485E-BB16-8276B13F5E31}"/>
    <cellStyle name="60% - Énfasis5 35 2 2" xfId="5262" xr:uid="{C3361F6F-09FF-4AF3-8E35-165AA9F74E66}"/>
    <cellStyle name="60% - Énfasis5 35 3" xfId="3950" xr:uid="{C73D9D62-0A6C-4EBE-A028-8DC1958E9AAA}"/>
    <cellStyle name="60% - Énfasis5 36" xfId="1358" xr:uid="{1FF8A43C-500A-4992-9571-E7614B1ACC36}"/>
    <cellStyle name="60% - Énfasis5 36 2" xfId="3980" xr:uid="{87B6CDB8-2D01-4A94-A829-320AFDE5F643}"/>
    <cellStyle name="60% - Énfasis5 37" xfId="2668" xr:uid="{B7808042-9EAA-4880-9BDD-70B7B9056894}"/>
    <cellStyle name="60% - Énfasis5 4" xfId="620" xr:uid="{2E6A3B35-A162-40AA-BD82-8CB681C92C7D}"/>
    <cellStyle name="60% - Énfasis5 4 2" xfId="1942" xr:uid="{8D4490B6-2C76-492F-AB75-D3AF6DB13939}"/>
    <cellStyle name="60% - Énfasis5 4 2 2" xfId="4562" xr:uid="{A05954FD-6F5A-4770-96D2-DFCF49EFBB50}"/>
    <cellStyle name="60% - Énfasis5 4 3" xfId="3250" xr:uid="{BCDCFA98-35D7-4209-BC8D-5299A1AA18C0}"/>
    <cellStyle name="60% - Énfasis5 5" xfId="640" xr:uid="{52747036-B80A-460A-9CAD-1D2DF16A5253}"/>
    <cellStyle name="60% - Énfasis5 5 2" xfId="1962" xr:uid="{B95DDF94-E312-48DE-8C70-A28A0DC171A4}"/>
    <cellStyle name="60% - Énfasis5 5 2 2" xfId="4582" xr:uid="{2EA7B07D-8DC1-46F1-8CB7-72AC24D75D6F}"/>
    <cellStyle name="60% - Énfasis5 5 3" xfId="3270" xr:uid="{820267F0-CAD4-4C0B-84DE-DD04A06B9E66}"/>
    <cellStyle name="60% - Énfasis5 6" xfId="660" xr:uid="{EB4B5707-DEE5-4BBB-ACF1-A6EAFFA707C0}"/>
    <cellStyle name="60% - Énfasis5 6 2" xfId="1982" xr:uid="{E662FA16-9186-425F-86EF-2D1FB2BFF6D0}"/>
    <cellStyle name="60% - Énfasis5 6 2 2" xfId="4602" xr:uid="{E772FB4E-78DA-4767-9B5F-5DCEB539FC7E}"/>
    <cellStyle name="60% - Énfasis5 6 3" xfId="3290" xr:uid="{EA546DEC-AD29-4CD5-BC46-9EF27A87789E}"/>
    <cellStyle name="60% - Énfasis5 7" xfId="680" xr:uid="{B832577A-6C55-4D2F-8A08-ACA017C44A93}"/>
    <cellStyle name="60% - Énfasis5 7 2" xfId="2002" xr:uid="{C870D770-7B46-44EE-8DDE-071B3FDB602E}"/>
    <cellStyle name="60% - Énfasis5 7 2 2" xfId="4622" xr:uid="{1B8386BC-493D-49D9-95B9-97F327E090B9}"/>
    <cellStyle name="60% - Énfasis5 7 3" xfId="3310" xr:uid="{995AA841-09D9-4787-B617-775B1187DA2C}"/>
    <cellStyle name="60% - Énfasis5 8" xfId="700" xr:uid="{035A1257-BE0B-4BA9-B379-B0601FD93285}"/>
    <cellStyle name="60% - Énfasis5 8 2" xfId="2022" xr:uid="{2A92AC95-81AD-4A51-9288-C1B69A6E8E72}"/>
    <cellStyle name="60% - Énfasis5 8 2 2" xfId="4642" xr:uid="{E306B5FC-B502-4A80-8D99-6F0EB1879D32}"/>
    <cellStyle name="60% - Énfasis5 8 3" xfId="3330" xr:uid="{CC3C81DC-1AA6-4E4D-875E-FCC88BE0D4FE}"/>
    <cellStyle name="60% - Énfasis5 9" xfId="720" xr:uid="{D8A1A589-BCC2-47C8-9781-C6819EC81DE8}"/>
    <cellStyle name="60% - Énfasis5 9 2" xfId="2042" xr:uid="{4614BC67-FC23-436E-A2F5-2CC97A68DB12}"/>
    <cellStyle name="60% - Énfasis5 9 2 2" xfId="4662" xr:uid="{BC8B6A2E-D157-47CF-A6AA-F6D9DEF24DBE}"/>
    <cellStyle name="60% - Énfasis5 9 3" xfId="3350" xr:uid="{270429A1-CEDD-4168-B0B8-3E48CADB4BAC}"/>
    <cellStyle name="60% - Énfasis6" xfId="40" builtinId="52" customBuiltin="1"/>
    <cellStyle name="60% - Énfasis6 10" xfId="743" xr:uid="{73CFF2F9-9B71-444B-823A-B4FC63C52898}"/>
    <cellStyle name="60% - Énfasis6 10 2" xfId="2065" xr:uid="{2F4EEA05-F35D-4BEA-B28D-0EC1D3A2FA4F}"/>
    <cellStyle name="60% - Énfasis6 10 2 2" xfId="4685" xr:uid="{BDCAAFA8-C8AD-4AF5-BEB1-9AC2ECD54F45}"/>
    <cellStyle name="60% - Énfasis6 10 3" xfId="3373" xr:uid="{7CD703CA-5277-43BA-BB91-51B8F8FF6048}"/>
    <cellStyle name="60% - Énfasis6 11" xfId="763" xr:uid="{9C792871-48D6-427B-819D-3C23E2D1FC78}"/>
    <cellStyle name="60% - Énfasis6 11 2" xfId="2085" xr:uid="{B79CBEAF-14CA-43D6-B8D0-DBC03F4202D8}"/>
    <cellStyle name="60% - Énfasis6 11 2 2" xfId="4705" xr:uid="{AB33ED65-6B98-4439-91D7-D4365146BAE6}"/>
    <cellStyle name="60% - Énfasis6 11 3" xfId="3393" xr:uid="{C8151787-7A27-42AB-BBC2-D1FE024EE178}"/>
    <cellStyle name="60% - Énfasis6 12" xfId="783" xr:uid="{E11FA66A-3BF8-4DD4-A285-1B340E6FAB8E}"/>
    <cellStyle name="60% - Énfasis6 12 2" xfId="2105" xr:uid="{89483549-D2A1-489B-93EF-4BBAC3E24000}"/>
    <cellStyle name="60% - Énfasis6 12 2 2" xfId="4725" xr:uid="{2E923C87-5009-45D4-A6CD-D13EE7087D5A}"/>
    <cellStyle name="60% - Énfasis6 12 3" xfId="3413" xr:uid="{5F826993-8612-45A5-902D-8B66A52C102F}"/>
    <cellStyle name="60% - Énfasis6 13" xfId="803" xr:uid="{4C2CE42E-5D38-4923-BB7F-D9DC8F157596}"/>
    <cellStyle name="60% - Énfasis6 13 2" xfId="2125" xr:uid="{560F0579-5801-4C02-B246-6D94435C2534}"/>
    <cellStyle name="60% - Énfasis6 13 2 2" xfId="4745" xr:uid="{F52C222E-337D-4C9B-A0E5-D8DC2E9E4CD5}"/>
    <cellStyle name="60% - Énfasis6 13 3" xfId="3433" xr:uid="{E6134E21-588C-4561-B1A9-0FB10F485523}"/>
    <cellStyle name="60% - Énfasis6 14" xfId="823" xr:uid="{47C88E04-E50C-4E7E-9D5E-878C8BCC5806}"/>
    <cellStyle name="60% - Énfasis6 14 2" xfId="2145" xr:uid="{B2AF2846-B514-4812-8BAB-AAECAA630099}"/>
    <cellStyle name="60% - Énfasis6 14 2 2" xfId="4765" xr:uid="{1B75750D-1D55-404E-8AD8-CE2F64639DFD}"/>
    <cellStyle name="60% - Énfasis6 14 3" xfId="3453" xr:uid="{25DB265E-1E4A-4348-9A00-B71662C68928}"/>
    <cellStyle name="60% - Énfasis6 15" xfId="843" xr:uid="{BD05A306-961A-41C9-9FF2-DB69F7823556}"/>
    <cellStyle name="60% - Énfasis6 15 2" xfId="2165" xr:uid="{B226FF5A-FB33-488C-9554-84BA5368223B}"/>
    <cellStyle name="60% - Énfasis6 15 2 2" xfId="4785" xr:uid="{A173B156-D4EB-4B4C-BFDC-BFB4899BE95F}"/>
    <cellStyle name="60% - Énfasis6 15 3" xfId="3473" xr:uid="{109DC898-E9E0-4F15-B730-461085A50463}"/>
    <cellStyle name="60% - Énfasis6 16" xfId="863" xr:uid="{C1211206-F723-4030-A7B1-D4DD0400F83E}"/>
    <cellStyle name="60% - Énfasis6 16 2" xfId="2185" xr:uid="{4D2785B0-C485-4716-ABFD-D29B0AF584CC}"/>
    <cellStyle name="60% - Énfasis6 16 2 2" xfId="4805" xr:uid="{D5EAD0F1-C41C-4F87-8686-E04EEE3E95C4}"/>
    <cellStyle name="60% - Énfasis6 16 3" xfId="3493" xr:uid="{A637BB69-7F97-444E-92DE-F861CFA4F40F}"/>
    <cellStyle name="60% - Énfasis6 17" xfId="883" xr:uid="{916D7D6C-E27A-4F32-AEDB-3BABFF28FAF8}"/>
    <cellStyle name="60% - Énfasis6 17 2" xfId="2205" xr:uid="{DA424CF9-51C1-4165-A513-7632700B00DD}"/>
    <cellStyle name="60% - Énfasis6 17 2 2" xfId="4825" xr:uid="{6E20288C-B9CA-46BC-9BFB-3B30CABB0ED1}"/>
    <cellStyle name="60% - Énfasis6 17 3" xfId="3513" xr:uid="{8DB81177-DB3F-4989-A378-A5E2B7F9EBF7}"/>
    <cellStyle name="60% - Énfasis6 18" xfId="903" xr:uid="{2408DE05-3B01-4802-B500-14E87D45122A}"/>
    <cellStyle name="60% - Énfasis6 18 2" xfId="2225" xr:uid="{00761012-81EB-4CA3-A7B5-6D4D7A4E5754}"/>
    <cellStyle name="60% - Énfasis6 18 2 2" xfId="4845" xr:uid="{460E3285-2BE7-4B9E-806A-881CCDA33A0F}"/>
    <cellStyle name="60% - Énfasis6 18 3" xfId="3533" xr:uid="{57EFB88F-688F-4F29-AA16-AD42FC72A361}"/>
    <cellStyle name="60% - Énfasis6 19" xfId="923" xr:uid="{2687CF48-55B1-4C1C-B871-AD229005F5DF}"/>
    <cellStyle name="60% - Énfasis6 19 2" xfId="2245" xr:uid="{2B3C7755-7C35-4295-A666-70F620E7234C}"/>
    <cellStyle name="60% - Énfasis6 19 2 2" xfId="4865" xr:uid="{5EE87046-7C9E-4E7B-9238-8C18E9D5A6CC}"/>
    <cellStyle name="60% - Énfasis6 19 3" xfId="3553" xr:uid="{225DC71F-5322-4786-8116-6858966BC8C3}"/>
    <cellStyle name="60% - Énfasis6 2" xfId="583" xr:uid="{B6BC39D5-8DF6-42E4-90F1-8F24A3D98747}"/>
    <cellStyle name="60% - Énfasis6 2 2" xfId="1905" xr:uid="{CC2B1339-6F76-453A-8C28-ECB3B7275CCA}"/>
    <cellStyle name="60% - Énfasis6 2 2 2" xfId="4525" xr:uid="{E62D3281-8AE5-42A3-8F0E-2DD1D0FADC2C}"/>
    <cellStyle name="60% - Énfasis6 2 3" xfId="3213" xr:uid="{C0089576-1FBC-4D96-B868-B07206378ECB}"/>
    <cellStyle name="60% - Énfasis6 20" xfId="943" xr:uid="{AF257067-752D-46D0-B30B-88F1608690F0}"/>
    <cellStyle name="60% - Énfasis6 20 2" xfId="2265" xr:uid="{BEACCBC4-C4C7-40FA-8C9E-23CE2D60F361}"/>
    <cellStyle name="60% - Énfasis6 20 2 2" xfId="4885" xr:uid="{7639A291-BB64-4DED-8871-F7443D0ECA26}"/>
    <cellStyle name="60% - Énfasis6 20 3" xfId="3573" xr:uid="{B3713D2C-C248-4168-B5E9-7560F2ADD649}"/>
    <cellStyle name="60% - Énfasis6 21" xfId="963" xr:uid="{1A6DAE56-69A8-49C9-A8C6-4435693C856B}"/>
    <cellStyle name="60% - Énfasis6 21 2" xfId="2285" xr:uid="{6651BABA-61AC-4348-B36A-99C3CF6D3CC3}"/>
    <cellStyle name="60% - Énfasis6 21 2 2" xfId="4905" xr:uid="{90982C9C-4314-48E0-AA2E-38C0C9F36E56}"/>
    <cellStyle name="60% - Énfasis6 21 3" xfId="3593" xr:uid="{F77A4FA6-67A4-483D-8F9D-8F5C79A9A385}"/>
    <cellStyle name="60% - Énfasis6 22" xfId="983" xr:uid="{D9EC6EEE-EAC0-4B88-8CDF-07662E431B38}"/>
    <cellStyle name="60% - Énfasis6 22 2" xfId="2305" xr:uid="{DA7926AB-F75C-4280-98B8-4E85BD2A50C5}"/>
    <cellStyle name="60% - Énfasis6 22 2 2" xfId="4925" xr:uid="{7EDC0C96-6E22-4A14-AFD2-C10BE06A1428}"/>
    <cellStyle name="60% - Énfasis6 22 3" xfId="3613" xr:uid="{5046668F-A8DA-4212-8830-7F31A0D12C9C}"/>
    <cellStyle name="60% - Énfasis6 23" xfId="1003" xr:uid="{D264A808-C633-4259-BCFB-50B230E1D77F}"/>
    <cellStyle name="60% - Énfasis6 23 2" xfId="2325" xr:uid="{C47E7D24-4A2D-4DF8-9E3F-C31837E77804}"/>
    <cellStyle name="60% - Énfasis6 23 2 2" xfId="4945" xr:uid="{8B23FD4F-2D06-4363-84F2-420C5216D72A}"/>
    <cellStyle name="60% - Énfasis6 23 3" xfId="3633" xr:uid="{43A1AEA3-7521-48F2-9274-578A9DFD4C40}"/>
    <cellStyle name="60% - Énfasis6 24" xfId="1023" xr:uid="{4648E65F-69E7-43FA-82AE-5FA3F8454FCB}"/>
    <cellStyle name="60% - Énfasis6 24 2" xfId="2345" xr:uid="{6D731645-CC09-463D-A028-F4B25AB0153C}"/>
    <cellStyle name="60% - Énfasis6 24 2 2" xfId="4965" xr:uid="{DCE4EF97-4237-4E22-B071-49BB905A6D63}"/>
    <cellStyle name="60% - Énfasis6 24 3" xfId="3653" xr:uid="{9C3464B1-F3FD-4809-A126-CA37E8C6AC03}"/>
    <cellStyle name="60% - Énfasis6 25" xfId="1043" xr:uid="{85FD0663-0303-423F-85BB-60A8A53A89E1}"/>
    <cellStyle name="60% - Énfasis6 25 2" xfId="2365" xr:uid="{651E9ABE-5116-49F7-94C3-105600616089}"/>
    <cellStyle name="60% - Énfasis6 25 2 2" xfId="4985" xr:uid="{B7B55BCB-AC92-4F6C-9CFB-0CAE3849CB06}"/>
    <cellStyle name="60% - Énfasis6 25 3" xfId="3673" xr:uid="{9B92B73C-6029-462E-A63B-9B56BAFA50A2}"/>
    <cellStyle name="60% - Énfasis6 26" xfId="1143" xr:uid="{54BF8B21-30EB-4E0F-A65B-0F5A2BC3CC61}"/>
    <cellStyle name="60% - Énfasis6 26 2" xfId="2465" xr:uid="{94424E20-C2A2-4005-8D88-3334B195EBF4}"/>
    <cellStyle name="60% - Énfasis6 26 2 2" xfId="5085" xr:uid="{BCAB126D-F34C-4349-A7A6-26172AE22F5D}"/>
    <cellStyle name="60% - Énfasis6 26 3" xfId="3773" xr:uid="{89AD4361-CDD4-450B-BE7A-E30971F6732E}"/>
    <cellStyle name="60% - Énfasis6 27" xfId="1163" xr:uid="{D5F05B31-E548-4B01-A40D-7B10FDAC4B70}"/>
    <cellStyle name="60% - Énfasis6 27 2" xfId="2485" xr:uid="{36D92808-E003-4FBC-846D-118C1C611580}"/>
    <cellStyle name="60% - Énfasis6 27 2 2" xfId="5105" xr:uid="{F62FBE04-977C-47CC-9572-5FB836BD0C26}"/>
    <cellStyle name="60% - Énfasis6 27 3" xfId="3793" xr:uid="{9F1403AF-C5F6-42E7-B57E-16762A37A340}"/>
    <cellStyle name="60% - Énfasis6 28" xfId="1183" xr:uid="{8E72D726-12F8-4679-80E0-61F04947E0C7}"/>
    <cellStyle name="60% - Énfasis6 28 2" xfId="2505" xr:uid="{16E47F25-C497-4AD9-933C-01C80D7C8D16}"/>
    <cellStyle name="60% - Énfasis6 28 2 2" xfId="5125" xr:uid="{1138310E-34C1-45AE-AF22-FAD1E9C4E936}"/>
    <cellStyle name="60% - Énfasis6 28 3" xfId="3813" xr:uid="{17542DDA-5588-4B1F-B107-E06E97E2023C}"/>
    <cellStyle name="60% - Énfasis6 29" xfId="1203" xr:uid="{DB506D0A-A67A-46BB-8A8B-F8B5BD61B6EA}"/>
    <cellStyle name="60% - Énfasis6 29 2" xfId="2525" xr:uid="{D691A1C0-76BC-4EC7-9E15-CA1C7F53CF58}"/>
    <cellStyle name="60% - Énfasis6 29 2 2" xfId="5145" xr:uid="{F7DA53CF-3BAD-4D7C-8596-43B062217E0D}"/>
    <cellStyle name="60% - Énfasis6 29 3" xfId="3833" xr:uid="{B2B46B08-EC63-42C2-A966-8BCBC32319D6}"/>
    <cellStyle name="60% - Énfasis6 3" xfId="603" xr:uid="{5CF504BA-5AA3-4282-AF21-607638371B05}"/>
    <cellStyle name="60% - Énfasis6 3 2" xfId="1925" xr:uid="{6C4AFE09-5B0A-401D-8168-A8CB2486933E}"/>
    <cellStyle name="60% - Énfasis6 3 2 2" xfId="4545" xr:uid="{CE6149B2-5ADF-4965-A038-DB9FE5145556}"/>
    <cellStyle name="60% - Énfasis6 3 3" xfId="3233" xr:uid="{FC155777-A35A-403F-AFE7-A47A21D05229}"/>
    <cellStyle name="60% - Énfasis6 30" xfId="1223" xr:uid="{668EB2EE-BDBF-44FE-AD05-3F097B6ED5A7}"/>
    <cellStyle name="60% - Énfasis6 30 2" xfId="2545" xr:uid="{9BBCD337-1464-449D-852E-42CC0078751F}"/>
    <cellStyle name="60% - Énfasis6 30 2 2" xfId="5165" xr:uid="{053B2864-FC5D-4770-B57E-7313C87CA8F8}"/>
    <cellStyle name="60% - Énfasis6 30 3" xfId="3853" xr:uid="{5C0A710F-107B-4A98-8842-BAC47E4A1D90}"/>
    <cellStyle name="60% - Énfasis6 31" xfId="1243" xr:uid="{73C29957-A363-4D5E-92CD-0720D2EEB53D}"/>
    <cellStyle name="60% - Énfasis6 31 2" xfId="2565" xr:uid="{C29395AD-7143-4A66-9562-6F12EB57CB2E}"/>
    <cellStyle name="60% - Énfasis6 31 2 2" xfId="5185" xr:uid="{48B9F904-984A-4D39-AA91-42D924B6E3A6}"/>
    <cellStyle name="60% - Énfasis6 31 3" xfId="3873" xr:uid="{6373909F-8568-4AD9-98CE-7E12F2C251E4}"/>
    <cellStyle name="60% - Énfasis6 32" xfId="1263" xr:uid="{671C70EF-BE78-4CA2-8C79-0D2815FCA1E3}"/>
    <cellStyle name="60% - Énfasis6 32 2" xfId="2585" xr:uid="{7E154B6D-E700-4E6D-B3ED-AF9EE81EB57D}"/>
    <cellStyle name="60% - Énfasis6 32 2 2" xfId="5205" xr:uid="{2B802EF3-0AD6-4628-AC14-C9F13D2E2BFF}"/>
    <cellStyle name="60% - Énfasis6 32 3" xfId="3893" xr:uid="{AD8EC763-B1E5-45AC-A67F-191AF186CB15}"/>
    <cellStyle name="60% - Énfasis6 33" xfId="1283" xr:uid="{20753BE8-1FE7-407E-ACB9-90FF506527CD}"/>
    <cellStyle name="60% - Énfasis6 33 2" xfId="2605" xr:uid="{5493A800-59AC-4F87-9F6F-4EC5DE6CFBFA}"/>
    <cellStyle name="60% - Énfasis6 33 2 2" xfId="5225" xr:uid="{AA78A937-E457-4C26-9EA9-4346EC1584A9}"/>
    <cellStyle name="60% - Énfasis6 33 3" xfId="3913" xr:uid="{52A513FD-2805-4A12-9B08-350DC5BD2B1A}"/>
    <cellStyle name="60% - Énfasis6 34" xfId="1303" xr:uid="{875B8AD1-B7D2-46D4-BA67-A2AC70B5DF79}"/>
    <cellStyle name="60% - Énfasis6 34 2" xfId="2625" xr:uid="{0C980725-124D-4EED-9F2B-E4539DBC0C54}"/>
    <cellStyle name="60% - Énfasis6 34 2 2" xfId="5245" xr:uid="{CC9D7B28-951F-4979-90B7-78CFD32993BA}"/>
    <cellStyle name="60% - Énfasis6 34 3" xfId="3933" xr:uid="{F4B73C5B-619B-4B69-B0C6-F5E27EB94A6F}"/>
    <cellStyle name="60% - Énfasis6 35" xfId="1323" xr:uid="{4DF2EF62-5AED-4965-B03D-EC1A59DCFBFA}"/>
    <cellStyle name="60% - Énfasis6 35 2" xfId="2645" xr:uid="{E5BEE7B5-C98B-4AE4-99CD-52016A92F329}"/>
    <cellStyle name="60% - Énfasis6 35 2 2" xfId="5265" xr:uid="{6FBBFA42-BFEA-4393-8670-DA224F2C3C8A}"/>
    <cellStyle name="60% - Énfasis6 35 3" xfId="3953" xr:uid="{84854ED1-91AA-4BFF-AB02-F21587553AA4}"/>
    <cellStyle name="60% - Énfasis6 36" xfId="1361" xr:uid="{ABED05E0-5EAB-4706-AA4B-7CFD72B26339}"/>
    <cellStyle name="60% - Énfasis6 36 2" xfId="3983" xr:uid="{767F83D2-389B-4769-A1F4-244563D562E1}"/>
    <cellStyle name="60% - Énfasis6 37" xfId="2671" xr:uid="{668BE3E4-E808-4A53-89D6-6A9CE0FA8082}"/>
    <cellStyle name="60% - Énfasis6 4" xfId="623" xr:uid="{11E95165-50D6-4638-84CC-2BDBC883F48A}"/>
    <cellStyle name="60% - Énfasis6 4 2" xfId="1945" xr:uid="{9E9F7DF5-4333-4029-AF69-89ABEA84710D}"/>
    <cellStyle name="60% - Énfasis6 4 2 2" xfId="4565" xr:uid="{3B08F6E9-41FE-463E-B761-41AD1164E8F8}"/>
    <cellStyle name="60% - Énfasis6 4 3" xfId="3253" xr:uid="{EE049F9C-EE15-452C-9980-A6D214EE7A64}"/>
    <cellStyle name="60% - Énfasis6 5" xfId="643" xr:uid="{110C3239-C9B0-4849-9A8E-8D15B2578DAA}"/>
    <cellStyle name="60% - Énfasis6 5 2" xfId="1965" xr:uid="{D264BD25-7C1C-4E2C-8EB9-728DD7EF7D6D}"/>
    <cellStyle name="60% - Énfasis6 5 2 2" xfId="4585" xr:uid="{8566A4BC-4247-4F0E-8510-779AE37ED5BC}"/>
    <cellStyle name="60% - Énfasis6 5 3" xfId="3273" xr:uid="{CA2F3696-227A-41CE-8976-7426CF839D49}"/>
    <cellStyle name="60% - Énfasis6 6" xfId="663" xr:uid="{3CC43BE4-EDBF-497D-ABE3-5204006EFB6A}"/>
    <cellStyle name="60% - Énfasis6 6 2" xfId="1985" xr:uid="{C73723FA-36C9-4FAD-BFBE-9476D3370CDF}"/>
    <cellStyle name="60% - Énfasis6 6 2 2" xfId="4605" xr:uid="{861130B3-BD0E-40A3-8049-798A68C225BC}"/>
    <cellStyle name="60% - Énfasis6 6 3" xfId="3293" xr:uid="{3C16743E-50C5-470D-AA41-83E490EAE970}"/>
    <cellStyle name="60% - Énfasis6 7" xfId="683" xr:uid="{CAC6B7CF-C145-42AE-AE8F-A9A6444B3651}"/>
    <cellStyle name="60% - Énfasis6 7 2" xfId="2005" xr:uid="{F23ACD90-BC84-4E51-8C26-65FD54D82406}"/>
    <cellStyle name="60% - Énfasis6 7 2 2" xfId="4625" xr:uid="{4BA5B674-BF9B-47C1-8227-1982310FEFF3}"/>
    <cellStyle name="60% - Énfasis6 7 3" xfId="3313" xr:uid="{DAD04FD0-1D42-41F2-8103-101E3AABCB05}"/>
    <cellStyle name="60% - Énfasis6 8" xfId="703" xr:uid="{59387618-A0BF-4A86-8477-F369AE9611FF}"/>
    <cellStyle name="60% - Énfasis6 8 2" xfId="2025" xr:uid="{0A456F3D-3F94-4829-90ED-D1D6EE1C8BF2}"/>
    <cellStyle name="60% - Énfasis6 8 2 2" xfId="4645" xr:uid="{5F8F329C-F41D-43F1-9AB1-2D291737407A}"/>
    <cellStyle name="60% - Énfasis6 8 3" xfId="3333" xr:uid="{6AC72280-7050-4C9C-9491-82BECBABDFBD}"/>
    <cellStyle name="60% - Énfasis6 9" xfId="723" xr:uid="{685B6888-3669-4322-AC4B-FCD2DF5F2648}"/>
    <cellStyle name="60% - Énfasis6 9 2" xfId="2045" xr:uid="{FD3DDE41-0688-48F1-82AB-B4A23FF65DD6}"/>
    <cellStyle name="60% - Énfasis6 9 2 2" xfId="4665" xr:uid="{F97AED99-FEF5-4EF4-BEAA-957A83A09A63}"/>
    <cellStyle name="60% - Énfasis6 9 3" xfId="3353" xr:uid="{1B086DE9-478D-4A33-B59C-AA25CA8CBDD3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Estilo 1" xfId="1343" xr:uid="{0B6934E0-20ED-466E-A255-962B2F4BDA96}"/>
    <cellStyle name="Incorrecto" xfId="7" builtinId="27" customBuiltin="1"/>
    <cellStyle name="Millares" xfId="1332" builtinId="3"/>
    <cellStyle name="Millares 2" xfId="1327" xr:uid="{FBA706DC-2662-41B8-A7C3-72A3216EB6F5}"/>
    <cellStyle name="Millares 2 2" xfId="1339" xr:uid="{0B90AE80-86A2-4502-8CBF-D93CC8D6E947}"/>
    <cellStyle name="Millares 2 3" xfId="2647" xr:uid="{8E850872-40E6-44B4-901E-9ACF897886CD}"/>
    <cellStyle name="Millares 2 3 2" xfId="5267" xr:uid="{0A9F4FFD-250E-4479-BBBA-E389BA443D0E}"/>
    <cellStyle name="Millares 2 4" xfId="1338" xr:uid="{1FFD3683-33CA-4DBC-A9FB-96CFBBB2379D}"/>
    <cellStyle name="Millares 2 4 2" xfId="3964" xr:uid="{C62F8A9B-B73B-4721-8460-94231B6D22A2}"/>
    <cellStyle name="Millares 2 5" xfId="3955" xr:uid="{9CDDA37D-1793-4446-870C-E3BB2C98AD33}"/>
    <cellStyle name="Millares 3" xfId="1331" xr:uid="{F11A8667-D469-44F5-ACFE-1C0C1BAF2365}"/>
    <cellStyle name="Millares 3 2" xfId="2651" xr:uid="{BE4BDCB2-773E-4A55-982F-E021EF987202}"/>
    <cellStyle name="Millares 3 2 2" xfId="5271" xr:uid="{2AAF70CA-979B-4267-8247-0AA569337C11}"/>
    <cellStyle name="Millares 3 3" xfId="3959" xr:uid="{D37ECBD8-66CE-4272-A8C6-1D7AA98DCEDC}"/>
    <cellStyle name="Millares 4" xfId="2652" xr:uid="{69BCE0AE-75F4-4374-9BE1-4454065DCB2F}"/>
    <cellStyle name="Millares 4 2" xfId="5272" xr:uid="{5EEA1AC9-3F3F-453C-9EF6-A603BBBBF1C0}"/>
    <cellStyle name="Millares 5" xfId="1337" xr:uid="{806B7AF9-572D-483A-82D6-E08B9D58B180}"/>
    <cellStyle name="Millares 5 2" xfId="3963" xr:uid="{D8E5A5B9-CB7E-40F4-A7FF-768A63C2B622}"/>
    <cellStyle name="Millares 6" xfId="3960" xr:uid="{E0452603-3B55-4884-B59B-7B63B2290E32}"/>
    <cellStyle name="Neutral" xfId="8" builtinId="28" customBuiltin="1"/>
    <cellStyle name="Normal" xfId="0" builtinId="0"/>
    <cellStyle name="Normal 10" xfId="184" xr:uid="{03A4319F-93AC-4614-AF18-E5FFBB49A8B9}"/>
    <cellStyle name="Normal 10 2" xfId="1506" xr:uid="{962D0670-6BE6-4A9A-8AC1-7EDF5A433A3A}"/>
    <cellStyle name="Normal 10 2 2" xfId="4126" xr:uid="{A3A60992-ABFF-47E4-8A14-9A1CEFAD5452}"/>
    <cellStyle name="Normal 10 3" xfId="2814" xr:uid="{6DF3AB0A-53C8-4BA5-8268-43FB9C784B63}"/>
    <cellStyle name="Normal 11" xfId="204" xr:uid="{719C745F-9D50-446D-8BBF-BC1911A78445}"/>
    <cellStyle name="Normal 11 2" xfId="1526" xr:uid="{07D1382D-4E9B-449D-84E2-66A8E58BE51A}"/>
    <cellStyle name="Normal 11 2 2" xfId="4146" xr:uid="{EFBC9CBA-6AE5-460F-B8B2-8D3327AA3B3B}"/>
    <cellStyle name="Normal 11 3" xfId="2834" xr:uid="{7A153736-8486-4E90-8452-E76A43E59C54}"/>
    <cellStyle name="Normal 12" xfId="224" xr:uid="{E8279F3D-6312-4F1E-BDFA-37B0D0C69C33}"/>
    <cellStyle name="Normal 12 2" xfId="1546" xr:uid="{867B899D-9329-4455-A1BB-3867798EC2A2}"/>
    <cellStyle name="Normal 12 2 2" xfId="4166" xr:uid="{5C4DE2D8-4313-46F3-A9C2-DB3707723928}"/>
    <cellStyle name="Normal 12 3" xfId="2854" xr:uid="{EC2D9480-DCFE-4BB5-9777-F8689D790B5B}"/>
    <cellStyle name="Normal 13" xfId="244" xr:uid="{8802E15D-9648-49B5-88E4-6E844D435A8C}"/>
    <cellStyle name="Normal 13 2" xfId="1566" xr:uid="{98C52630-D178-4CE5-90BE-E5245DC17F7A}"/>
    <cellStyle name="Normal 13 2 2" xfId="4186" xr:uid="{DE9928FE-D6B5-43B4-9121-9C122910826B}"/>
    <cellStyle name="Normal 13 3" xfId="2874" xr:uid="{628B120A-EB81-482B-BE88-D29A8A73697F}"/>
    <cellStyle name="Normal 14" xfId="264" xr:uid="{E9B035F8-5910-4369-BD7E-00B8B3A81FC4}"/>
    <cellStyle name="Normal 14 2" xfId="1586" xr:uid="{A8ADC5A1-14C7-4BE3-AF4B-6642E0BE8F6A}"/>
    <cellStyle name="Normal 14 2 2" xfId="4206" xr:uid="{52ED0DDA-FC3E-4750-95B1-EFE6BF77B8D8}"/>
    <cellStyle name="Normal 14 3" xfId="2894" xr:uid="{47649414-04CB-4AD5-8124-2A7967968F3C}"/>
    <cellStyle name="Normal 15" xfId="284" xr:uid="{821E88C0-DD19-4358-9A1A-A0E4B44DE758}"/>
    <cellStyle name="Normal 15 2" xfId="1606" xr:uid="{ED451BB7-E990-4FC9-94A6-5A8FD30D292D}"/>
    <cellStyle name="Normal 15 2 2" xfId="4226" xr:uid="{87CD7713-339D-4719-A9CB-F0B742720BDD}"/>
    <cellStyle name="Normal 15 3" xfId="2914" xr:uid="{95E61185-8DD3-494E-B66F-C7CAFD9D9788}"/>
    <cellStyle name="Normal 16" xfId="304" xr:uid="{682C0C49-0656-4F31-95B0-72F761EBFB53}"/>
    <cellStyle name="Normal 16 2" xfId="1626" xr:uid="{53213430-9646-44DE-93AB-9E3699855F4E}"/>
    <cellStyle name="Normal 16 2 2" xfId="4246" xr:uid="{A2E6985C-0867-49AD-8A0E-CD1A14FC2EC3}"/>
    <cellStyle name="Normal 16 3" xfId="2934" xr:uid="{AD64A9BF-E32E-4BA8-BC46-2419EB225318}"/>
    <cellStyle name="Normal 17" xfId="324" xr:uid="{58D94A86-B9A0-4D12-960A-246987715509}"/>
    <cellStyle name="Normal 17 2" xfId="1646" xr:uid="{9A339382-7E6C-4829-87D4-59914383F6CC}"/>
    <cellStyle name="Normal 17 2 2" xfId="4266" xr:uid="{A029AFBA-D09E-4B64-8A6F-434753B418F5}"/>
    <cellStyle name="Normal 17 3" xfId="2954" xr:uid="{D06075D7-B4CA-467C-9894-EE98CEFFEF27}"/>
    <cellStyle name="Normal 18" xfId="344" xr:uid="{B8FA216B-4286-4EB9-B5A9-5B6D3CC00903}"/>
    <cellStyle name="Normal 18 2" xfId="1666" xr:uid="{16854810-B5F9-4E79-8335-5EF5DD8E03BF}"/>
    <cellStyle name="Normal 18 2 2" xfId="4286" xr:uid="{DE3CC405-D04F-43B9-AA99-A591B942CBEE}"/>
    <cellStyle name="Normal 18 3" xfId="2974" xr:uid="{78A628C0-7235-428C-971E-850B5AF3ACDE}"/>
    <cellStyle name="Normal 19" xfId="364" xr:uid="{7A6A8C1C-1851-420C-BD0C-9DCFBBF053BF}"/>
    <cellStyle name="Normal 19 2" xfId="1686" xr:uid="{F2A2C3CD-DA29-4DCD-8AD4-4A6DDC3FB368}"/>
    <cellStyle name="Normal 19 2 2" xfId="4306" xr:uid="{98F77DA6-369E-440C-AB64-310FC5BC2E80}"/>
    <cellStyle name="Normal 19 3" xfId="2994" xr:uid="{225286A8-6F7F-4B88-90E8-80D53B79F148}"/>
    <cellStyle name="Normal 2" xfId="41" xr:uid="{3CADD87A-B56D-4969-89EC-7DD3C25F5F02}"/>
    <cellStyle name="Normal 2 2" xfId="1326" xr:uid="{634ACAE1-8167-4C90-8AD9-F4D86CEEA8A2}"/>
    <cellStyle name="Normal 2 3" xfId="1363" xr:uid="{978A7D15-42D9-4203-A9DB-F2FB6BFBFBD6}"/>
    <cellStyle name="Normal 2 3 2" xfId="3984" xr:uid="{856DBBC1-5EB7-4D47-B3B7-7CD0AEB715D0}"/>
    <cellStyle name="Normal 2 4" xfId="2672" xr:uid="{D907C231-E70A-45A5-8A15-6823893497C8}"/>
    <cellStyle name="Normal 20" xfId="384" xr:uid="{2539BD38-58A7-485E-AD08-6D49ED39594D}"/>
    <cellStyle name="Normal 20 2" xfId="1706" xr:uid="{7DF3D3C0-0DF6-4FFF-BA0C-5EB49AB45ECF}"/>
    <cellStyle name="Normal 20 2 2" xfId="4326" xr:uid="{42FE925F-9CA1-4F01-A652-4E2BC143EF17}"/>
    <cellStyle name="Normal 20 3" xfId="3014" xr:uid="{91B4DD11-8D24-46A7-8BAA-196F0A294D43}"/>
    <cellStyle name="Normal 21" xfId="404" xr:uid="{DFF4F993-51F3-4248-8DF4-C49B7C0423F2}"/>
    <cellStyle name="Normal 21 2" xfId="1726" xr:uid="{DD2EE099-F56F-4C3F-81C1-FA0455F9D2AC}"/>
    <cellStyle name="Normal 21 2 2" xfId="4346" xr:uid="{FD2F096B-656F-42D1-BCCB-7A868E534827}"/>
    <cellStyle name="Normal 21 3" xfId="3034" xr:uid="{84904B55-83DA-4FD1-9825-0F8AD9B92445}"/>
    <cellStyle name="Normal 22" xfId="424" xr:uid="{0E235125-F239-41C5-8CE6-EA18E1BAAE34}"/>
    <cellStyle name="Normal 22 2" xfId="1746" xr:uid="{EB459210-5C4C-43CF-A680-E86C7F7B1092}"/>
    <cellStyle name="Normal 22 2 2" xfId="4366" xr:uid="{70C9CC63-A029-49B1-BE5B-A555F8FFDF6E}"/>
    <cellStyle name="Normal 22 3" xfId="3054" xr:uid="{85B3A059-3567-4707-B2A5-8C7C49D398E0}"/>
    <cellStyle name="Normal 23" xfId="444" xr:uid="{75CE8D5B-2459-4C57-9319-A3F58DA41F66}"/>
    <cellStyle name="Normal 23 2" xfId="1766" xr:uid="{65D0D465-0AF5-4470-B74F-B23CD57773F2}"/>
    <cellStyle name="Normal 23 2 2" xfId="4386" xr:uid="{4FA23C94-2404-4ECF-AA0C-8ED5C5445D24}"/>
    <cellStyle name="Normal 23 3" xfId="3074" xr:uid="{0F9F07C5-F173-4148-B014-F946B504CAF7}"/>
    <cellStyle name="Normal 24" xfId="464" xr:uid="{E3631448-EA70-4811-AE44-49CEA7002076}"/>
    <cellStyle name="Normal 24 2" xfId="1786" xr:uid="{66701628-7E54-4C3A-8B75-91499AFA397A}"/>
    <cellStyle name="Normal 24 2 2" xfId="4406" xr:uid="{CC6BF0E8-840B-4DF3-95F2-2E334243A92A}"/>
    <cellStyle name="Normal 24 3" xfId="3094" xr:uid="{F2670147-6073-40A7-8125-DB18E0EC5941}"/>
    <cellStyle name="Normal 25" xfId="484" xr:uid="{000F915F-B31F-46FD-9B18-EADA9485F09D}"/>
    <cellStyle name="Normal 25 2" xfId="1806" xr:uid="{947BF146-1794-4D6C-8B87-8A35182BCE23}"/>
    <cellStyle name="Normal 25 2 2" xfId="4426" xr:uid="{62AEDB38-03BE-4BD0-B0AA-67EFF58055B4}"/>
    <cellStyle name="Normal 25 3" xfId="3114" xr:uid="{A067E088-13B7-4A95-8698-7F0357C25BE6}"/>
    <cellStyle name="Normal 26" xfId="504" xr:uid="{ABD2A917-605E-452C-81B9-AA952DDEC24D}"/>
    <cellStyle name="Normal 26 2" xfId="1826" xr:uid="{048AA589-EDA1-4A8C-B316-4A77AD6D9466}"/>
    <cellStyle name="Normal 26 2 2" xfId="4446" xr:uid="{79636D36-73D7-4EC7-AD2E-E4481E242A5F}"/>
    <cellStyle name="Normal 26 3" xfId="3134" xr:uid="{0DB2F2E1-EBD4-4D1F-9BC7-40F600527EDB}"/>
    <cellStyle name="Normal 27" xfId="524" xr:uid="{A60B3682-F1E6-4E17-A56B-2DCFDF752F17}"/>
    <cellStyle name="Normal 27 2" xfId="1846" xr:uid="{C948068A-DD20-4F27-9AB3-8906A6A0506E}"/>
    <cellStyle name="Normal 27 2 2" xfId="4466" xr:uid="{FDF86690-F249-41D2-9DB6-761216874229}"/>
    <cellStyle name="Normal 27 3" xfId="3154" xr:uid="{FC87781E-F814-4B4E-A41C-4ED8D2B2D06B}"/>
    <cellStyle name="Normal 28" xfId="544" xr:uid="{892A9D2C-1FAC-471C-8443-7C2BF9840C1F}"/>
    <cellStyle name="Normal 28 2" xfId="1866" xr:uid="{DE8E11A4-E936-426A-9979-B6CC54137258}"/>
    <cellStyle name="Normal 28 2 2" xfId="4486" xr:uid="{E675BDA8-5BF0-4964-98E9-1F57F7A76565}"/>
    <cellStyle name="Normal 28 3" xfId="3174" xr:uid="{800740D6-89B6-446C-A34C-2F997E8A417A}"/>
    <cellStyle name="Normal 29" xfId="564" xr:uid="{B21FB079-AD56-489C-8037-C9DCE9F80968}"/>
    <cellStyle name="Normal 29 2" xfId="1886" xr:uid="{3F9E3F52-18D3-4AE4-B46D-56E2EFCCE0D0}"/>
    <cellStyle name="Normal 29 2 2" xfId="4506" xr:uid="{ACCCAFD6-EA17-4EB1-A44E-056B653B75BB}"/>
    <cellStyle name="Normal 29 3" xfId="3194" xr:uid="{D8C449F8-8746-4C97-B040-EC956CF72272}"/>
    <cellStyle name="Normal 3" xfId="43" xr:uid="{0F9AA702-9505-43F4-9953-F47C2765E596}"/>
    <cellStyle name="Normal 3 2" xfId="1365" xr:uid="{E30D9839-8FC5-47B3-8B68-324A1550C0F3}"/>
    <cellStyle name="Normal 3 2 2" xfId="3986" xr:uid="{3C62E9A9-0040-4375-888F-BC2E08A87379}"/>
    <cellStyle name="Normal 3 3" xfId="1340" xr:uid="{152520AE-4BCD-4C64-9CD5-EC1DC88A17B7}"/>
    <cellStyle name="Normal 3 4" xfId="2674" xr:uid="{5EB613A9-7140-4BE8-B6D4-07B898524A55}"/>
    <cellStyle name="Normal 30" xfId="584" xr:uid="{B023B94E-E34F-41B1-9E30-68B2F1B1959E}"/>
    <cellStyle name="Normal 30 2" xfId="1906" xr:uid="{5EB99433-DAAF-4C66-8E08-D14C9A88F408}"/>
    <cellStyle name="Normal 30 2 2" xfId="4526" xr:uid="{4778CB57-9889-4BDD-8129-F6BD613992A8}"/>
    <cellStyle name="Normal 30 3" xfId="3214" xr:uid="{9F7E1608-D431-40B4-BAFA-E4766EE910E7}"/>
    <cellStyle name="Normal 31" xfId="604" xr:uid="{5CACD83B-3540-4EEC-A9DA-63760D019E8B}"/>
    <cellStyle name="Normal 31 2" xfId="1926" xr:uid="{A3DA08B9-E5F7-48CE-B1D5-832B9919FF2A}"/>
    <cellStyle name="Normal 31 2 2" xfId="4546" xr:uid="{9DAFBEDD-C057-4CB4-A617-DC653CCCE9A6}"/>
    <cellStyle name="Normal 31 3" xfId="3234" xr:uid="{AFA03565-E96D-4E0D-A59D-F0EA9A11F688}"/>
    <cellStyle name="Normal 32" xfId="624" xr:uid="{B57A8F54-9047-4A05-8638-4E90E88DD0D9}"/>
    <cellStyle name="Normal 32 2" xfId="1946" xr:uid="{DD9F7E8B-A714-48F9-BE32-713FB521E87C}"/>
    <cellStyle name="Normal 32 2 2" xfId="4566" xr:uid="{AC36369B-1D91-4B12-A772-1F6C411C2822}"/>
    <cellStyle name="Normal 32 3" xfId="3254" xr:uid="{44EB21AD-1046-40CF-B26A-3A5F6980D0E9}"/>
    <cellStyle name="Normal 33" xfId="644" xr:uid="{F11476C3-51AB-40CC-A51A-35F4262041AE}"/>
    <cellStyle name="Normal 33 2" xfId="1966" xr:uid="{51080625-5556-467A-A587-28DBF47262C7}"/>
    <cellStyle name="Normal 33 2 2" xfId="4586" xr:uid="{6B2FEE1C-6971-4095-8664-C071B138DFF0}"/>
    <cellStyle name="Normal 33 3" xfId="3274" xr:uid="{48A84BCE-2347-4400-AC9C-5ABF24BDE451}"/>
    <cellStyle name="Normal 34" xfId="664" xr:uid="{0E64CFF6-4BE7-4C8F-929D-2C6B3655830B}"/>
    <cellStyle name="Normal 34 2" xfId="1986" xr:uid="{865F6B56-639E-42BF-853B-5316CA1EA48F}"/>
    <cellStyle name="Normal 34 2 2" xfId="4606" xr:uid="{D5C6837B-9542-4E5A-A00A-8ADB54A21E9A}"/>
    <cellStyle name="Normal 34 3" xfId="3294" xr:uid="{9E2D258A-BE40-4551-A62E-DEDCBC93348A}"/>
    <cellStyle name="Normal 35" xfId="684" xr:uid="{6DCB0E11-2081-4DB9-A7E9-63B2DD6A3C6B}"/>
    <cellStyle name="Normal 35 2" xfId="2006" xr:uid="{910C6FF5-BC47-494B-BE18-E85D52C783D7}"/>
    <cellStyle name="Normal 35 2 2" xfId="4626" xr:uid="{22CC5434-105B-4DEA-A3DE-A4BB384B811D}"/>
    <cellStyle name="Normal 35 3" xfId="3314" xr:uid="{570762F0-C2DD-47CC-A23F-FE52C92E7591}"/>
    <cellStyle name="Normal 36" xfId="704" xr:uid="{B1F5CFBC-B08E-4656-BCAD-439E43F6370F}"/>
    <cellStyle name="Normal 36 2" xfId="2026" xr:uid="{8F71DCD0-9FC4-4388-AC7C-9ED19C7256C3}"/>
    <cellStyle name="Normal 36 2 2" xfId="4646" xr:uid="{C17407BF-0C93-41AB-9A0F-8EA05258753B}"/>
    <cellStyle name="Normal 36 3" xfId="3334" xr:uid="{8306165A-D016-4FEB-A9BC-ECFECE23A5E5}"/>
    <cellStyle name="Normal 37" xfId="724" xr:uid="{5B9B0419-3B27-4C62-BF6A-106A00701F41}"/>
    <cellStyle name="Normal 37 2" xfId="2046" xr:uid="{0712F532-DAC8-4138-8F4F-8373E9C41681}"/>
    <cellStyle name="Normal 37 2 2" xfId="4666" xr:uid="{A869D300-6622-46B4-B924-4F9A181BE97F}"/>
    <cellStyle name="Normal 37 3" xfId="3354" xr:uid="{4F872439-074E-4711-8F97-4126982065CA}"/>
    <cellStyle name="Normal 38" xfId="744" xr:uid="{92D58D11-D4F2-4523-970E-E89AD3E54640}"/>
    <cellStyle name="Normal 38 2" xfId="2066" xr:uid="{A9637965-6580-4D65-9055-CB637CD6E191}"/>
    <cellStyle name="Normal 38 2 2" xfId="4686" xr:uid="{0E04843D-F5DE-4536-AB23-635E036A687F}"/>
    <cellStyle name="Normal 38 3" xfId="3374" xr:uid="{4E98FD6A-7934-4A38-981A-7A74D52C50FB}"/>
    <cellStyle name="Normal 39" xfId="764" xr:uid="{DA122051-0D12-4C01-B610-47A6A7FFEB3B}"/>
    <cellStyle name="Normal 39 2" xfId="2086" xr:uid="{D56729BF-A4F3-4536-9515-D47F42092AEA}"/>
    <cellStyle name="Normal 39 2 2" xfId="4706" xr:uid="{B20B82B2-E564-4576-AA43-CD28AF6140D7}"/>
    <cellStyle name="Normal 39 3" xfId="3394" xr:uid="{488DEEF2-AC88-446C-8CB2-2C1D94244B74}"/>
    <cellStyle name="Normal 4" xfId="63" xr:uid="{93C600B1-2D56-434E-B10E-130A54E6A447}"/>
    <cellStyle name="Normal 4 2" xfId="1385" xr:uid="{6BF39AF0-9439-4AEC-B11D-36F50D3919E8}"/>
    <cellStyle name="Normal 4 2 2" xfId="4006" xr:uid="{DCE716AD-F9B6-42C4-82E7-18D7DB1870E8}"/>
    <cellStyle name="Normal 4 3" xfId="2694" xr:uid="{62570DAA-A609-4C05-A7BD-96F57EB4A2D0}"/>
    <cellStyle name="Normal 40" xfId="784" xr:uid="{BBDE7755-BD57-4AED-B75C-DC652DCDA50D}"/>
    <cellStyle name="Normal 40 2" xfId="2106" xr:uid="{84E6744E-C184-41D1-9F32-2434FDDB3721}"/>
    <cellStyle name="Normal 40 2 2" xfId="4726" xr:uid="{385391A8-4E59-43D8-B50C-14FB31772CB1}"/>
    <cellStyle name="Normal 40 3" xfId="3414" xr:uid="{ED8CCF36-9E38-455F-9459-88F47CC00FA9}"/>
    <cellStyle name="Normal 41" xfId="804" xr:uid="{91C67906-A6C6-4AA2-9DB0-C4A7589EAFC4}"/>
    <cellStyle name="Normal 41 2" xfId="2126" xr:uid="{2875067E-7CE0-483E-80EE-E448F1C4ECD8}"/>
    <cellStyle name="Normal 41 2 2" xfId="4746" xr:uid="{F312E286-F89A-4CEC-A182-601D1577D6D1}"/>
    <cellStyle name="Normal 41 3" xfId="3434" xr:uid="{D36966BC-D079-4961-8F50-73DE0AA2E727}"/>
    <cellStyle name="Normal 42" xfId="824" xr:uid="{3306FA1B-E50B-4801-8E10-15186057A0DC}"/>
    <cellStyle name="Normal 42 2" xfId="2146" xr:uid="{B014E62E-7FC9-4CA8-86B4-BFA4A853BB5C}"/>
    <cellStyle name="Normal 42 2 2" xfId="4766" xr:uid="{B5E76998-3657-4C72-ABF3-0E56B4010230}"/>
    <cellStyle name="Normal 42 3" xfId="3454" xr:uid="{2DE21FFC-CE89-48AC-B804-6947AB005777}"/>
    <cellStyle name="Normal 43" xfId="844" xr:uid="{AB875F52-8E7B-48C8-A6CC-0CE6E805FBEF}"/>
    <cellStyle name="Normal 43 2" xfId="2166" xr:uid="{AD347681-894F-417C-8133-C7526A37A170}"/>
    <cellStyle name="Normal 43 2 2" xfId="4786" xr:uid="{A67C50AB-FEA4-4046-B129-E1E83C100EEE}"/>
    <cellStyle name="Normal 43 3" xfId="3474" xr:uid="{4BDDB77E-5D85-4B0F-9FFF-C1D34EA1246A}"/>
    <cellStyle name="Normal 44" xfId="864" xr:uid="{484CE700-A355-44B8-864F-1D9489F3EA83}"/>
    <cellStyle name="Normal 44 2" xfId="2186" xr:uid="{AE114B2D-7090-4BF2-9C70-4D758F4F88A9}"/>
    <cellStyle name="Normal 44 2 2" xfId="4806" xr:uid="{A537F29E-F7EB-4064-8AD3-5FBF026AC27C}"/>
    <cellStyle name="Normal 44 3" xfId="3494" xr:uid="{A33058C8-FB78-452C-91A1-2874B7A54F51}"/>
    <cellStyle name="Normal 45" xfId="884" xr:uid="{D8C368A2-7925-4F4E-816C-EC639FF81930}"/>
    <cellStyle name="Normal 45 2" xfId="2206" xr:uid="{D021E246-12B5-41EE-A359-78FF071E1549}"/>
    <cellStyle name="Normal 45 2 2" xfId="4826" xr:uid="{06AF542F-0AF1-4AEB-8FB7-B7D5F828F8E6}"/>
    <cellStyle name="Normal 45 3" xfId="3514" xr:uid="{3D9E6821-8F99-49EC-AA92-E823B7F9DBE2}"/>
    <cellStyle name="Normal 46" xfId="904" xr:uid="{04449CA0-DF38-4766-A60F-7D3AF0141361}"/>
    <cellStyle name="Normal 46 2" xfId="2226" xr:uid="{0825AF36-ACC1-4AB0-BC51-D71824E430AE}"/>
    <cellStyle name="Normal 46 2 2" xfId="4846" xr:uid="{3938FBE8-E6A2-4CE8-871C-00A875D3500B}"/>
    <cellStyle name="Normal 46 3" xfId="3534" xr:uid="{F2D43306-8727-419B-97FB-CBAD8CC29179}"/>
    <cellStyle name="Normal 47" xfId="924" xr:uid="{8F93E83A-FE6F-4BD2-B9DA-69E8CB69EEB1}"/>
    <cellStyle name="Normal 47 2" xfId="2246" xr:uid="{2B1FB688-8A27-45DA-9112-984D4839E5EF}"/>
    <cellStyle name="Normal 47 2 2" xfId="4866" xr:uid="{53F8225C-9B6F-44BA-B588-63D8F551E1F2}"/>
    <cellStyle name="Normal 47 3" xfId="3554" xr:uid="{317AE387-9C18-4DD7-A002-C9B838A941E7}"/>
    <cellStyle name="Normal 48" xfId="944" xr:uid="{5CB4A970-640B-4166-A328-8CDB46EC84CE}"/>
    <cellStyle name="Normal 48 2" xfId="2266" xr:uid="{AE354799-F186-46BA-A3F9-C03E0AE3B144}"/>
    <cellStyle name="Normal 48 2 2" xfId="4886" xr:uid="{23721FFD-1C2F-44EC-9E2A-9181FA526F95}"/>
    <cellStyle name="Normal 48 3" xfId="3574" xr:uid="{7859FEAF-655D-4299-B647-2E05ED44D109}"/>
    <cellStyle name="Normal 49" xfId="964" xr:uid="{409BDE2D-55D2-4F4B-8501-BCDD2C59FE3C}"/>
    <cellStyle name="Normal 49 2" xfId="2286" xr:uid="{3017D1DA-17E6-433E-A2FD-2B79665D0789}"/>
    <cellStyle name="Normal 49 2 2" xfId="4906" xr:uid="{B2AC6827-4DE3-4100-B154-B80BC01F56B1}"/>
    <cellStyle name="Normal 49 3" xfId="3594" xr:uid="{8E15D333-D911-445E-A921-1FA4F31DBECB}"/>
    <cellStyle name="Normal 5" xfId="84" xr:uid="{D519D47D-415B-43F6-A28A-494BB851F347}"/>
    <cellStyle name="Normal 5 2" xfId="1406" xr:uid="{ED0D234E-1756-4AF0-B827-2B392B39060E}"/>
    <cellStyle name="Normal 5 2 2" xfId="4026" xr:uid="{796D240F-52A3-4724-8B18-A28C826E31B8}"/>
    <cellStyle name="Normal 5 3" xfId="2714" xr:uid="{66146127-2644-4D87-BD55-7FA61A4D193D}"/>
    <cellStyle name="Normal 50" xfId="984" xr:uid="{AF1EDE5D-DFF7-426C-9E69-3E9656EE746A}"/>
    <cellStyle name="Normal 50 2" xfId="2306" xr:uid="{DD378EC1-719B-4F8F-9ABE-4F5210025B3B}"/>
    <cellStyle name="Normal 50 2 2" xfId="4926" xr:uid="{E376CB3D-B26A-4DA5-A429-9C92C442A06E}"/>
    <cellStyle name="Normal 50 3" xfId="3614" xr:uid="{29BB1BC2-EEA1-46BD-B176-4F24D4230989}"/>
    <cellStyle name="Normal 51" xfId="1004" xr:uid="{12F827AE-F416-4B66-99F7-46E228A1D9D1}"/>
    <cellStyle name="Normal 51 2" xfId="2326" xr:uid="{FCBF7032-CEB9-445E-A9CD-167746DF0866}"/>
    <cellStyle name="Normal 51 2 2" xfId="4946" xr:uid="{A87305F8-C66C-42A2-8875-E2E510E217AF}"/>
    <cellStyle name="Normal 51 3" xfId="3634" xr:uid="{9579E29E-E1B0-41C9-8375-05E4E71B9E11}"/>
    <cellStyle name="Normal 52" xfId="1024" xr:uid="{B95A0DF0-AA4E-4EE8-A112-E52DF3BD7C44}"/>
    <cellStyle name="Normal 52 2" xfId="2346" xr:uid="{0978A8DD-0796-4684-BBC5-FF617E36B43B}"/>
    <cellStyle name="Normal 52 2 2" xfId="4966" xr:uid="{04D0AC4F-FDCA-406D-90DD-94F335A31261}"/>
    <cellStyle name="Normal 52 3" xfId="3654" xr:uid="{402CD927-178B-41DD-B4A5-E3032B870916}"/>
    <cellStyle name="Normal 53" xfId="1044" xr:uid="{EB35602A-2104-4367-A48C-4072D7A555FE}"/>
    <cellStyle name="Normal 53 2" xfId="2366" xr:uid="{4E6E98F2-C54E-46DC-AF03-A73714323B79}"/>
    <cellStyle name="Normal 53 2 2" xfId="4986" xr:uid="{31AAE4AC-5094-4A7A-85CA-37E5782A3B9A}"/>
    <cellStyle name="Normal 53 3" xfId="3674" xr:uid="{63373D10-962E-4403-8CCB-826572C25BF5}"/>
    <cellStyle name="Normal 54" xfId="1064" xr:uid="{B7897DF1-B6EA-4FF5-868C-461CAE08FA15}"/>
    <cellStyle name="Normal 54 2" xfId="2386" xr:uid="{AA0F2581-8571-481C-BFE4-C51032586EB7}"/>
    <cellStyle name="Normal 54 2 2" xfId="5006" xr:uid="{428C16F8-5AEE-43E6-9F3B-7FF1224C2950}"/>
    <cellStyle name="Normal 54 3" xfId="3694" xr:uid="{B327FA2C-643E-45C2-98B1-FC8959DFE9E9}"/>
    <cellStyle name="Normal 55" xfId="1084" xr:uid="{B689021E-AB09-4E1C-8DB7-FEC8F16BF6F8}"/>
    <cellStyle name="Normal 55 2" xfId="2406" xr:uid="{51B15826-E8FE-4BE8-B5BB-E50B5E440043}"/>
    <cellStyle name="Normal 55 2 2" xfId="5026" xr:uid="{1233E06A-4370-4215-B975-33D5DB474F4D}"/>
    <cellStyle name="Normal 55 3" xfId="3714" xr:uid="{6337CB66-F383-4CDB-8891-F71EC01EF5CD}"/>
    <cellStyle name="Normal 56" xfId="1104" xr:uid="{DD039635-977D-44F0-8DA9-81BCB9795A1C}"/>
    <cellStyle name="Normal 56 2" xfId="2426" xr:uid="{F0799C6C-17B7-430D-B0BE-28785A81302D}"/>
    <cellStyle name="Normal 56 2 2" xfId="5046" xr:uid="{D33182B2-44B7-48CB-9B8E-4C5A05CB7D85}"/>
    <cellStyle name="Normal 56 3" xfId="3734" xr:uid="{E4A8EA5D-DD27-46B1-9BB1-4CD8D7AA3788}"/>
    <cellStyle name="Normal 57" xfId="1124" xr:uid="{06168AD4-3E5C-45F8-8F54-8827846E32F5}"/>
    <cellStyle name="Normal 57 2" xfId="2446" xr:uid="{1958D4E4-1CF5-4F1C-96E1-4FF8B2B94BA9}"/>
    <cellStyle name="Normal 57 2 2" xfId="5066" xr:uid="{F6CBAC97-0954-44EE-BE6F-BB3B77F8944B}"/>
    <cellStyle name="Normal 57 3" xfId="3754" xr:uid="{67978A71-5903-40B0-B677-3B5438DAF9BC}"/>
    <cellStyle name="Normal 58" xfId="1144" xr:uid="{0281CB6E-8122-4C33-B3E0-44BBF5E5DDEB}"/>
    <cellStyle name="Normal 58 2" xfId="2466" xr:uid="{CF16DCC7-2B5E-4365-B898-50E84AA68C4E}"/>
    <cellStyle name="Normal 58 2 2" xfId="5086" xr:uid="{2A848DB5-D995-400A-8166-6858EFB603A9}"/>
    <cellStyle name="Normal 58 3" xfId="3774" xr:uid="{31028C18-3511-4B36-B838-AF0613460A26}"/>
    <cellStyle name="Normal 59" xfId="1164" xr:uid="{B0DABE83-8EB8-4FDF-8863-BDD5C3CD680C}"/>
    <cellStyle name="Normal 59 2" xfId="2486" xr:uid="{3E8E4E77-5CF8-450D-804C-1DBD5626D620}"/>
    <cellStyle name="Normal 59 2 2" xfId="5106" xr:uid="{1A3A7621-F10F-4E45-846D-6CB18C4B2F9D}"/>
    <cellStyle name="Normal 59 3" xfId="3794" xr:uid="{DE8E5F85-1554-4725-A45F-04E89BC0EB8F}"/>
    <cellStyle name="Normal 6" xfId="104" xr:uid="{BB9DE860-DC8F-4E50-B648-06C631A735CF}"/>
    <cellStyle name="Normal 6 2" xfId="1426" xr:uid="{0B4D4BF9-DA90-4F0A-BFB2-4CA6245AD428}"/>
    <cellStyle name="Normal 6 2 2" xfId="4046" xr:uid="{4565A697-A6C4-4D11-A1E8-98F2678D08CA}"/>
    <cellStyle name="Normal 6 3" xfId="2734" xr:uid="{7F62FDAE-7DE8-4B7E-BB26-407E74DD5B82}"/>
    <cellStyle name="Normal 60" xfId="1184" xr:uid="{CDED549A-496E-47F2-B86A-3AE3AFB91D4D}"/>
    <cellStyle name="Normal 60 2" xfId="2506" xr:uid="{DDBFEF77-134B-42F4-98D6-E7700296A44C}"/>
    <cellStyle name="Normal 60 2 2" xfId="5126" xr:uid="{07D9A8DC-97B9-43AC-826D-BE8A7C8152A8}"/>
    <cellStyle name="Normal 60 3" xfId="3814" xr:uid="{9ABB2DAB-DBFD-4D7D-BE90-68F76009F6FC}"/>
    <cellStyle name="Normal 61" xfId="1204" xr:uid="{73947D79-AD09-49A3-B0CB-BC4227807A4E}"/>
    <cellStyle name="Normal 61 2" xfId="2526" xr:uid="{484C9953-AA0C-4BDC-8E52-E835A4819FDB}"/>
    <cellStyle name="Normal 61 2 2" xfId="5146" xr:uid="{25D30E69-565E-4B94-AB10-3D961E2F7378}"/>
    <cellStyle name="Normal 61 3" xfId="3834" xr:uid="{BAEAD501-05C8-41B1-9660-F027594E59A9}"/>
    <cellStyle name="Normal 62" xfId="1224" xr:uid="{4D854924-29AB-4866-AA70-D902CB229CF9}"/>
    <cellStyle name="Normal 62 2" xfId="2546" xr:uid="{51EF7846-7537-4F87-B040-13DF1772437C}"/>
    <cellStyle name="Normal 62 2 2" xfId="5166" xr:uid="{451413F8-9993-4F72-9941-D522402B13CB}"/>
    <cellStyle name="Normal 62 3" xfId="3854" xr:uid="{9539CBC5-C71C-4F50-8A2C-BFE5D1F90E62}"/>
    <cellStyle name="Normal 63" xfId="1244" xr:uid="{5345E1D3-A4CF-40B8-BD2C-7C2C90D0D7AF}"/>
    <cellStyle name="Normal 63 2" xfId="2566" xr:uid="{2EA799CD-35BA-4B7B-B31D-5A842124E7C0}"/>
    <cellStyle name="Normal 63 2 2" xfId="5186" xr:uid="{84D14C20-F43F-4B13-8B62-3D1289D9D042}"/>
    <cellStyle name="Normal 63 3" xfId="3874" xr:uid="{2FE40DF4-E05D-4CB4-B5A1-5DA5B33EB7C3}"/>
    <cellStyle name="Normal 64" xfId="1264" xr:uid="{F4DBC450-293C-460F-8968-E8ED471B26A4}"/>
    <cellStyle name="Normal 64 2" xfId="2586" xr:uid="{E94AB02B-22DF-46DC-9114-F7E5249A26B6}"/>
    <cellStyle name="Normal 64 2 2" xfId="5206" xr:uid="{D1AF2D95-604C-4025-AE23-7F5BAC28EF71}"/>
    <cellStyle name="Normal 64 3" xfId="3894" xr:uid="{0D50B25E-6CA6-4921-89DF-16969678991D}"/>
    <cellStyle name="Normal 65" xfId="1284" xr:uid="{F84A3F6D-DFBE-4651-92C9-9B91A50BCA30}"/>
    <cellStyle name="Normal 65 2" xfId="1334" xr:uid="{1410782E-DD07-46BC-AAF7-D319A314A28D}"/>
    <cellStyle name="Normal 65 2 2" xfId="2653" xr:uid="{DD18E86D-DF80-40BB-BAB3-8C1BD976C1D5}"/>
    <cellStyle name="Normal 65 2 2 2" xfId="5273" xr:uid="{3DBB3726-3C60-43AC-A219-6E1322A1CCAE}"/>
    <cellStyle name="Normal 65 2 3" xfId="3961" xr:uid="{F032F170-8543-4F72-8C21-97B97D9AF253}"/>
    <cellStyle name="Normal 65 3" xfId="2606" xr:uid="{6B5F6ABB-39F1-48AD-8061-FB638D1CA621}"/>
    <cellStyle name="Normal 65 3 2" xfId="5226" xr:uid="{3F867048-1293-451B-A2D5-CFB6CDF492AE}"/>
    <cellStyle name="Normal 65 4" xfId="3914" xr:uid="{021C86BE-1FAF-442A-AFCD-351B12E1A7A0}"/>
    <cellStyle name="Normal 66" xfId="1304" xr:uid="{633D70A9-49D8-4226-B25B-F0324505A092}"/>
    <cellStyle name="Normal 66 2" xfId="2626" xr:uid="{A9134F27-2030-452B-A70C-431BE9737868}"/>
    <cellStyle name="Normal 66 2 2" xfId="5246" xr:uid="{6DEB7A63-C354-4F45-910D-E442C70E445A}"/>
    <cellStyle name="Normal 66 3" xfId="3934" xr:uid="{842FC359-562A-471F-A057-CD66B8C612C5}"/>
    <cellStyle name="Normal 67" xfId="1325" xr:uid="{81255F6F-EBBF-4A17-B6ED-238870565381}"/>
    <cellStyle name="Normal 67 2" xfId="2646" xr:uid="{A2E218F2-D3F1-41C3-B138-19888E65E131}"/>
    <cellStyle name="Normal 67 2 2" xfId="5266" xr:uid="{EF874063-AD30-4090-95BB-A8BF915914F3}"/>
    <cellStyle name="Normal 67 3" xfId="3954" xr:uid="{ADA2844F-9105-4CE4-BD6B-3D52D299F65A}"/>
    <cellStyle name="Normal 68" xfId="1329" xr:uid="{27EC979B-AA6F-4DA5-9FA9-9327FC3B3F5E}"/>
    <cellStyle name="Normal 68 2" xfId="2649" xr:uid="{3D485CA8-DE01-4E61-AA6B-3FD97007414A}"/>
    <cellStyle name="Normal 68 2 2" xfId="5269" xr:uid="{9F3A8AE4-0367-43FC-A4B3-5FA6C5D77C1B}"/>
    <cellStyle name="Normal 68 3" xfId="3957" xr:uid="{8A57EFD2-3B69-4870-8956-A00EBB36F1D6}"/>
    <cellStyle name="Normal 69" xfId="1333" xr:uid="{3DE95C45-F4BD-4B93-8623-DAFCB210AF12}"/>
    <cellStyle name="Normal 7" xfId="124" xr:uid="{20A2D9FE-A4BC-47EF-80B2-CDD5E0F3ADAD}"/>
    <cellStyle name="Normal 7 2" xfId="1446" xr:uid="{C42825E7-6499-42FB-B81C-29108828C478}"/>
    <cellStyle name="Normal 7 2 2" xfId="4066" xr:uid="{A8F735D3-280A-4A00-BE63-D1B04E57EA6F}"/>
    <cellStyle name="Normal 7 3" xfId="2754" xr:uid="{27F0E904-48D1-4A89-8807-E1A8E8C878D4}"/>
    <cellStyle name="Normal 70" xfId="1362" xr:uid="{A38944AE-A2BA-40C9-8CC4-1982C8147DB2}"/>
    <cellStyle name="Normal 71" xfId="1336" xr:uid="{139C269E-E474-493A-A68A-EAA31BA91C6F}"/>
    <cellStyle name="Normal 71 2" xfId="3962" xr:uid="{9BC45376-2FB1-4DD9-992F-B74251FDA153}"/>
    <cellStyle name="Normal 8" xfId="144" xr:uid="{497C3B5C-D4F0-4328-98EA-331E3F0EC879}"/>
    <cellStyle name="Normal 8 2" xfId="1466" xr:uid="{8F512329-6E82-49F4-B34E-7BEBEC1D43F2}"/>
    <cellStyle name="Normal 8 2 2" xfId="4086" xr:uid="{93444FE9-8FA0-455E-8B1F-69F6B55215AE}"/>
    <cellStyle name="Normal 8 3" xfId="2774" xr:uid="{BC32D857-10E3-49BB-9B59-CBF634A17C11}"/>
    <cellStyle name="Normal 9" xfId="164" xr:uid="{6E0B42A8-A2AD-404C-B2CF-FEDF5EDCC614}"/>
    <cellStyle name="Normal 9 2" xfId="1486" xr:uid="{21ACFFC1-D173-413C-A31F-384193B0798C}"/>
    <cellStyle name="Normal 9 2 2" xfId="4106" xr:uid="{F9A6920D-2AC2-49B3-9510-F84B124944AE}"/>
    <cellStyle name="Normal 9 3" xfId="2794" xr:uid="{0D9BC78F-F307-4BB6-8C6A-3EA8A0B21A13}"/>
    <cellStyle name="Notas 10" xfId="725" xr:uid="{548C2F68-845F-4F08-943E-DF05672B8C78}"/>
    <cellStyle name="Notas 10 2" xfId="2047" xr:uid="{AC27292E-1BF0-49EF-86D7-AAE6A07FE4F8}"/>
    <cellStyle name="Notas 10 2 2" xfId="4667" xr:uid="{F38E36AA-367B-4470-A1C6-6056FF7C9868}"/>
    <cellStyle name="Notas 10 3" xfId="3355" xr:uid="{288A38F2-1343-4843-8D49-CE565A75AD6C}"/>
    <cellStyle name="Notas 11" xfId="745" xr:uid="{5A04251B-7201-4132-8919-4211147A558D}"/>
    <cellStyle name="Notas 11 2" xfId="2067" xr:uid="{3D2EAB18-0364-493B-878C-000EAD9B27EE}"/>
    <cellStyle name="Notas 11 2 2" xfId="4687" xr:uid="{8F217167-1830-4306-AAC0-B24023F3C210}"/>
    <cellStyle name="Notas 11 3" xfId="3375" xr:uid="{D0ED64AD-70BE-48C7-B16B-52CF4A5EB0EF}"/>
    <cellStyle name="Notas 12" xfId="765" xr:uid="{C8287612-17E7-4208-9135-E167FDB79A7B}"/>
    <cellStyle name="Notas 12 2" xfId="2087" xr:uid="{91A631AB-EB85-4E84-91A1-12AF94ACBD45}"/>
    <cellStyle name="Notas 12 2 2" xfId="4707" xr:uid="{5C56CA3D-6A99-4A69-A15E-E071D0D24367}"/>
    <cellStyle name="Notas 12 3" xfId="3395" xr:uid="{738E85EB-54AA-4026-AE86-4BC0234BC9FE}"/>
    <cellStyle name="Notas 13" xfId="785" xr:uid="{92713353-E77E-4A2D-BCEB-525BBC1AD354}"/>
    <cellStyle name="Notas 13 2" xfId="2107" xr:uid="{78C5DAAB-9E97-4750-8075-B25BFBB359CE}"/>
    <cellStyle name="Notas 13 2 2" xfId="4727" xr:uid="{BAACCFE8-F191-4677-A4B9-2159B6E7D7FB}"/>
    <cellStyle name="Notas 13 3" xfId="3415" xr:uid="{AA07EFF0-3ECF-49DD-BD21-18F2D82080AE}"/>
    <cellStyle name="Notas 14" xfId="805" xr:uid="{C7F120E4-858B-404C-A8AE-F3C43C0AB402}"/>
    <cellStyle name="Notas 14 2" xfId="2127" xr:uid="{3EC0530C-7A40-4D24-A9B5-E19B2AB74E41}"/>
    <cellStyle name="Notas 14 2 2" xfId="4747" xr:uid="{7875DE0B-A9F0-4E6D-9976-EF739AED450D}"/>
    <cellStyle name="Notas 14 3" xfId="3435" xr:uid="{B2D16095-0404-421F-89A4-087EDA37248B}"/>
    <cellStyle name="Notas 15" xfId="825" xr:uid="{AEB2C3FF-3BC6-44BA-AA21-A041A65EAD25}"/>
    <cellStyle name="Notas 15 2" xfId="2147" xr:uid="{A3C4E8BA-CC84-4AB3-8847-6C292E611856}"/>
    <cellStyle name="Notas 15 2 2" xfId="4767" xr:uid="{7D747E31-2D65-4E80-95F1-8A3DD3302551}"/>
    <cellStyle name="Notas 15 3" xfId="3455" xr:uid="{3CA8EDE5-0D24-47A6-BBE7-A3F24D102540}"/>
    <cellStyle name="Notas 16" xfId="845" xr:uid="{E9C9CA51-A094-4D2B-897A-E958FBA5EA59}"/>
    <cellStyle name="Notas 16 2" xfId="2167" xr:uid="{428634F0-6EAD-4AD3-924D-22C6573A8F7F}"/>
    <cellStyle name="Notas 16 2 2" xfId="4787" xr:uid="{AE7F182B-F38E-40E0-AF59-50CE8DE279AC}"/>
    <cellStyle name="Notas 16 3" xfId="3475" xr:uid="{AD9168B9-E62C-4370-9FA7-BE663B3BF990}"/>
    <cellStyle name="Notas 17" xfId="865" xr:uid="{E8A28D95-3ACC-4E79-80D0-6B216FD42606}"/>
    <cellStyle name="Notas 17 2" xfId="2187" xr:uid="{5A906840-2E2C-4239-90D7-0269073712C5}"/>
    <cellStyle name="Notas 17 2 2" xfId="4807" xr:uid="{B6446084-859D-44BE-8190-829259487969}"/>
    <cellStyle name="Notas 17 3" xfId="3495" xr:uid="{83392F7E-64D8-4F6C-8945-353D07DF124E}"/>
    <cellStyle name="Notas 18" xfId="885" xr:uid="{23A72C35-6F4C-42D2-A1DC-67C391CB2947}"/>
    <cellStyle name="Notas 18 2" xfId="2207" xr:uid="{8FF864C0-FDF3-4F6A-B326-B203D8CB6CD6}"/>
    <cellStyle name="Notas 18 2 2" xfId="4827" xr:uid="{CB901A59-F083-4671-89EC-DD5C578823A0}"/>
    <cellStyle name="Notas 18 3" xfId="3515" xr:uid="{F5FE1ECB-B0D1-48F9-BF82-BF1FEAB95EEE}"/>
    <cellStyle name="Notas 19" xfId="905" xr:uid="{5B753E8E-BD51-4E63-9239-3C182A1ACFA7}"/>
    <cellStyle name="Notas 19 2" xfId="2227" xr:uid="{E70D9B82-3F11-4BA1-A045-60BCBE631240}"/>
    <cellStyle name="Notas 19 2 2" xfId="4847" xr:uid="{1953F895-BBAE-49A5-BA74-5981E510CEE0}"/>
    <cellStyle name="Notas 19 3" xfId="3535" xr:uid="{ED782374-53C7-4FD1-BC2E-8AC1C269C8F2}"/>
    <cellStyle name="Notas 2" xfId="565" xr:uid="{9F678FE7-D5CE-4779-8E41-9B4AEC06A6AA}"/>
    <cellStyle name="Notas 2 2" xfId="1887" xr:uid="{3EE3A416-8501-4212-852B-17F910EC6389}"/>
    <cellStyle name="Notas 2 2 2" xfId="4507" xr:uid="{A645FDA3-B9B5-45C1-9127-9A9023B77C3C}"/>
    <cellStyle name="Notas 2 3" xfId="3195" xr:uid="{90C4BC3D-70C3-44DB-8244-3A70EEB10DE0}"/>
    <cellStyle name="Notas 20" xfId="925" xr:uid="{80E806A8-8D29-47CF-B8CC-5D497EA88653}"/>
    <cellStyle name="Notas 20 2" xfId="2247" xr:uid="{02283B87-0D19-4714-8FD7-5FAE74739442}"/>
    <cellStyle name="Notas 20 2 2" xfId="4867" xr:uid="{F5E74725-C419-48A2-BC88-8C3A23B3AB4D}"/>
    <cellStyle name="Notas 20 3" xfId="3555" xr:uid="{350B2FC4-B3C4-4B1D-BA67-60E259963A8E}"/>
    <cellStyle name="Notas 21" xfId="945" xr:uid="{7CF05E59-1F01-4607-ACBA-85C540DD5B6B}"/>
    <cellStyle name="Notas 21 2" xfId="2267" xr:uid="{7CFF6853-1260-424B-B9F4-387A7D40E0B5}"/>
    <cellStyle name="Notas 21 2 2" xfId="4887" xr:uid="{3E61EFC4-0E7E-4A6B-9846-0EC0E24B0510}"/>
    <cellStyle name="Notas 21 3" xfId="3575" xr:uid="{5F713B74-37A1-42E6-8392-381A4F459E35}"/>
    <cellStyle name="Notas 22" xfId="965" xr:uid="{6DF5ECA1-BB5D-4672-8691-3C27051421B2}"/>
    <cellStyle name="Notas 22 2" xfId="2287" xr:uid="{0F406272-D843-4CE1-BA09-5122099BFDC7}"/>
    <cellStyle name="Notas 22 2 2" xfId="4907" xr:uid="{34AA06D2-AC8E-47CC-BCB7-9CCCB173201A}"/>
    <cellStyle name="Notas 22 3" xfId="3595" xr:uid="{A8A21AB1-9715-41F7-AC16-D25A6A25C7C8}"/>
    <cellStyle name="Notas 23" xfId="985" xr:uid="{666BD0A1-3E14-4751-8A47-E4DA382E4822}"/>
    <cellStyle name="Notas 23 2" xfId="2307" xr:uid="{91490ABD-6E85-4A1B-B9FB-3CF406168845}"/>
    <cellStyle name="Notas 23 2 2" xfId="4927" xr:uid="{AADD9668-0507-4A80-983C-F7696118B44B}"/>
    <cellStyle name="Notas 23 3" xfId="3615" xr:uid="{2313BCE0-D5A8-468E-8A8F-9291D4399609}"/>
    <cellStyle name="Notas 24" xfId="1005" xr:uid="{1B749956-3DD1-4701-B6DF-77D7442C7156}"/>
    <cellStyle name="Notas 24 2" xfId="2327" xr:uid="{0739DB7E-42CA-4FD8-947A-D406D3FE6BCC}"/>
    <cellStyle name="Notas 24 2 2" xfId="4947" xr:uid="{393655D8-9EAE-4956-AD26-8B1FC128605D}"/>
    <cellStyle name="Notas 24 3" xfId="3635" xr:uid="{699E4E4E-4093-4CCB-AA53-6D04F706E824}"/>
    <cellStyle name="Notas 25" xfId="1025" xr:uid="{CFAD28F7-99CE-4603-8EE6-555703A15326}"/>
    <cellStyle name="Notas 25 2" xfId="2347" xr:uid="{D827D3FB-B2F8-4ACB-886D-2FFC66DEAF3C}"/>
    <cellStyle name="Notas 25 2 2" xfId="4967" xr:uid="{3460E42E-A005-4EAF-B3D9-EBAFB70E5D7B}"/>
    <cellStyle name="Notas 25 3" xfId="3655" xr:uid="{484C6D14-D5C7-4509-8BF6-ABB912E5930A}"/>
    <cellStyle name="Notas 26" xfId="1125" xr:uid="{824CBA39-9AC8-4AD6-9AF0-6F5B9DA457FD}"/>
    <cellStyle name="Notas 26 2" xfId="2447" xr:uid="{9CECFC0F-301F-4AEC-BB8F-4F4AE0AE12F9}"/>
    <cellStyle name="Notas 26 2 2" xfId="5067" xr:uid="{7F64B7B5-2F43-474D-B267-86B6C9D8228D}"/>
    <cellStyle name="Notas 26 3" xfId="3755" xr:uid="{98E98C94-F288-4375-BF7E-84D5F1C47AAF}"/>
    <cellStyle name="Notas 27" xfId="1145" xr:uid="{1B6248BA-95F6-48E3-8E37-6BD10C596671}"/>
    <cellStyle name="Notas 27 2" xfId="2467" xr:uid="{D65A377F-207B-4D36-861B-C4F20715286B}"/>
    <cellStyle name="Notas 27 2 2" xfId="5087" xr:uid="{533EE61A-C919-4214-A1BC-9DD0B6652068}"/>
    <cellStyle name="Notas 27 3" xfId="3775" xr:uid="{F9BD261C-A9D1-44F0-95BC-4B721A9A363E}"/>
    <cellStyle name="Notas 28" xfId="1165" xr:uid="{7C101C17-9873-49C5-AC46-647ECBCE3B0C}"/>
    <cellStyle name="Notas 28 2" xfId="2487" xr:uid="{F36EDF22-65B2-4DB9-9611-5551BD2E864F}"/>
    <cellStyle name="Notas 28 2 2" xfId="5107" xr:uid="{D421C550-DE5C-48E9-AB66-28AE698CDB7D}"/>
    <cellStyle name="Notas 28 3" xfId="3795" xr:uid="{BE7F162D-FA25-42C5-A40F-F67726E2C79E}"/>
    <cellStyle name="Notas 29" xfId="1185" xr:uid="{E4CCD494-9DB5-4657-AE6D-8B79380B1E6F}"/>
    <cellStyle name="Notas 29 2" xfId="2507" xr:uid="{797470B1-9BE3-48E8-88E6-F31B6C09E46B}"/>
    <cellStyle name="Notas 29 2 2" xfId="5127" xr:uid="{6C5FED5C-848F-476A-9ADB-1621D6923449}"/>
    <cellStyle name="Notas 29 3" xfId="3815" xr:uid="{0A5BEBF4-F8A3-4FB3-9BD4-51F89D2AE431}"/>
    <cellStyle name="Notas 3" xfId="585" xr:uid="{366A5AD6-6C80-4AF4-B8FB-2F4A20C25296}"/>
    <cellStyle name="Notas 3 2" xfId="1907" xr:uid="{F318708C-C0C9-4A6F-A087-B3A7B3FDFC11}"/>
    <cellStyle name="Notas 3 2 2" xfId="4527" xr:uid="{96CB2EA0-528A-477D-B5CF-8CD45A7243A8}"/>
    <cellStyle name="Notas 3 3" xfId="3215" xr:uid="{22B2FC0E-10C1-4521-84E1-2F6AB7B9F61D}"/>
    <cellStyle name="Notas 30" xfId="1205" xr:uid="{8ED81FE6-01E6-4F40-834E-EF2517471A27}"/>
    <cellStyle name="Notas 30 2" xfId="2527" xr:uid="{FCDFCFD6-7812-45D1-9B3D-E83279E3CFCC}"/>
    <cellStyle name="Notas 30 2 2" xfId="5147" xr:uid="{10CC4BB1-7C5B-4A1C-A5D0-1428C42FD276}"/>
    <cellStyle name="Notas 30 3" xfId="3835" xr:uid="{60F0692C-6E5D-438F-98B0-57E670017E18}"/>
    <cellStyle name="Notas 31" xfId="1225" xr:uid="{1F01D5ED-66AB-4CBE-AEB9-424693BDB01E}"/>
    <cellStyle name="Notas 31 2" xfId="2547" xr:uid="{86F33F6B-9836-4342-BEA4-26362A2EBCB8}"/>
    <cellStyle name="Notas 31 2 2" xfId="5167" xr:uid="{11959962-0679-4E1D-B056-4AA4AAA763C7}"/>
    <cellStyle name="Notas 31 3" xfId="3855" xr:uid="{27292D48-5940-4E72-AB3F-39F283B1E2E6}"/>
    <cellStyle name="Notas 32" xfId="1245" xr:uid="{FE9F4669-D7D7-4E3A-A831-898151F14DEB}"/>
    <cellStyle name="Notas 32 2" xfId="2567" xr:uid="{06FC4E53-43FB-4D1D-87F6-FF9371F3988E}"/>
    <cellStyle name="Notas 32 2 2" xfId="5187" xr:uid="{D87E0EAA-0B6D-4A97-AB1C-CA3A5D96F3A8}"/>
    <cellStyle name="Notas 32 3" xfId="3875" xr:uid="{56ED8BA9-F661-4ADB-AB66-E8BC225B5229}"/>
    <cellStyle name="Notas 33" xfId="1265" xr:uid="{41F47252-46B5-4544-BEC4-5932C4C90081}"/>
    <cellStyle name="Notas 33 2" xfId="2587" xr:uid="{4471964C-F963-4B16-ACEA-4A8A0D68BC69}"/>
    <cellStyle name="Notas 33 2 2" xfId="5207" xr:uid="{87446162-023A-42FF-8397-063AC12FA60F}"/>
    <cellStyle name="Notas 33 3" xfId="3895" xr:uid="{25C4C1DE-7995-4468-9978-3FC845AAE326}"/>
    <cellStyle name="Notas 34" xfId="1285" xr:uid="{6776BFCE-384C-4B1D-B4E5-4FEB4A774B05}"/>
    <cellStyle name="Notas 34 2" xfId="2607" xr:uid="{7C4648F2-239E-4D7D-9410-29F1E0884030}"/>
    <cellStyle name="Notas 34 2 2" xfId="5227" xr:uid="{80EED5C3-80FA-4DBB-9075-D8C80E1DE874}"/>
    <cellStyle name="Notas 34 3" xfId="3915" xr:uid="{7E9A3491-8AA7-44A8-AE29-78A09C38E62E}"/>
    <cellStyle name="Notas 35" xfId="1305" xr:uid="{24E7121A-97A4-4844-A296-38B0B660320D}"/>
    <cellStyle name="Notas 35 2" xfId="2627" xr:uid="{05026C24-A0FE-4846-AD7D-6200CFEFC80D}"/>
    <cellStyle name="Notas 35 2 2" xfId="5247" xr:uid="{5ECDB6B2-ED72-413B-92AA-7B416659CDCA}"/>
    <cellStyle name="Notas 35 3" xfId="3935" xr:uid="{74245B7A-0DD6-43A4-8694-034313B0F427}"/>
    <cellStyle name="Notas 4" xfId="605" xr:uid="{07E39230-AE2C-45EE-9C89-8B04E384595E}"/>
    <cellStyle name="Notas 4 2" xfId="1927" xr:uid="{251B2C92-4F8E-4EF8-80F3-533B6AB67128}"/>
    <cellStyle name="Notas 4 2 2" xfId="4547" xr:uid="{5791C896-E450-4D56-B892-996764B368B7}"/>
    <cellStyle name="Notas 4 3" xfId="3235" xr:uid="{77D9AB04-B686-49B4-A2DF-B725CEAE6A77}"/>
    <cellStyle name="Notas 5" xfId="625" xr:uid="{58199B6D-8304-4134-88EC-7889929B0B0F}"/>
    <cellStyle name="Notas 5 2" xfId="1947" xr:uid="{FAD0D311-37F0-4A0D-9A8C-F77B82E8501A}"/>
    <cellStyle name="Notas 5 2 2" xfId="4567" xr:uid="{2489AA31-759E-4534-A09E-F59AFA5E127D}"/>
    <cellStyle name="Notas 5 3" xfId="3255" xr:uid="{292D102B-2EF3-4DDC-B822-BD3CDE5126B3}"/>
    <cellStyle name="Notas 6" xfId="645" xr:uid="{F5BA6209-815A-4FFC-9CEF-213ED6F2968E}"/>
    <cellStyle name="Notas 6 2" xfId="1967" xr:uid="{757C5CB7-99E9-48B8-906F-7346D4674F5D}"/>
    <cellStyle name="Notas 6 2 2" xfId="4587" xr:uid="{7D481D5B-C583-4D18-B8AA-336C10E6F8DC}"/>
    <cellStyle name="Notas 6 3" xfId="3275" xr:uid="{A5C7F0F3-1171-442C-A895-C4C0402827AD}"/>
    <cellStyle name="Notas 7" xfId="665" xr:uid="{32ED4FE0-AF27-4D20-A515-CE16682867B5}"/>
    <cellStyle name="Notas 7 2" xfId="1987" xr:uid="{E0E3A157-D68C-4516-85C9-D385ECC81C24}"/>
    <cellStyle name="Notas 7 2 2" xfId="4607" xr:uid="{8FC9F93D-B8FC-4023-A418-35CA5283EBCA}"/>
    <cellStyle name="Notas 7 3" xfId="3295" xr:uid="{2F824494-D38D-483E-BCD7-BE9DDBDBCB08}"/>
    <cellStyle name="Notas 8" xfId="685" xr:uid="{E3D6A9D6-B48C-41B0-92D0-00A1B9EC8B6F}"/>
    <cellStyle name="Notas 8 2" xfId="2007" xr:uid="{518D7E5F-0A3E-4B67-9D3A-A068A0E81F91}"/>
    <cellStyle name="Notas 8 2 2" xfId="4627" xr:uid="{FEA1A6CC-D7CB-4ED7-9AE3-2AA0327FCC20}"/>
    <cellStyle name="Notas 8 3" xfId="3315" xr:uid="{CFD6E9CA-C714-4E44-B05B-BDA070595FDB}"/>
    <cellStyle name="Notas 9" xfId="705" xr:uid="{6FA4D583-F18A-4C2B-BF86-0F6D1BF1E4F7}"/>
    <cellStyle name="Notas 9 2" xfId="2027" xr:uid="{978FCB2C-B1A7-4B7E-B81C-80DA3698AFB2}"/>
    <cellStyle name="Notas 9 2 2" xfId="4647" xr:uid="{B14928A1-0709-4F3A-B421-FE086ACEF9E9}"/>
    <cellStyle name="Notas 9 3" xfId="3335" xr:uid="{3410E49F-6EF6-4BC2-9F76-C55B865EC1A2}"/>
    <cellStyle name="Note 10" xfId="185" xr:uid="{90BDFB3B-A45D-4D86-A5F6-0B1B4C626445}"/>
    <cellStyle name="Note 10 2" xfId="1507" xr:uid="{AD8805A3-7725-45CD-92EA-B410EECB2721}"/>
    <cellStyle name="Note 10 2 2" xfId="4127" xr:uid="{704CFC28-888C-48E8-AC1F-172581866887}"/>
    <cellStyle name="Note 10 3" xfId="2815" xr:uid="{ED7DED68-5D38-4777-9798-D584FA7DDA99}"/>
    <cellStyle name="Note 11" xfId="205" xr:uid="{F0910E70-53F3-4BDA-BB28-FB1E165AF43A}"/>
    <cellStyle name="Note 11 2" xfId="1527" xr:uid="{2C2F53BE-F060-4BE0-88A0-D923CF70019F}"/>
    <cellStyle name="Note 11 2 2" xfId="4147" xr:uid="{0C034C97-42BC-4A78-934B-8F1551840155}"/>
    <cellStyle name="Note 11 3" xfId="2835" xr:uid="{A98080E2-FB9C-4554-A5F4-D62BA60E6759}"/>
    <cellStyle name="Note 12" xfId="225" xr:uid="{CC092F10-AC54-48CC-A960-B1CB51444B54}"/>
    <cellStyle name="Note 12 2" xfId="1547" xr:uid="{71453212-4517-4097-8E6F-BD12F7F77F07}"/>
    <cellStyle name="Note 12 2 2" xfId="4167" xr:uid="{90B02EF0-583C-4C9B-AF47-DD2E7D23FFE0}"/>
    <cellStyle name="Note 12 3" xfId="2855" xr:uid="{CBB227BE-CD13-4A67-9A7D-AEDB3C2D57FE}"/>
    <cellStyle name="Note 13" xfId="245" xr:uid="{197EC37C-AF93-4394-8DE7-D11AA513036E}"/>
    <cellStyle name="Note 13 2" xfId="1567" xr:uid="{20DAA934-3F6A-4992-A81F-B7980933A2B8}"/>
    <cellStyle name="Note 13 2 2" xfId="4187" xr:uid="{C5115F95-B451-44E4-B1E3-AF01461361D7}"/>
    <cellStyle name="Note 13 3" xfId="2875" xr:uid="{521AD624-54A3-43A7-A242-47890961A154}"/>
    <cellStyle name="Note 14" xfId="265" xr:uid="{E9B1130C-EED7-47AE-969D-8C9B3974E900}"/>
    <cellStyle name="Note 14 2" xfId="1587" xr:uid="{D572241E-C6D7-4867-9783-3035D40B54E9}"/>
    <cellStyle name="Note 14 2 2" xfId="4207" xr:uid="{3DC23C7F-EACE-4F81-A601-1FF4113CDF0A}"/>
    <cellStyle name="Note 14 3" xfId="2895" xr:uid="{CFEE764B-7AB5-4028-A972-FBE3B7B873F2}"/>
    <cellStyle name="Note 15" xfId="285" xr:uid="{5B69AE38-0EC5-459A-BA54-C88C9A0E1FC7}"/>
    <cellStyle name="Note 15 2" xfId="1607" xr:uid="{A82593B6-87C0-40AD-AB7B-A2B77CFBD431}"/>
    <cellStyle name="Note 15 2 2" xfId="4227" xr:uid="{E846E856-9A33-455C-BFD1-B3ADF08B9371}"/>
    <cellStyle name="Note 15 3" xfId="2915" xr:uid="{97B73640-BE7F-4AD7-A72B-6E9CC485B1D5}"/>
    <cellStyle name="Note 16" xfId="305" xr:uid="{189970B0-31B9-4325-A352-C6382E52D698}"/>
    <cellStyle name="Note 16 2" xfId="1627" xr:uid="{11E85369-EB7C-4BDE-BD0A-1A6C4010F7BA}"/>
    <cellStyle name="Note 16 2 2" xfId="4247" xr:uid="{D4F15936-1B51-4F0D-81A6-1E3F5EAF6790}"/>
    <cellStyle name="Note 16 3" xfId="2935" xr:uid="{5F3863E9-2FDB-4B76-80AC-8978D4E55F8C}"/>
    <cellStyle name="Note 17" xfId="325" xr:uid="{72135B31-1AD1-4E15-8EA3-4E3E20E129C0}"/>
    <cellStyle name="Note 17 2" xfId="1647" xr:uid="{F098DE66-60C5-4EC7-B1CD-07DA3E34C55A}"/>
    <cellStyle name="Note 17 2 2" xfId="4267" xr:uid="{62FB9BFF-267C-4D19-B302-515FA97BD540}"/>
    <cellStyle name="Note 17 3" xfId="2955" xr:uid="{0BFE1CEE-A71B-4D3E-9B9C-769E7E9C7CAA}"/>
    <cellStyle name="Note 18" xfId="345" xr:uid="{DE9C5E40-8056-47D8-A939-82F17F1D4ABB}"/>
    <cellStyle name="Note 18 2" xfId="1667" xr:uid="{4ED5C2D0-2381-4CC0-8B29-14C0A4BEE484}"/>
    <cellStyle name="Note 18 2 2" xfId="4287" xr:uid="{B0094131-3570-41AD-807D-FEBBBBEBDFE4}"/>
    <cellStyle name="Note 18 3" xfId="2975" xr:uid="{0E27FCCE-9B49-47AA-AFE7-C8B790322FC8}"/>
    <cellStyle name="Note 19" xfId="365" xr:uid="{9762D0D4-D310-4751-A8B8-6BC86777C9BD}"/>
    <cellStyle name="Note 19 2" xfId="1687" xr:uid="{E4BBFEAE-CBFE-433A-8155-4D8F9C13583A}"/>
    <cellStyle name="Note 19 2 2" xfId="4307" xr:uid="{772F95AA-A460-4264-913B-98BEBBC187C1}"/>
    <cellStyle name="Note 19 3" xfId="2995" xr:uid="{C0B81E53-D10C-45C1-AC23-0F9516D91A3A}"/>
    <cellStyle name="Note 2" xfId="42" xr:uid="{6E9922AE-3623-4A5B-854A-D15345ED6FE2}"/>
    <cellStyle name="Note 2 2" xfId="1364" xr:uid="{C87DEEAC-2CFF-4761-8E39-28A5B88A1A30}"/>
    <cellStyle name="Note 2 2 2" xfId="3985" xr:uid="{65C0114D-4F75-429F-8414-D55AA3012E4C}"/>
    <cellStyle name="Note 2 3" xfId="2673" xr:uid="{4CC1A31C-3817-4842-9C54-24E25A0E21A7}"/>
    <cellStyle name="Note 20" xfId="385" xr:uid="{166BE1BA-6598-4853-8859-F2D432E2644A}"/>
    <cellStyle name="Note 20 2" xfId="1707" xr:uid="{51CC79B5-396D-44D3-9E9B-B54CE8503281}"/>
    <cellStyle name="Note 20 2 2" xfId="4327" xr:uid="{4E5A3DC4-001D-4797-A1A2-14FE27C1087A}"/>
    <cellStyle name="Note 20 3" xfId="3015" xr:uid="{B0498CAA-7181-44DB-A5C7-2CED34B5ED8B}"/>
    <cellStyle name="Note 21" xfId="405" xr:uid="{B0FC2FAB-48EE-4375-BDA5-6CD0B2A65B83}"/>
    <cellStyle name="Note 21 2" xfId="1727" xr:uid="{F401EE77-0CC5-43FC-BAC5-6B6689C25EE8}"/>
    <cellStyle name="Note 21 2 2" xfId="4347" xr:uid="{E85DCEA7-720E-4D98-906B-0F61027052F2}"/>
    <cellStyle name="Note 21 3" xfId="3035" xr:uid="{24D6831B-CF83-4C84-AC34-CB3B90959D46}"/>
    <cellStyle name="Note 22" xfId="425" xr:uid="{38F1ED84-17A0-4F23-9BCA-13DC4373FDF1}"/>
    <cellStyle name="Note 22 2" xfId="1747" xr:uid="{EFB76404-A5C0-4769-9206-4A2786DC7647}"/>
    <cellStyle name="Note 22 2 2" xfId="4367" xr:uid="{A1BBA4BE-8316-4762-9F6B-602E5699CCFE}"/>
    <cellStyle name="Note 22 3" xfId="3055" xr:uid="{8085DE0F-4043-4D54-B242-F9412F2D4464}"/>
    <cellStyle name="Note 23" xfId="445" xr:uid="{B2773CA2-CA70-4C05-8FF0-738083BA4292}"/>
    <cellStyle name="Note 23 2" xfId="1767" xr:uid="{B5C45435-7075-4595-BC20-B66F5F60C273}"/>
    <cellStyle name="Note 23 2 2" xfId="4387" xr:uid="{06FC44BD-D73F-48A4-BDF6-DBDB5961BFB5}"/>
    <cellStyle name="Note 23 3" xfId="3075" xr:uid="{E6ECA1A1-1262-4FDD-B4AA-AE68A2432BBC}"/>
    <cellStyle name="Note 24" xfId="465" xr:uid="{B4ADF614-9595-4694-86D1-DF4095F4E078}"/>
    <cellStyle name="Note 24 2" xfId="1787" xr:uid="{3CBB14F4-1C9A-4B79-B529-260CF20E108A}"/>
    <cellStyle name="Note 24 2 2" xfId="4407" xr:uid="{96A58DD4-DC8E-4A41-BDEF-9F49F91EB602}"/>
    <cellStyle name="Note 24 3" xfId="3095" xr:uid="{B5C57C91-92DE-49FF-AD33-BEE7175DE977}"/>
    <cellStyle name="Note 25" xfId="485" xr:uid="{3E45A25D-3C68-4277-B965-5A92E86F5E52}"/>
    <cellStyle name="Note 25 2" xfId="1807" xr:uid="{77892709-DE42-4B08-A267-B3130CC67B44}"/>
    <cellStyle name="Note 25 2 2" xfId="4427" xr:uid="{2A19625F-9939-491D-A2C6-DC121101D9FA}"/>
    <cellStyle name="Note 25 3" xfId="3115" xr:uid="{85318FBE-B6FF-476D-92DD-E8A63A96E171}"/>
    <cellStyle name="Note 26" xfId="505" xr:uid="{BA68CDDE-F372-4E0C-B6B3-0C5F8E639CE9}"/>
    <cellStyle name="Note 26 2" xfId="1827" xr:uid="{42803B2C-DB5E-4000-8CF4-5185E1F79A63}"/>
    <cellStyle name="Note 26 2 2" xfId="4447" xr:uid="{B98A6E9B-23A3-4CA5-A1D8-1BDBE51360C3}"/>
    <cellStyle name="Note 26 3" xfId="3135" xr:uid="{750A8ED7-790A-4B32-9E06-3C6006E60A9C}"/>
    <cellStyle name="Note 27" xfId="525" xr:uid="{0A0416C9-E714-4ECF-9D21-73319B58A289}"/>
    <cellStyle name="Note 27 2" xfId="1847" xr:uid="{6D6A4269-CBE9-424D-9309-B84F86C22C1A}"/>
    <cellStyle name="Note 27 2 2" xfId="4467" xr:uid="{A4CD0997-2695-4957-A915-5FB5AE678032}"/>
    <cellStyle name="Note 27 3" xfId="3155" xr:uid="{8EFA9C96-CE6B-4251-936C-25C41E9A0263}"/>
    <cellStyle name="Note 28" xfId="545" xr:uid="{52A5F912-FEB5-4B81-808C-63A1136EF9C0}"/>
    <cellStyle name="Note 28 2" xfId="1867" xr:uid="{2A1F94A5-9AF0-4B1E-A0D1-487AC9907937}"/>
    <cellStyle name="Note 28 2 2" xfId="4487" xr:uid="{AEDBF6D0-1DA9-40C7-B340-9E526D204B72}"/>
    <cellStyle name="Note 28 3" xfId="3175" xr:uid="{C028ABA8-7099-4DA1-AC79-FDFEBD870040}"/>
    <cellStyle name="Note 29" xfId="1045" xr:uid="{350E3767-699B-4972-993F-5E7CE3755993}"/>
    <cellStyle name="Note 29 2" xfId="2367" xr:uid="{5571C2DB-7F97-4DF6-B12D-B5F931F39507}"/>
    <cellStyle name="Note 29 2 2" xfId="4987" xr:uid="{16BC15B4-4450-457A-8213-A8866E2C1B60}"/>
    <cellStyle name="Note 29 3" xfId="3675" xr:uid="{5E18FEFC-6729-4FF4-95CF-A7A50B5D2E31}"/>
    <cellStyle name="Note 3" xfId="44" xr:uid="{F5A2B315-A872-4A27-BBF4-C8EBCF7AA4F7}"/>
    <cellStyle name="Note 3 2" xfId="1366" xr:uid="{034A9E9A-B1D3-4965-AEBD-096EAAF5C940}"/>
    <cellStyle name="Note 3 2 2" xfId="3987" xr:uid="{5492523E-E63D-48E0-93D6-A3506CD97257}"/>
    <cellStyle name="Note 3 3" xfId="2675" xr:uid="{96A14345-A7C8-4828-818D-6BF15E90D2C7}"/>
    <cellStyle name="Note 30" xfId="1065" xr:uid="{777B3CBF-E46C-4A93-8F32-F22C566B9BD5}"/>
    <cellStyle name="Note 30 2" xfId="2387" xr:uid="{0968B2B7-AA4A-45F1-9C94-3073155239AC}"/>
    <cellStyle name="Note 30 2 2" xfId="5007" xr:uid="{C23573D2-32C6-4C2A-8B29-14A9152CE316}"/>
    <cellStyle name="Note 30 3" xfId="3695" xr:uid="{24B0C6AE-6ADD-4A1B-9472-58B444719955}"/>
    <cellStyle name="Note 31" xfId="1085" xr:uid="{C466C93E-5E22-4361-9C9A-3A9871FF2B4C}"/>
    <cellStyle name="Note 31 2" xfId="2407" xr:uid="{86896B60-EE6D-459F-A6EE-E1BBD8FB35FF}"/>
    <cellStyle name="Note 31 2 2" xfId="5027" xr:uid="{B4E31D7B-CBD6-431D-9FF6-F96B57162D41}"/>
    <cellStyle name="Note 31 3" xfId="3715" xr:uid="{48495B08-7656-449D-94CF-008291D2DC04}"/>
    <cellStyle name="Note 32" xfId="1105" xr:uid="{EF1EF4BB-09BE-494E-AC74-DCC460C3A389}"/>
    <cellStyle name="Note 32 2" xfId="2427" xr:uid="{5D4A616B-843C-4E8D-9893-916DE8932EFF}"/>
    <cellStyle name="Note 32 2 2" xfId="5047" xr:uid="{DE3651BE-BA2A-4AEF-9F42-D39332E19C29}"/>
    <cellStyle name="Note 32 3" xfId="3735" xr:uid="{2A6B99B2-EA31-41F1-9839-FFF79F8ECDDD}"/>
    <cellStyle name="Note 4" xfId="64" xr:uid="{E89D845E-83FB-471E-B717-F21A22A7F6F2}"/>
    <cellStyle name="Note 4 2" xfId="1386" xr:uid="{0C26219B-7F4F-4C12-BA8D-71374AA69B62}"/>
    <cellStyle name="Note 4 2 2" xfId="4007" xr:uid="{66A0ACD1-836B-47FB-BA1C-603CDD07266A}"/>
    <cellStyle name="Note 4 3" xfId="2695" xr:uid="{99FF706F-87D3-4CA8-B015-E25D0695332A}"/>
    <cellStyle name="Note 5" xfId="85" xr:uid="{1789090C-B337-49EE-90BC-FF1FCA96A513}"/>
    <cellStyle name="Note 5 2" xfId="1407" xr:uid="{AB5E5CFE-7A1D-4CF2-820A-785904F482AF}"/>
    <cellStyle name="Note 5 2 2" xfId="4027" xr:uid="{A21FE822-241B-45D4-904E-7C423B27FCFB}"/>
    <cellStyle name="Note 5 3" xfId="2715" xr:uid="{4AEBAAEC-F3F3-4E3F-81C3-1F392BF056E6}"/>
    <cellStyle name="Note 6" xfId="105" xr:uid="{BEF7FBDC-C40D-43B4-8570-4A4E54C9FA35}"/>
    <cellStyle name="Note 6 2" xfId="1427" xr:uid="{0C82F1D7-C555-4D78-9867-46DD5C6181F7}"/>
    <cellStyle name="Note 6 2 2" xfId="4047" xr:uid="{E9C6435D-8C88-4A64-B8C3-97554D0470B0}"/>
    <cellStyle name="Note 6 3" xfId="2735" xr:uid="{8AE7A34A-D8B9-4F2C-BD1F-2F364EBC4341}"/>
    <cellStyle name="Note 7" xfId="125" xr:uid="{842BB385-B6DC-4114-8987-A6B23585C59C}"/>
    <cellStyle name="Note 7 2" xfId="1447" xr:uid="{3DA6718F-6628-4D56-9146-8D1EEC78084F}"/>
    <cellStyle name="Note 7 2 2" xfId="4067" xr:uid="{7A5AD4E5-0981-4E42-B185-87BC0597ABC6}"/>
    <cellStyle name="Note 7 3" xfId="2755" xr:uid="{6132AABD-5E58-4B0A-A1F3-11FA02D8F8EC}"/>
    <cellStyle name="Note 8" xfId="145" xr:uid="{208ADA44-AF60-413F-B9CC-F3E9C6F9C2F1}"/>
    <cellStyle name="Note 8 2" xfId="1467" xr:uid="{4306C36B-718B-4B54-BEB9-EAB49FD92FAC}"/>
    <cellStyle name="Note 8 2 2" xfId="4087" xr:uid="{E57224D9-E039-4134-B7DD-7B0C327A8731}"/>
    <cellStyle name="Note 8 3" xfId="2775" xr:uid="{8BD7D733-A936-421F-8CD4-740560AE6497}"/>
    <cellStyle name="Note 9" xfId="165" xr:uid="{E613BBCA-91DA-4245-A25D-BD674EBFE133}"/>
    <cellStyle name="Note 9 2" xfId="1487" xr:uid="{B9E1E5D4-D80B-4CFC-9C1C-2AEDB934E044}"/>
    <cellStyle name="Note 9 2 2" xfId="4107" xr:uid="{E0AF5813-56B7-4C47-A605-78AE1589AFCA}"/>
    <cellStyle name="Note 9 3" xfId="2795" xr:uid="{720BF70F-2923-4B23-913C-94F50DF1CAEF}"/>
    <cellStyle name="Porcentaje" xfId="83" builtinId="5"/>
    <cellStyle name="Porcentaje 2" xfId="1324" xr:uid="{6769C1D0-1C21-4711-B3ED-FAD9E3A01863}"/>
    <cellStyle name="Porcentaje 3" xfId="1328" xr:uid="{80D35282-06BB-423B-AE75-C17E3F6F5185}"/>
    <cellStyle name="Porcentaje 3 2" xfId="2648" xr:uid="{D9172E1D-7235-4C7F-BC15-B12250DB2D13}"/>
    <cellStyle name="Porcentaje 3 2 2" xfId="5268" xr:uid="{669FE298-5157-4A33-AD79-B6BC285A6440}"/>
    <cellStyle name="Porcentaje 3 3" xfId="3956" xr:uid="{D3415DFB-8C77-481D-94FD-0029B5742CC2}"/>
    <cellStyle name="Porcentaje 4" xfId="1330" xr:uid="{89223A1E-C15D-4CC1-8547-F8700153B8AD}"/>
    <cellStyle name="Porcentaje 4 2" xfId="2650" xr:uid="{2DC16F32-4C8A-49E9-BA85-19C782081D41}"/>
    <cellStyle name="Porcentaje 4 2 2" xfId="5270" xr:uid="{AE56FF1E-7AC0-45F4-B833-35783ECD64EE}"/>
    <cellStyle name="Porcentaje 4 3" xfId="3958" xr:uid="{8F558624-5F2E-4793-A7AB-B4A8FE8608F5}"/>
    <cellStyle name="Porcentaje 5" xfId="1335" xr:uid="{D5DD03B7-CBE1-4BD9-ABF8-7ADF13011E07}"/>
    <cellStyle name="Porcentaje 6" xfId="1405" xr:uid="{E44D1264-537B-49CF-892F-B622B2675404}"/>
    <cellStyle name="Porcentaje 7" xfId="1341" xr:uid="{9002482F-EACE-4270-B982-1C0CE13DB27D}"/>
    <cellStyle name="Porcentaje 7 2" xfId="3965" xr:uid="{37FA8FC6-F8D2-4081-9B7A-9E7E146A7A41}"/>
    <cellStyle name="Porcentual 2" xfId="1342" xr:uid="{34EFF5C5-050C-49A3-9F35-003502428E0C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outline="0">
        <top style="thin">
          <color theme="5"/>
        </top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border outline="0">
        <bottom style="thin">
          <color theme="5"/>
        </bottom>
      </border>
    </dxf>
    <dxf>
      <numFmt numFmtId="19" formatCode="d/mm/yyyy"/>
      <fill>
        <patternFill patternType="solid">
          <fgColor rgb="FFD1EEF9"/>
          <bgColor rgb="FFD1EEF9"/>
        </patternFill>
      </fill>
      <border diagonalUp="0" diagonalDown="0">
        <left/>
        <right/>
        <top style="thin">
          <color rgb="FF76CDEE"/>
        </top>
        <bottom/>
        <vertical/>
        <horizontal/>
      </border>
    </dxf>
    <dxf>
      <border outline="0">
        <left style="thin">
          <color rgb="FF76CDEE"/>
        </left>
        <right style="thin">
          <color rgb="FF76CDEE"/>
        </right>
        <top style="thin">
          <color rgb="FF76CDEE"/>
        </top>
        <bottom style="thin">
          <color rgb="FF76CDEE"/>
        </bottom>
      </border>
    </dxf>
    <dxf>
      <fill>
        <patternFill patternType="solid">
          <fgColor rgb="FFD1EEF9"/>
          <bgColor rgb="FFD1EEF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19" formatCode="d/mm/yyyy"/>
      <fill>
        <patternFill patternType="solid">
          <fgColor rgb="FF1CADE4"/>
          <bgColor rgb="FF1CAD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border outline="0">
        <top style="thin">
          <color theme="5"/>
        </top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 outline="0">
        <right style="thin">
          <color rgb="FF00B050"/>
        </right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fill>
        <patternFill patternType="solid">
          <fgColor theme="5" tint="0.79998168889431442"/>
          <bgColor theme="0"/>
        </patternFill>
      </fill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fill>
        <patternFill patternType="solid">
          <fgColor theme="5" tint="0.79998168889431442"/>
          <bgColor theme="0"/>
        </patternFill>
      </fill>
      <border diagonalUp="0" diagonalDown="0" outline="0">
        <left/>
        <right style="thin">
          <color theme="5"/>
        </right>
        <top style="thin">
          <color theme="5"/>
        </top>
        <bottom style="thin">
          <color theme="5"/>
        </bottom>
      </border>
    </dxf>
    <dxf>
      <border outline="0">
        <top style="thin">
          <color theme="5"/>
        </top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>
          <bgColor theme="0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4" formatCode="0.00%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9"/>
  <colors>
    <mruColors>
      <color rgb="FFC8FFC1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Y COSTOS DE VENTAS 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2.0243621918698312E-2"/>
          <c:y val="0.13357945425361156"/>
          <c:w val="0.95951275616260334"/>
          <c:h val="0.6934550877769492"/>
        </c:manualLayout>
      </c:layou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C-4E32-BA6B-6B7863B4A564}"/>
            </c:ext>
          </c:extLst>
        </c:ser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C-4E32-BA6B-6B7863B4A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041200"/>
        <c:axId val="822042640"/>
      </c:lineChart>
      <c:catAx>
        <c:axId val="8220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22042640"/>
        <c:crosses val="autoZero"/>
        <c:auto val="1"/>
        <c:lblAlgn val="ctr"/>
        <c:lblOffset val="100"/>
        <c:noMultiLvlLbl val="0"/>
      </c:catAx>
      <c:valAx>
        <c:axId val="8220426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204120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INGRESOS,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COSTOS Y GASTOS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D-4C16-90D7-F9111D83788C}"/>
            </c:ext>
          </c:extLst>
        </c:ser>
        <c:ser>
          <c:idx val="2"/>
          <c:order val="2"/>
          <c:tx>
            <c:strRef>
              <c:f>'M. por conceptos'!$B$42:$B$43</c:f>
              <c:strCache>
                <c:ptCount val="1"/>
                <c:pt idx="0">
                  <c:v>Gasto de ventas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conceptos'!$C$48:$V$48</c:f>
              <c:numCache>
                <c:formatCode>#,##0</c:formatCode>
                <c:ptCount val="20"/>
                <c:pt idx="0">
                  <c:v>633605</c:v>
                </c:pt>
                <c:pt idx="1">
                  <c:v>681336</c:v>
                </c:pt>
                <c:pt idx="2">
                  <c:v>801905</c:v>
                </c:pt>
                <c:pt idx="3">
                  <c:v>862157</c:v>
                </c:pt>
                <c:pt idx="4">
                  <c:v>786246</c:v>
                </c:pt>
                <c:pt idx="5">
                  <c:v>853678.36874206527</c:v>
                </c:pt>
                <c:pt idx="6">
                  <c:v>877762.72415727901</c:v>
                </c:pt>
                <c:pt idx="7">
                  <c:v>898125.75651473179</c:v>
                </c:pt>
                <c:pt idx="8">
                  <c:v>915765.01747547451</c:v>
                </c:pt>
                <c:pt idx="9">
                  <c:v>931323.9483145579</c:v>
                </c:pt>
                <c:pt idx="10">
                  <c:v>945241.8862175399</c:v>
                </c:pt>
                <c:pt idx="11">
                  <c:v>957832.19251735648</c:v>
                </c:pt>
                <c:pt idx="12">
                  <c:v>969326.24163275363</c:v>
                </c:pt>
                <c:pt idx="13">
                  <c:v>983866.13525724481</c:v>
                </c:pt>
                <c:pt idx="14">
                  <c:v>998624.12728610344</c:v>
                </c:pt>
                <c:pt idx="15">
                  <c:v>1013603.4891953949</c:v>
                </c:pt>
                <c:pt idx="16">
                  <c:v>1028807.5415333257</c:v>
                </c:pt>
                <c:pt idx="17">
                  <c:v>1044239.6546563255</c:v>
                </c:pt>
                <c:pt idx="18">
                  <c:v>1059903.2494761702</c:v>
                </c:pt>
                <c:pt idx="19">
                  <c:v>1075801.7982183127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D-4C16-90D7-F9111D83788C}"/>
            </c:ext>
          </c:extLst>
        </c:ser>
        <c:ser>
          <c:idx val="3"/>
          <c:order val="3"/>
          <c:tx>
            <c:strRef>
              <c:f>'M. por conceptos'!$B$60:$B$61</c:f>
              <c:strCache>
                <c:ptCount val="1"/>
                <c:pt idx="0">
                  <c:v>Gastos administrativos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conceptos'!$C$66:$V$66</c:f>
              <c:numCache>
                <c:formatCode>#,##0</c:formatCode>
                <c:ptCount val="20"/>
                <c:pt idx="0">
                  <c:v>487579</c:v>
                </c:pt>
                <c:pt idx="1">
                  <c:v>603139</c:v>
                </c:pt>
                <c:pt idx="2">
                  <c:v>651838</c:v>
                </c:pt>
                <c:pt idx="3">
                  <c:v>688428</c:v>
                </c:pt>
                <c:pt idx="4">
                  <c:v>732928</c:v>
                </c:pt>
                <c:pt idx="5">
                  <c:v>736909.03945341019</c:v>
                </c:pt>
                <c:pt idx="6">
                  <c:v>758341.35923725716</c:v>
                </c:pt>
                <c:pt idx="7">
                  <c:v>776462.12741766986</c:v>
                </c:pt>
                <c:pt idx="8">
                  <c:v>792159.05079983163</c:v>
                </c:pt>
                <c:pt idx="9">
                  <c:v>806004.71847451443</c:v>
                </c:pt>
                <c:pt idx="10">
                  <c:v>818390.09025324206</c:v>
                </c:pt>
                <c:pt idx="11">
                  <c:v>829594.02185706655</c:v>
                </c:pt>
                <c:pt idx="12">
                  <c:v>839822.41003708926</c:v>
                </c:pt>
                <c:pt idx="13">
                  <c:v>852419.74618764548</c:v>
                </c:pt>
                <c:pt idx="14">
                  <c:v>865206.04238046007</c:v>
                </c:pt>
                <c:pt idx="15">
                  <c:v>878184.13301616686</c:v>
                </c:pt>
                <c:pt idx="16">
                  <c:v>891356.8950114093</c:v>
                </c:pt>
                <c:pt idx="17">
                  <c:v>904727.24843658041</c:v>
                </c:pt>
                <c:pt idx="18">
                  <c:v>918298.15716312907</c:v>
                </c:pt>
                <c:pt idx="19">
                  <c:v>932072.62952057587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D-4C16-90D7-F9111D837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0217040"/>
        <c:axId val="800217520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7D-4C16-90D7-F9111D837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17040"/>
        <c:axId val="800217520"/>
      </c:lineChart>
      <c:catAx>
        <c:axId val="800217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520"/>
        <c:crosses val="autoZero"/>
        <c:auto val="1"/>
        <c:lblAlgn val="ctr"/>
        <c:lblOffset val="100"/>
        <c:noMultiLvlLbl val="0"/>
      </c:catAx>
      <c:valAx>
        <c:axId val="8002175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04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CAPEX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E INGRESOS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'M. por conceptos'!$B$115:$B$116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2-4AC0-B7A9-1ADE778B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8336496"/>
        <c:axId val="918335056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B2-4AC0-B7A9-1ADE778B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6496"/>
        <c:axId val="918335056"/>
      </c:lineChart>
      <c:catAx>
        <c:axId val="91833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18335056"/>
        <c:crosses val="autoZero"/>
        <c:auto val="1"/>
        <c:lblAlgn val="ctr"/>
        <c:lblOffset val="100"/>
        <c:noMultiLvlLbl val="0"/>
      </c:catAx>
      <c:valAx>
        <c:axId val="9183350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833649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 DE TRABAJO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conceptos'!$H$135:$V$135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conceptos'!$H$143:$V$143</c:f>
              <c:numCache>
                <c:formatCode>#,##0</c:formatCode>
                <c:ptCount val="15"/>
                <c:pt idx="0">
                  <c:v>1535811.4081167115</c:v>
                </c:pt>
                <c:pt idx="1">
                  <c:v>1614611.4102086099</c:v>
                </c:pt>
                <c:pt idx="2">
                  <c:v>1681235.8626675329</c:v>
                </c:pt>
                <c:pt idx="3">
                  <c:v>1738948.5884865536</c:v>
                </c:pt>
                <c:pt idx="4">
                  <c:v>1789854.8204172198</c:v>
                </c:pt>
                <c:pt idx="5">
                  <c:v>1835391.9966032645</c:v>
                </c:pt>
                <c:pt idx="6">
                  <c:v>1876585.383167245</c:v>
                </c:pt>
                <c:pt idx="7">
                  <c:v>1914191.9986951633</c:v>
                </c:pt>
                <c:pt idx="8">
                  <c:v>1948786.7314466175</c:v>
                </c:pt>
                <c:pt idx="9">
                  <c:v>1980816.451154086</c:v>
                </c:pt>
                <c:pt idx="10">
                  <c:v>2010635.4068118739</c:v>
                </c:pt>
                <c:pt idx="11">
                  <c:v>2038529.1769731066</c:v>
                </c:pt>
                <c:pt idx="12">
                  <c:v>2064731.3464255896</c:v>
                </c:pt>
                <c:pt idx="13">
                  <c:v>2089435.4089037727</c:v>
                </c:pt>
                <c:pt idx="14">
                  <c:v>2112803.4473525435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8-4092-BDE9-D601F19C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402592"/>
        <c:axId val="869402112"/>
      </c:lineChart>
      <c:lineChart>
        <c:grouping val="stacked"/>
        <c:varyColors val="0"/>
        <c:ser>
          <c:idx val="1"/>
          <c:order val="1"/>
          <c:tx>
            <c:strRef>
              <c:f>'M. por conceptos'!$B$144</c:f>
              <c:strCache>
                <c:ptCount val="1"/>
                <c:pt idx="0">
                  <c:v>Variación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'M. por conceptos'!$H$144:$V$144</c:f>
              <c:numCache>
                <c:formatCode>#,##0</c:formatCode>
                <c:ptCount val="15"/>
                <c:pt idx="0">
                  <c:v>96443.408116711304</c:v>
                </c:pt>
                <c:pt idx="1">
                  <c:v>78800.00209189835</c:v>
                </c:pt>
                <c:pt idx="2">
                  <c:v>66624.452458922984</c:v>
                </c:pt>
                <c:pt idx="3">
                  <c:v>57712.725819020765</c:v>
                </c:pt>
                <c:pt idx="4">
                  <c:v>50906.231930666137</c:v>
                </c:pt>
                <c:pt idx="5">
                  <c:v>45537.1761860447</c:v>
                </c:pt>
                <c:pt idx="6">
                  <c:v>41193.386563980486</c:v>
                </c:pt>
                <c:pt idx="7">
                  <c:v>37606.615527918329</c:v>
                </c:pt>
                <c:pt idx="8">
                  <c:v>34594.732751454227</c:v>
                </c:pt>
                <c:pt idx="9">
                  <c:v>32029.719707468525</c:v>
                </c:pt>
                <c:pt idx="10">
                  <c:v>29818.955657787854</c:v>
                </c:pt>
                <c:pt idx="11">
                  <c:v>27893.770161232678</c:v>
                </c:pt>
                <c:pt idx="12">
                  <c:v>26202.169452483067</c:v>
                </c:pt>
                <c:pt idx="13">
                  <c:v>24704.06247818307</c:v>
                </c:pt>
                <c:pt idx="14">
                  <c:v>23368.038448770763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8-4092-BDE9-D601F19C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271792"/>
        <c:axId val="1015269872"/>
      </c:lineChart>
      <c:catAx>
        <c:axId val="8694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112"/>
        <c:crosses val="autoZero"/>
        <c:auto val="1"/>
        <c:lblAlgn val="ctr"/>
        <c:lblOffset val="100"/>
        <c:noMultiLvlLbl val="0"/>
      </c:catAx>
      <c:valAx>
        <c:axId val="8694021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592"/>
        <c:crosses val="autoZero"/>
        <c:crossBetween val="between"/>
      </c:valAx>
      <c:valAx>
        <c:axId val="101526987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015271792"/>
        <c:crosses val="max"/>
        <c:crossBetween val="between"/>
      </c:valAx>
      <c:catAx>
        <c:axId val="101527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01526987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+ VALOR TERMINAL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conceptos'!$H$175:$V$175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11138157.236030472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0-4CE3-973B-2EBA6BA91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60112"/>
        <c:axId val="168756752"/>
      </c:barChart>
      <c:catAx>
        <c:axId val="1687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68756752"/>
        <c:crosses val="autoZero"/>
        <c:auto val="1"/>
        <c:lblAlgn val="ctr"/>
        <c:lblOffset val="100"/>
        <c:noMultiLvlLbl val="0"/>
      </c:catAx>
      <c:valAx>
        <c:axId val="16875675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876011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ECONÓMICO </a:t>
            </a:r>
          </a:p>
          <a:p>
            <a:pPr>
              <a:defRPr/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conceptos'!$H$173:$V$173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940403.67787520506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F-4245-B30C-E1FE34B6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176"/>
        <c:axId val="2048922816"/>
      </c:barChart>
      <c:catAx>
        <c:axId val="20489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2816"/>
        <c:crosses val="autoZero"/>
        <c:auto val="1"/>
        <c:lblAlgn val="ctr"/>
        <c:lblOffset val="100"/>
        <c:noMultiLvlLbl val="0"/>
      </c:catAx>
      <c:valAx>
        <c:axId val="2048922816"/>
        <c:scaling>
          <c:orientation val="minMax"/>
          <c:max val="1500000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17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TRABAJO 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E-4489-95DA-82DC593FC8D8}"/>
            </c:ext>
          </c:extLst>
        </c:ser>
        <c:ser>
          <c:idx val="1"/>
          <c:order val="1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E-4489-95DA-82DC593FC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1855"/>
        <c:axId val="118139935"/>
      </c:lineChart>
      <c:catAx>
        <c:axId val="1181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39935"/>
        <c:crosses val="autoZero"/>
        <c:auto val="1"/>
        <c:lblAlgn val="ctr"/>
        <c:lblOffset val="100"/>
        <c:noMultiLvlLbl val="0"/>
      </c:catAx>
      <c:valAx>
        <c:axId val="1181399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4185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PROYECCIÓN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9-4FA6-9FBF-EB7EDEC7C94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conceptos'!$C$9:$G$9</c:f>
              <c:numCache>
                <c:formatCode>_(* #,##0.00_);_(* \(#,##0.00\);_(* "-"??_);_(@_)</c:formatCode>
                <c:ptCount val="5"/>
                <c:pt idx="0" formatCode="0.00">
                  <c:v>6949265</c:v>
                </c:pt>
                <c:pt idx="1">
                  <c:v>8288702</c:v>
                </c:pt>
                <c:pt idx="2" formatCode="#,##0">
                  <c:v>9872187</c:v>
                </c:pt>
                <c:pt idx="3" formatCode="#,##0">
                  <c:v>10131767</c:v>
                </c:pt>
                <c:pt idx="4" formatCode="#,##0">
                  <c:v>12227663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9-4FA6-9FBF-EB7EDEC7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550191"/>
        <c:axId val="439552111"/>
      </c:lineChart>
      <c:catAx>
        <c:axId val="4395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2111"/>
        <c:crosses val="autoZero"/>
        <c:auto val="1"/>
        <c:lblAlgn val="ctr"/>
        <c:lblOffset val="100"/>
        <c:noMultiLvlLbl val="0"/>
      </c:catAx>
      <c:valAx>
        <c:axId val="43955211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0191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</a:t>
            </a:r>
          </a:p>
          <a:p>
            <a:pPr>
              <a:defRPr b="1"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Integrado'!$H$29:$V$29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952942.7667155877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B-40B8-866E-0947BCC99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61824"/>
        <c:axId val="1864283904"/>
      </c:barChart>
      <c:catAx>
        <c:axId val="9173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864283904"/>
        <c:crosses val="autoZero"/>
        <c:auto val="1"/>
        <c:lblAlgn val="ctr"/>
        <c:lblOffset val="100"/>
        <c:noMultiLvlLbl val="0"/>
      </c:catAx>
      <c:valAx>
        <c:axId val="18642839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736182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+ VALOR TERMINAL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Integrado'!$H$31:$V$31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11286670.418599363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C-4F64-9C21-87E059F1D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656"/>
        <c:axId val="2048920416"/>
      </c:barChart>
      <c:catAx>
        <c:axId val="204891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0416"/>
        <c:crosses val="autoZero"/>
        <c:auto val="1"/>
        <c:lblAlgn val="ctr"/>
        <c:lblOffset val="100"/>
        <c:noMultiLvlLbl val="0"/>
      </c:catAx>
      <c:valAx>
        <c:axId val="20489204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65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OPERATIVO</a:t>
            </a:r>
          </a:p>
        </c:rich>
      </c:tx>
      <c:layout>
        <c:manualLayout>
          <c:xMode val="edge"/>
          <c:yMode val="edge"/>
          <c:x val="0.32163969426773859"/>
          <c:y val="2.2277236406500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Integrado'!$C$7:$V$7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Integrado'!$C$13:$V$13</c:f>
              <c:numCache>
                <c:formatCode>#,##0</c:formatCode>
                <c:ptCount val="20"/>
                <c:pt idx="0">
                  <c:v>688179.76</c:v>
                </c:pt>
                <c:pt idx="1">
                  <c:v>757098.17</c:v>
                </c:pt>
                <c:pt idx="2">
                  <c:v>966773.375</c:v>
                </c:pt>
                <c:pt idx="3">
                  <c:v>845730.31499999994</c:v>
                </c:pt>
                <c:pt idx="4">
                  <c:v>878655.03</c:v>
                </c:pt>
                <c:pt idx="5">
                  <c:v>887775.52360896848</c:v>
                </c:pt>
                <c:pt idx="6">
                  <c:v>908678.23495305423</c:v>
                </c:pt>
                <c:pt idx="7">
                  <c:v>926351.22557788296</c:v>
                </c:pt>
                <c:pt idx="8">
                  <c:v>941660.26639831928</c:v>
                </c:pt>
                <c:pt idx="9">
                  <c:v>955785.17039429396</c:v>
                </c:pt>
                <c:pt idx="10">
                  <c:v>970121.94795020833</c:v>
                </c:pt>
                <c:pt idx="11">
                  <c:v>984673.77716946136</c:v>
                </c:pt>
                <c:pt idx="12">
                  <c:v>999443.88382700318</c:v>
                </c:pt>
                <c:pt idx="13">
                  <c:v>1014435.5420844081</c:v>
                </c:pt>
                <c:pt idx="14">
                  <c:v>1029652.0752156741</c:v>
                </c:pt>
                <c:pt idx="15">
                  <c:v>1045096.8563439092</c:v>
                </c:pt>
                <c:pt idx="16">
                  <c:v>1060773.3091890677</c:v>
                </c:pt>
                <c:pt idx="17">
                  <c:v>1076684.9088269037</c:v>
                </c:pt>
                <c:pt idx="18">
                  <c:v>1092835.1824593071</c:v>
                </c:pt>
                <c:pt idx="19">
                  <c:v>1109227.7101961966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A-4B47-ACA3-37F3C6A9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722944"/>
        <c:axId val="865720064"/>
      </c:lineChart>
      <c:catAx>
        <c:axId val="8657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0064"/>
        <c:crosses val="autoZero"/>
        <c:auto val="1"/>
        <c:lblAlgn val="ctr"/>
        <c:lblOffset val="100"/>
        <c:noMultiLvlLbl val="0"/>
      </c:catAx>
      <c:valAx>
        <c:axId val="8657200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294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D-4829-960F-D502452622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7D-4829-960F-D502452622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WACC!$O$5:$Q$5</c:f>
              <c:strCache>
                <c:ptCount val="3"/>
                <c:pt idx="0">
                  <c:v>Rm Promedio</c:v>
                </c:pt>
                <c:pt idx="1">
                  <c:v>Rf Promedio</c:v>
                </c:pt>
                <c:pt idx="2">
                  <c:v>Rf Spot</c:v>
                </c:pt>
              </c:strCache>
            </c:strRef>
          </c:cat>
          <c:val>
            <c:numRef>
              <c:f>WACC!$O$6:$Q$6</c:f>
              <c:numCache>
                <c:formatCode>0.00%</c:formatCode>
                <c:ptCount val="3"/>
                <c:pt idx="0">
                  <c:v>0.11821279118248902</c:v>
                </c:pt>
                <c:pt idx="1">
                  <c:v>5.1104657976145267E-2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D-4829-960F-D50245262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895327"/>
        <c:axId val="788903487"/>
      </c:barChart>
      <c:catAx>
        <c:axId val="78889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8903487"/>
        <c:crosses val="autoZero"/>
        <c:auto val="1"/>
        <c:lblAlgn val="ctr"/>
        <c:lblOffset val="100"/>
        <c:noMultiLvlLbl val="0"/>
      </c:catAx>
      <c:valAx>
        <c:axId val="78890348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8889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>
                <a:latin typeface="Abadi" panose="020B0604020104020204" pitchFamily="34" charset="0"/>
              </a:rPr>
              <a:t>MERCADO DESARROLLADO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9C-4A24-A553-3FFA29937EA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9C-4A24-A553-3FFA29937E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WACC!$O$15:$Q$15</c:f>
              <c:numCache>
                <c:formatCode>0.00%</c:formatCode>
                <c:ptCount val="3"/>
                <c:pt idx="0">
                  <c:v>4.58E-2</c:v>
                </c:pt>
                <c:pt idx="1">
                  <c:v>4.58E-2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C-4A24-A553-3FFA29937EAB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WACC!$O$16:$Q$16</c:f>
              <c:numCache>
                <c:formatCode>General</c:formatCode>
                <c:ptCount val="3"/>
                <c:pt idx="0" formatCode="0.00%">
                  <c:v>6.7240851295462242E-2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C-4A24-A553-3FFA29937EAB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WACC!$O$17:$Q$17</c:f>
              <c:numCache>
                <c:formatCode>0.00%</c:formatCode>
                <c:ptCount val="3"/>
                <c:pt idx="1">
                  <c:v>5.7381422635384753E-2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9C-4A24-A553-3FFA29937EAB}"/>
            </c:ext>
          </c:extLst>
        </c:ser>
        <c:ser>
          <c:idx val="3"/>
          <c:order val="3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F93-4F37-BD29-EFA030658975}"/>
                </c:ext>
              </c:extLst>
            </c:dLbl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WACC!$O$14:$Q$14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WACC!$O$18:$Q$18</c:f>
              <c:numCache>
                <c:formatCode>0.00%</c:formatCode>
                <c:ptCount val="3"/>
                <c:pt idx="2">
                  <c:v>1.6199999999999999E-2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9C-4A24-A553-3FFA29937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2649807"/>
        <c:axId val="1002650287"/>
      </c:barChart>
      <c:catAx>
        <c:axId val="100264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650287"/>
        <c:crosses val="autoZero"/>
        <c:auto val="1"/>
        <c:lblAlgn val="ctr"/>
        <c:lblOffset val="100"/>
        <c:noMultiLvlLbl val="0"/>
      </c:catAx>
      <c:valAx>
        <c:axId val="100265028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0264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>
                <a:latin typeface="Abadi" panose="020B0604020104020204" pitchFamily="34" charset="0"/>
              </a:rPr>
              <a:t>MERCADO</a:t>
            </a:r>
            <a:r>
              <a:rPr lang="es-PE" sz="1200" baseline="0">
                <a:latin typeface="Abadi" panose="020B0604020104020204" pitchFamily="34" charset="0"/>
              </a:rPr>
              <a:t> EMERGENTE</a:t>
            </a:r>
            <a:endParaRPr lang="es-PE" sz="1200">
              <a:latin typeface="Abadi" panose="020B06040201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176-4EF4-B9AE-5CE3A34434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76-4EF4-B9AE-5CE3A3443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WACC!$O$25:$Q$25</c:f>
              <c:numCache>
                <c:formatCode>0.00%</c:formatCode>
                <c:ptCount val="3"/>
                <c:pt idx="0">
                  <c:v>4.58E-2</c:v>
                </c:pt>
                <c:pt idx="1">
                  <c:v>4.58E-2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7-4646-A56E-BA6B1CA2A808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WACC!$O$26:$Q$26</c:f>
              <c:numCache>
                <c:formatCode>General</c:formatCode>
                <c:ptCount val="3"/>
                <c:pt idx="0" formatCode="0.00%">
                  <c:v>6.66492855758576E-2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7-4646-A56E-BA6B1CA2A808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WACC!$O$27:$Q$27</c:f>
              <c:numCache>
                <c:formatCode>0.00%</c:formatCode>
                <c:ptCount val="3"/>
                <c:pt idx="1">
                  <c:v>5.7381422635384746E-2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57-4646-A56E-BA6B1CA2A808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WACC!$O$28:$Q$28</c:f>
              <c:numCache>
                <c:formatCode>General</c:formatCode>
                <c:ptCount val="3"/>
                <c:pt idx="2" formatCode="0.00%">
                  <c:v>1.6199999999999999E-2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57-4646-A56E-BA6B1CA2A808}"/>
            </c:ext>
          </c:extLst>
        </c:ser>
        <c:ser>
          <c:idx val="4"/>
          <c:order val="4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76-4EF4-B9AE-5CE3A34434D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76-4EF4-B9AE-5CE3A34434D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176-4EF4-B9AE-5CE3A34434D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176-4EF4-B9AE-5CE3A34434D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176-4EF4-B9AE-5CE3A34434D3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WACC!$O$24:$Q$24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WACC!$O$29:$Q$29</c:f>
              <c:numCache>
                <c:formatCode>0.00%</c:formatCode>
                <c:ptCount val="3"/>
                <c:pt idx="0">
                  <c:v>1.54380952380952E-2</c:v>
                </c:pt>
                <c:pt idx="1">
                  <c:v>1.54380952380952E-2</c:v>
                </c:pt>
                <c:pt idx="2">
                  <c:v>1.54380952380952E-2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57-4646-A56E-BA6B1CA2A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9634623"/>
        <c:axId val="1359637023"/>
      </c:barChart>
      <c:catAx>
        <c:axId val="135963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59637023"/>
        <c:crosses val="autoZero"/>
        <c:auto val="1"/>
        <c:lblAlgn val="ctr"/>
        <c:lblOffset val="100"/>
        <c:noMultiLvlLbl val="0"/>
      </c:catAx>
      <c:valAx>
        <c:axId val="135963702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5963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>
                <a:latin typeface="Abadi" panose="020B0604020104020204" pitchFamily="34" charset="0"/>
              </a:rPr>
              <a:t>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829-40FC-9152-50A44E10A8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829-40FC-9152-50A44E10A8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WACC!$O$35:$Q$35</c:f>
              <c:numCache>
                <c:formatCode>0.00%</c:formatCode>
                <c:ptCount val="3"/>
                <c:pt idx="0">
                  <c:v>4.58E-2</c:v>
                </c:pt>
                <c:pt idx="1">
                  <c:v>4.58E-2</c:v>
                </c:pt>
                <c:pt idx="2">
                  <c:v>4.58E-2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5-4CE2-80CB-DE353A50898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WACC!$O$36:$Q$36</c:f>
              <c:numCache>
                <c:formatCode>General</c:formatCode>
                <c:ptCount val="3"/>
                <c:pt idx="0" formatCode="0.00%">
                  <c:v>0.12202989161286652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5-4CE2-80CB-DE353A508987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WACC!$O$37:$Q$37</c:f>
              <c:numCache>
                <c:formatCode>0.00%</c:formatCode>
                <c:ptCount val="3"/>
                <c:pt idx="1">
                  <c:v>5.7381422635384753E-2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5-4CE2-80CB-DE353A508987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829-40FC-9152-50A44E10A88E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WACC!$O$38:$Q$38</c:f>
              <c:numCache>
                <c:formatCode>General</c:formatCode>
                <c:ptCount val="3"/>
                <c:pt idx="2" formatCode="0.00%">
                  <c:v>1.6199999999999999E-2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25-4CE2-80CB-DE353A508987}"/>
            </c:ext>
          </c:extLst>
        </c:ser>
        <c:ser>
          <c:idx val="4"/>
          <c:order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29-40FC-9152-50A44E10A8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29-40FC-9152-50A44E10A8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WACC!$O$39:$Q$39</c:f>
              <c:numCache>
                <c:formatCode>0.00%</c:formatCode>
                <c:ptCount val="3"/>
                <c:pt idx="0">
                  <c:v>1.54380952380952E-2</c:v>
                </c:pt>
                <c:pt idx="1">
                  <c:v>1.54380952380952E-2</c:v>
                </c:pt>
                <c:pt idx="2">
                  <c:v>1.54380952380952E-2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25-4CE2-80CB-DE353A508987}"/>
            </c:ext>
          </c:extLst>
        </c:ser>
        <c:ser>
          <c:idx val="5"/>
          <c:order val="5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829-40FC-9152-50A44E10A88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829-40FC-9152-50A44E10A88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829-40FC-9152-50A44E10A88E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WACC!$O$34:$Q$34</c:f>
              <c:strCache>
                <c:ptCount val="3"/>
                <c:pt idx="0">
                  <c:v>Ke</c:v>
                </c:pt>
                <c:pt idx="1">
                  <c:v>Koa</c:v>
                </c:pt>
                <c:pt idx="2">
                  <c:v>Kd</c:v>
                </c:pt>
              </c:strCache>
            </c:strRef>
          </c:cat>
          <c:val>
            <c:numRef>
              <c:f>WACC!$O$40:$Q$40</c:f>
              <c:numCache>
                <c:formatCode>0.00%</c:formatCode>
                <c:ptCount val="3"/>
                <c:pt idx="0">
                  <c:v>5.4619047619048067E-3</c:v>
                </c:pt>
                <c:pt idx="1">
                  <c:v>5.4619047619048067E-3</c:v>
                </c:pt>
                <c:pt idx="2">
                  <c:v>5.4619047619048067E-3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25-4CE2-80CB-DE353A508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090111"/>
        <c:axId val="979088671"/>
      </c:barChart>
      <c:catAx>
        <c:axId val="97909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9088671"/>
        <c:crosses val="autoZero"/>
        <c:auto val="1"/>
        <c:lblAlgn val="ctr"/>
        <c:lblOffset val="100"/>
        <c:noMultiLvlLbl val="0"/>
      </c:catAx>
      <c:valAx>
        <c:axId val="97908867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7909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WACC!$O$97</c:f>
              <c:strCache>
                <c:ptCount val="1"/>
                <c:pt idx="0">
                  <c:v>%D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WACC!$P$97:$R$97</c:f>
              <c:numCache>
                <c:formatCode>0.00%</c:formatCode>
                <c:ptCount val="3"/>
                <c:pt idx="0">
                  <c:v>0.18639448485009491</c:v>
                </c:pt>
                <c:pt idx="1">
                  <c:v>0.18639448485009491</c:v>
                </c:pt>
                <c:pt idx="2">
                  <c:v>0.61509999999999998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F-4AEF-B845-FB8A303CECB1}"/>
            </c:ext>
          </c:extLst>
        </c:ser>
        <c:ser>
          <c:idx val="1"/>
          <c:order val="1"/>
          <c:tx>
            <c:strRef>
              <c:f>WACC!$O$98</c:f>
              <c:strCache>
                <c:ptCount val="1"/>
                <c:pt idx="0">
                  <c:v>%C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WACC!$P$98:$R$98</c:f>
              <c:numCache>
                <c:formatCode>0.00%</c:formatCode>
                <c:ptCount val="3"/>
                <c:pt idx="0">
                  <c:v>0.81360551514990509</c:v>
                </c:pt>
                <c:pt idx="1">
                  <c:v>0.81360551514990509</c:v>
                </c:pt>
                <c:pt idx="2">
                  <c:v>0.38490000000000002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F-4AEF-B845-FB8A303CE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0965967"/>
        <c:axId val="1020965007"/>
      </c:barChart>
      <c:catAx>
        <c:axId val="102096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20965007"/>
        <c:crosses val="autoZero"/>
        <c:auto val="1"/>
        <c:lblAlgn val="ctr"/>
        <c:lblOffset val="100"/>
        <c:noMultiLvlLbl val="0"/>
      </c:catAx>
      <c:valAx>
        <c:axId val="102096500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209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WACC!$Q$57</c:f>
              <c:strCache>
                <c:ptCount val="1"/>
                <c:pt idx="0">
                  <c:v>Ke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8C8-4D5F-8244-B1B749586DA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8C8-4D5F-8244-B1B749586DA4}"/>
                </c:ext>
              </c:extLst>
            </c:dLbl>
            <c:dLbl>
              <c:idx val="5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WACC!$R$57:$W$57</c:f>
              <c:numCache>
                <c:formatCode>0.00%</c:formatCode>
                <c:ptCount val="6"/>
                <c:pt idx="0">
                  <c:v>0.10318142263538475</c:v>
                </c:pt>
                <c:pt idx="1">
                  <c:v>0.10503499522347931</c:v>
                </c:pt>
                <c:pt idx="2">
                  <c:v>0.10688856781157388</c:v>
                </c:pt>
                <c:pt idx="3">
                  <c:v>0.10874214039966845</c:v>
                </c:pt>
                <c:pt idx="4">
                  <c:v>0.11059571298776302</c:v>
                </c:pt>
                <c:pt idx="5">
                  <c:v>0.11304085129546224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8-4D5F-8244-B1B749586DA4}"/>
            </c:ext>
          </c:extLst>
        </c:ser>
        <c:ser>
          <c:idx val="1"/>
          <c:order val="1"/>
          <c:tx>
            <c:strRef>
              <c:f>WACC!$Q$61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8C8-4D5F-8244-B1B749586DA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WACC!$R$58:$W$58</c:f>
              <c:numCache>
                <c:formatCode>0.00%</c:formatCode>
                <c:ptCount val="6"/>
                <c:pt idx="0">
                  <c:v>0.10318142263538475</c:v>
                </c:pt>
                <c:pt idx="1">
                  <c:v>0.10318142263538475</c:v>
                </c:pt>
                <c:pt idx="2">
                  <c:v>0.10318142263538475</c:v>
                </c:pt>
                <c:pt idx="3">
                  <c:v>0.10318142263538475</c:v>
                </c:pt>
                <c:pt idx="4">
                  <c:v>0.10318142263538475</c:v>
                </c:pt>
                <c:pt idx="5">
                  <c:v>0.10318142263538475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C8-4D5F-8244-B1B749586DA4}"/>
            </c:ext>
          </c:extLst>
        </c:ser>
        <c:ser>
          <c:idx val="2"/>
          <c:order val="2"/>
          <c:tx>
            <c:strRef>
              <c:f>WACC!$Q$60</c:f>
              <c:strCache>
                <c:ptCount val="1"/>
                <c:pt idx="0">
                  <c:v>Kd(1-t)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8C8-4D5F-8244-B1B749586DA4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8C8-4D5F-8244-B1B749586DA4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WACC!$R$60:$W$60</c:f>
              <c:numCache>
                <c:formatCode>0.00%</c:formatCode>
                <c:ptCount val="6"/>
                <c:pt idx="0">
                  <c:v>4.65E-2</c:v>
                </c:pt>
                <c:pt idx="1">
                  <c:v>4.65E-2</c:v>
                </c:pt>
                <c:pt idx="2">
                  <c:v>4.65E-2</c:v>
                </c:pt>
                <c:pt idx="3">
                  <c:v>4.65E-2</c:v>
                </c:pt>
                <c:pt idx="4">
                  <c:v>4.65E-2</c:v>
                </c:pt>
                <c:pt idx="5">
                  <c:v>4.65E-2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8-4D5F-8244-B1B749586DA4}"/>
            </c:ext>
          </c:extLst>
        </c:ser>
        <c:ser>
          <c:idx val="3"/>
          <c:order val="3"/>
          <c:tx>
            <c:strRef>
              <c:f>WACC!$Q$58</c:f>
              <c:strCache>
                <c:ptCount val="1"/>
                <c:pt idx="0">
                  <c:v>Koa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F0"/>
                </a:solidFill>
                <a:ln w="9525">
                  <a:solidFill>
                    <a:srgbClr val="00B0F0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F8C8-4D5F-8244-B1B749586DA4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C8-4D5F-8244-B1B749586D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C8-4D5F-8244-B1B749586DA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C8-4D5F-8244-B1B749586DA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C8-4D5F-8244-B1B749586DA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8C8-4D5F-8244-B1B749586DA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C8-4D5F-8244-B1B749586D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WACC!$R$55:$W$55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WACC!$R$61:$W$61</c:f>
              <c:numCache>
                <c:formatCode>0.00%</c:formatCode>
                <c:ptCount val="6"/>
                <c:pt idx="0">
                  <c:v>0.10318142263538475</c:v>
                </c:pt>
                <c:pt idx="1">
                  <c:v>0.10247046351389021</c:v>
                </c:pt>
                <c:pt idx="2">
                  <c:v>0.10181918659626252</c:v>
                </c:pt>
                <c:pt idx="3">
                  <c:v>0.10122037948161598</c:v>
                </c:pt>
                <c:pt idx="4">
                  <c:v>0.10066794689571211</c:v>
                </c:pt>
                <c:pt idx="5">
                  <c:v>0.10063800359675777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C8-4D5F-8244-B1B749586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492559"/>
        <c:axId val="1063495919"/>
      </c:lineChart>
      <c:catAx>
        <c:axId val="106349255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95919"/>
        <c:crosses val="autoZero"/>
        <c:auto val="1"/>
        <c:lblAlgn val="ctr"/>
        <c:lblOffset val="100"/>
        <c:noMultiLvlLbl val="0"/>
      </c:catAx>
      <c:valAx>
        <c:axId val="106349591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92559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WACC!$Y$57</c:f>
              <c:strCache>
                <c:ptCount val="1"/>
                <c:pt idx="0">
                  <c:v>Ke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C04-47B9-8E5D-74BD066953E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C04-47B9-8E5D-74BD066953E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C04-47B9-8E5D-74BD066953ED}"/>
                </c:ext>
              </c:extLst>
            </c:dLbl>
            <c:dLbl>
              <c:idx val="5"/>
              <c:layout>
                <c:manualLayout>
                  <c:x val="-1.4773042280134039E-16"/>
                  <c:y val="-1.9817831991598495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WACC!$Z$57:$AE$57</c:f>
              <c:numCache>
                <c:formatCode>0.00%</c:formatCode>
                <c:ptCount val="6"/>
                <c:pt idx="0">
                  <c:v>0.11861951787347995</c:v>
                </c:pt>
                <c:pt idx="1">
                  <c:v>0.12047309046157451</c:v>
                </c:pt>
                <c:pt idx="2">
                  <c:v>0.12232666304966908</c:v>
                </c:pt>
                <c:pt idx="3">
                  <c:v>0.12418023563776365</c:v>
                </c:pt>
                <c:pt idx="4">
                  <c:v>0.12603380822585822</c:v>
                </c:pt>
                <c:pt idx="5">
                  <c:v>0.12788738081395279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4-47B9-8E5D-74BD066953ED}"/>
            </c:ext>
          </c:extLst>
        </c:ser>
        <c:ser>
          <c:idx val="1"/>
          <c:order val="1"/>
          <c:tx>
            <c:strRef>
              <c:f>WACC!$Y$61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C04-47B9-8E5D-74BD066953E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04-47B9-8E5D-74BD066953E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WACC!$Z$58:$AE$58</c:f>
              <c:numCache>
                <c:formatCode>0.00%</c:formatCode>
                <c:ptCount val="6"/>
                <c:pt idx="0">
                  <c:v>0.11861951787347995</c:v>
                </c:pt>
                <c:pt idx="1">
                  <c:v>0.11861951787347995</c:v>
                </c:pt>
                <c:pt idx="2">
                  <c:v>0.11861951787347995</c:v>
                </c:pt>
                <c:pt idx="3">
                  <c:v>0.11861951787347995</c:v>
                </c:pt>
                <c:pt idx="4">
                  <c:v>0.11861951787347995</c:v>
                </c:pt>
                <c:pt idx="5">
                  <c:v>0.11861951787347995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4-47B9-8E5D-74BD066953ED}"/>
            </c:ext>
          </c:extLst>
        </c:ser>
        <c:ser>
          <c:idx val="2"/>
          <c:order val="2"/>
          <c:tx>
            <c:strRef>
              <c:f>WACC!$Y$60</c:f>
              <c:strCache>
                <c:ptCount val="1"/>
                <c:pt idx="0">
                  <c:v>Kd(1-t)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C04-47B9-8E5D-74BD066953ED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C04-47B9-8E5D-74BD066953ED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04-47B9-8E5D-74BD066953E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04-47B9-8E5D-74BD066953ED}"/>
                </c:ext>
              </c:extLst>
            </c:dLbl>
            <c:dLbl>
              <c:idx val="5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WACC!$Z$60:$AE$60</c:f>
              <c:numCache>
                <c:formatCode>0.00%</c:formatCode>
                <c:ptCount val="6"/>
                <c:pt idx="0">
                  <c:v>5.4593857142857118E-2</c:v>
                </c:pt>
                <c:pt idx="1">
                  <c:v>5.4593857142857118E-2</c:v>
                </c:pt>
                <c:pt idx="2">
                  <c:v>5.4593857142857118E-2</c:v>
                </c:pt>
                <c:pt idx="3">
                  <c:v>5.4593857142857118E-2</c:v>
                </c:pt>
                <c:pt idx="4">
                  <c:v>5.4593857142857118E-2</c:v>
                </c:pt>
                <c:pt idx="5">
                  <c:v>5.4593857142857118E-2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4-47B9-8E5D-74BD066953ED}"/>
            </c:ext>
          </c:extLst>
        </c:ser>
        <c:ser>
          <c:idx val="3"/>
          <c:order val="3"/>
          <c:tx>
            <c:strRef>
              <c:f>WACC!$Y$58</c:f>
              <c:strCache>
                <c:ptCount val="1"/>
                <c:pt idx="0">
                  <c:v>Koa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chemeClr val="accent4"/>
                </a:solidFill>
                <a:ln w="9525">
                  <a:solidFill>
                    <a:srgbClr val="00B0F0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C04-47B9-8E5D-74BD066953E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04-47B9-8E5D-74BD066953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C04-47B9-8E5D-74BD066953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C04-47B9-8E5D-74BD066953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04-47B9-8E5D-74BD066953E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C04-47B9-8E5D-74BD066953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WACC!$Z$55:$AE$55</c:f>
              <c:numCache>
                <c:formatCode>0.00</c:formatCode>
                <c:ptCount val="6"/>
                <c:pt idx="0">
                  <c:v>0</c:v>
                </c:pt>
                <c:pt idx="1">
                  <c:v>4.5819375945540891E-2</c:v>
                </c:pt>
                <c:pt idx="2">
                  <c:v>9.1638751891081796E-2</c:v>
                </c:pt>
                <c:pt idx="3">
                  <c:v>0.1374581278366227</c:v>
                </c:pt>
                <c:pt idx="4">
                  <c:v>0.18327750378216362</c:v>
                </c:pt>
                <c:pt idx="5">
                  <c:v>0.22909687972770454</c:v>
                </c:pt>
              </c:numCache>
            </c:numRef>
          </c:cat>
          <c:val>
            <c:numRef>
              <c:f>WACC!$Z$61:$AE$61</c:f>
              <c:numCache>
                <c:formatCode>0.00%</c:formatCode>
                <c:ptCount val="6"/>
                <c:pt idx="0">
                  <c:v>0.11861951787347995</c:v>
                </c:pt>
                <c:pt idx="1">
                  <c:v>0.11758679343183626</c:v>
                </c:pt>
                <c:pt idx="2">
                  <c:v>0.11664076211895491</c:v>
                </c:pt>
                <c:pt idx="3">
                  <c:v>0.1157709473512287</c:v>
                </c:pt>
                <c:pt idx="4">
                  <c:v>0.11496849525999731</c:v>
                </c:pt>
                <c:pt idx="5">
                  <c:v>0.11422587222643067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04-47B9-8E5D-74BD06695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93055"/>
        <c:axId val="202581055"/>
      </c:lineChart>
      <c:catAx>
        <c:axId val="20259305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2581055"/>
        <c:crosses val="autoZero"/>
        <c:auto val="1"/>
        <c:lblAlgn val="ctr"/>
        <c:lblOffset val="100"/>
        <c:noMultiLvlLbl val="0"/>
      </c:catAx>
      <c:valAx>
        <c:axId val="2025810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259305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WACC!$AH$57</c:f>
              <c:strCache>
                <c:ptCount val="1"/>
                <c:pt idx="0">
                  <c:v>Ke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F63-4A3E-B106-9A954B78645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F63-4A3E-B106-9A954B7864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F63-4A3E-B106-9A954B78645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WACC!$AI$57:$AN$57</c:f>
              <c:numCache>
                <c:formatCode>0.00%</c:formatCode>
                <c:ptCount val="6"/>
                <c:pt idx="0">
                  <c:v>0.12408142263538476</c:v>
                </c:pt>
                <c:pt idx="1">
                  <c:v>0.1370111164308811</c:v>
                </c:pt>
                <c:pt idx="2">
                  <c:v>0.14994081022637745</c:v>
                </c:pt>
                <c:pt idx="3">
                  <c:v>0.16287050402187381</c:v>
                </c:pt>
                <c:pt idx="4">
                  <c:v>0.17580019781737016</c:v>
                </c:pt>
                <c:pt idx="5">
                  <c:v>0.18872989161286652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3-4A3E-B106-9A954B786459}"/>
            </c:ext>
          </c:extLst>
        </c:ser>
        <c:ser>
          <c:idx val="1"/>
          <c:order val="1"/>
          <c:tx>
            <c:strRef>
              <c:f>WACC!$AH$61</c:f>
              <c:strCache>
                <c:ptCount val="1"/>
                <c:pt idx="0">
                  <c:v>WACC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6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F63-4A3E-B106-9A954B78645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63-4A3E-B106-9A954B7864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WACC!$AI$58:$AN$58</c:f>
              <c:numCache>
                <c:formatCode>0.00%</c:formatCode>
                <c:ptCount val="6"/>
                <c:pt idx="0">
                  <c:v>0.12408142263538474</c:v>
                </c:pt>
                <c:pt idx="1">
                  <c:v>0.12408142263538474</c:v>
                </c:pt>
                <c:pt idx="2">
                  <c:v>0.12408142263538474</c:v>
                </c:pt>
                <c:pt idx="3">
                  <c:v>0.12408142263538474</c:v>
                </c:pt>
                <c:pt idx="4">
                  <c:v>0.12408142263538474</c:v>
                </c:pt>
                <c:pt idx="5">
                  <c:v>0.12408142263538474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3-4A3E-B106-9A954B786459}"/>
            </c:ext>
          </c:extLst>
        </c:ser>
        <c:ser>
          <c:idx val="2"/>
          <c:order val="2"/>
          <c:tx>
            <c:strRef>
              <c:f>WACC!$AH$60</c:f>
              <c:strCache>
                <c:ptCount val="1"/>
                <c:pt idx="0">
                  <c:v>Kd(1-t)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F63-4A3E-B106-9A954B786459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F63-4A3E-B106-9A954B786459}"/>
              </c:ext>
            </c:extLst>
          </c:dPt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63-4A3E-B106-9A954B7864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63-4A3E-B106-9A954B786459}"/>
                </c:ext>
              </c:extLst>
            </c:dLbl>
            <c:dLbl>
              <c:idx val="5"/>
              <c:showLegendKey val="0"/>
              <c:showVal val="0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WACC!$AI$60:$AN$60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63-4A3E-B106-9A954B786459}"/>
            </c:ext>
          </c:extLst>
        </c:ser>
        <c:ser>
          <c:idx val="3"/>
          <c:order val="3"/>
          <c:tx>
            <c:strRef>
              <c:f>WACC!$AH$58</c:f>
              <c:strCache>
                <c:ptCount val="1"/>
                <c:pt idx="0">
                  <c:v>Koa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6"/>
              <c:spPr>
                <a:solidFill>
                  <a:schemeClr val="accent4"/>
                </a:solidFill>
                <a:ln w="9525">
                  <a:solidFill>
                    <a:srgbClr val="00B0F0"/>
                  </a:solidFill>
                  <a:prstDash val="sys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F63-4A3E-B106-9A954B78645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F63-4A3E-B106-9A954B7864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F63-4A3E-B106-9A954B7864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F63-4A3E-B106-9A954B78645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F63-4A3E-B106-9A954B78645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F63-4A3E-B106-9A954B7864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WACC!$AI$55:$AN$55</c:f>
              <c:numCache>
                <c:formatCode>0.00</c:formatCode>
                <c:ptCount val="6"/>
                <c:pt idx="0">
                  <c:v>0</c:v>
                </c:pt>
                <c:pt idx="1">
                  <c:v>0.31961548454143929</c:v>
                </c:pt>
                <c:pt idx="2">
                  <c:v>0.63923096908287858</c:v>
                </c:pt>
                <c:pt idx="3">
                  <c:v>0.95884645362431786</c:v>
                </c:pt>
                <c:pt idx="4">
                  <c:v>1.2784619381657572</c:v>
                </c:pt>
                <c:pt idx="5">
                  <c:v>1.5980774227071965</c:v>
                </c:pt>
              </c:numCache>
            </c:numRef>
          </c:cat>
          <c:val>
            <c:numRef>
              <c:f>WACC!$AI$61:$AN$61</c:f>
              <c:numCache>
                <c:formatCode>0.00%</c:formatCode>
                <c:ptCount val="6"/>
                <c:pt idx="0">
                  <c:v>0.12408142263538476</c:v>
                </c:pt>
                <c:pt idx="1">
                  <c:v>0.10382654495638316</c:v>
                </c:pt>
                <c:pt idx="2">
                  <c:v>9.1470215640366268E-2</c:v>
                </c:pt>
                <c:pt idx="3">
                  <c:v>8.3146131091860614E-2</c:v>
                </c:pt>
                <c:pt idx="4">
                  <c:v>7.7157399416070818E-2</c:v>
                </c:pt>
                <c:pt idx="5">
                  <c:v>7.2642135281792322E-2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63-4A3E-B106-9A954B786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490399"/>
        <c:axId val="782675599"/>
      </c:lineChart>
      <c:catAx>
        <c:axId val="78849039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2675599"/>
        <c:crosses val="autoZero"/>
        <c:auto val="1"/>
        <c:lblAlgn val="ctr"/>
        <c:lblOffset val="100"/>
        <c:noMultiLvlLbl val="0"/>
      </c:catAx>
      <c:valAx>
        <c:axId val="78267559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88490399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WACC!$O$138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WACC!$P$138:$Q$138</c:f>
              <c:numCache>
                <c:formatCode>0.00%</c:formatCode>
                <c:ptCount val="2"/>
                <c:pt idx="0">
                  <c:v>0.11304085129546224</c:v>
                </c:pt>
                <c:pt idx="1">
                  <c:v>0.12788738081395279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6-4CB8-9B3E-56A6985D80A9}"/>
            </c:ext>
          </c:extLst>
        </c:ser>
        <c:ser>
          <c:idx val="3"/>
          <c:order val="2"/>
          <c:tx>
            <c:strRef>
              <c:f>WACC!$O$139</c:f>
              <c:strCache>
                <c:ptCount val="1"/>
                <c:pt idx="0">
                  <c:v>Koa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WACC!$P$139:$Q$139</c:f>
              <c:numCache>
                <c:formatCode>0.00%</c:formatCode>
                <c:ptCount val="2"/>
                <c:pt idx="0">
                  <c:v>0.10318142263538475</c:v>
                </c:pt>
                <c:pt idx="1">
                  <c:v>0.11861951787347993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F6-4CB8-9B3E-56A6985D80A9}"/>
            </c:ext>
          </c:extLst>
        </c:ser>
        <c:ser>
          <c:idx val="4"/>
          <c:order val="3"/>
          <c:tx>
            <c:strRef>
              <c:f>WACC!$O$140</c:f>
              <c:strCache>
                <c:ptCount val="1"/>
                <c:pt idx="0">
                  <c:v>Kd(1-t)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WACC!$P$140:$Q$140</c:f>
              <c:numCache>
                <c:formatCode>0.00%</c:formatCode>
                <c:ptCount val="2"/>
                <c:pt idx="0">
                  <c:v>4.65E-2</c:v>
                </c:pt>
                <c:pt idx="1">
                  <c:v>5.4593857142857118E-2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4-4E48-A261-80E43A0E8A6B}"/>
            </c:ext>
          </c:extLst>
        </c:ser>
        <c:ser>
          <c:idx val="0"/>
          <c:order val="4"/>
          <c:tx>
            <c:strRef>
              <c:f>WACC!$O$141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WACC!$P$137:$Q$137</c:f>
              <c:strCache>
                <c:ptCount val="2"/>
                <c:pt idx="0">
                  <c:v>M. Desarrollado</c:v>
                </c:pt>
                <c:pt idx="1">
                  <c:v>M. Emergente</c:v>
                </c:pt>
              </c:strCache>
            </c:strRef>
          </c:cat>
          <c:val>
            <c:numRef>
              <c:f>WACC!$P$141:$Q$141</c:f>
              <c:numCache>
                <c:formatCode>0.00%</c:formatCode>
                <c:ptCount val="2"/>
                <c:pt idx="0">
                  <c:v>0.10063800359675777</c:v>
                </c:pt>
                <c:pt idx="1">
                  <c:v>0.11422587222643067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1-4A98-B75C-CA1140A20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022687"/>
        <c:axId val="999024127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WACC!$O$137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PE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WACC!$P$137:$Q$137</c15:sqref>
                        </c15:formulaRef>
                      </c:ext>
                    </c:extLst>
                    <c:strCache>
                      <c:ptCount val="2"/>
                      <c:pt idx="0">
                        <c:v>M. Desarrollado</c:v>
                      </c:pt>
                      <c:pt idx="1">
                        <c:v>M. Emergente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WACC!$P$137:$Q$137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EF6-4CB8-9B3E-56A6985D80A9}"/>
                  </c:ext>
                </c:extLst>
              </c15:ser>
            </c15:filteredBarSeries>
          </c:ext>
        </c:extLst>
      </c:barChart>
      <c:catAx>
        <c:axId val="99902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9024127"/>
        <c:crosses val="autoZero"/>
        <c:auto val="1"/>
        <c:lblAlgn val="ctr"/>
        <c:lblOffset val="100"/>
        <c:noMultiLvlLbl val="0"/>
      </c:catAx>
      <c:valAx>
        <c:axId val="99902412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9902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WACC!$N$172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WACC!$O$172:$R$172</c:f>
              <c:numCache>
                <c:formatCode>0.00%</c:formatCode>
                <c:ptCount val="4"/>
                <c:pt idx="0">
                  <c:v>0.11304085129546224</c:v>
                </c:pt>
                <c:pt idx="1">
                  <c:v>0.12788738081395279</c:v>
                </c:pt>
                <c:pt idx="2">
                  <c:v>0.18870000000000001</c:v>
                </c:pt>
                <c:pt idx="3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4-474A-AFC2-E9B8723F1272}"/>
            </c:ext>
          </c:extLst>
        </c:ser>
        <c:ser>
          <c:idx val="1"/>
          <c:order val="1"/>
          <c:tx>
            <c:strRef>
              <c:f>WACC!$N$173</c:f>
              <c:strCache>
                <c:ptCount val="1"/>
                <c:pt idx="0">
                  <c:v>Koa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WACC!$O$173:$R$173</c:f>
              <c:numCache>
                <c:formatCode>0.00%</c:formatCode>
                <c:ptCount val="4"/>
                <c:pt idx="0">
                  <c:v>0.10318142263538475</c:v>
                </c:pt>
                <c:pt idx="1">
                  <c:v>0.11861951787347993</c:v>
                </c:pt>
                <c:pt idx="2">
                  <c:v>0.1241</c:v>
                </c:pt>
                <c:pt idx="3">
                  <c:v>0.13669999999999999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4-474A-AFC2-E9B8723F1272}"/>
            </c:ext>
          </c:extLst>
        </c:ser>
        <c:ser>
          <c:idx val="2"/>
          <c:order val="2"/>
          <c:tx>
            <c:strRef>
              <c:f>WACC!$N$174</c:f>
              <c:strCache>
                <c:ptCount val="1"/>
                <c:pt idx="0">
                  <c:v>Kd(1-t)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WACC!$O$174:$R$174</c:f>
              <c:numCache>
                <c:formatCode>0.00%</c:formatCode>
                <c:ptCount val="4"/>
                <c:pt idx="0">
                  <c:v>4.65E-2</c:v>
                </c:pt>
                <c:pt idx="1">
                  <c:v>5.4593857142857118E-2</c:v>
                </c:pt>
                <c:pt idx="2">
                  <c:v>5.8400000000000001E-2</c:v>
                </c:pt>
                <c:pt idx="3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4-474A-AFC2-E9B8723F1272}"/>
            </c:ext>
          </c:extLst>
        </c:ser>
        <c:ser>
          <c:idx val="3"/>
          <c:order val="3"/>
          <c:tx>
            <c:strRef>
              <c:f>WACC!$N$176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WACC!$O$171:$R$171</c:f>
              <c:strCache>
                <c:ptCount val="4"/>
                <c:pt idx="0">
                  <c:v>M. Desarrollado</c:v>
                </c:pt>
                <c:pt idx="1">
                  <c:v>M. Emergente</c:v>
                </c:pt>
                <c:pt idx="2">
                  <c:v>Empresa (Dólares)</c:v>
                </c:pt>
                <c:pt idx="3">
                  <c:v>Empresa (Moneda Nacional)</c:v>
                </c:pt>
              </c:strCache>
            </c:strRef>
          </c:cat>
          <c:val>
            <c:numRef>
              <c:f>WACC!$O$176:$R$176</c:f>
              <c:numCache>
                <c:formatCode>0.00%</c:formatCode>
                <c:ptCount val="4"/>
                <c:pt idx="0">
                  <c:v>0.10063800359675777</c:v>
                </c:pt>
                <c:pt idx="1">
                  <c:v>0.11422587222643067</c:v>
                </c:pt>
                <c:pt idx="2">
                  <c:v>0.1086</c:v>
                </c:pt>
                <c:pt idx="3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14-474A-AFC2-E9B8723F1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475663"/>
        <c:axId val="1063476143"/>
      </c:barChart>
      <c:catAx>
        <c:axId val="106347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76143"/>
        <c:crosses val="autoZero"/>
        <c:auto val="1"/>
        <c:lblAlgn val="ctr"/>
        <c:lblOffset val="100"/>
        <c:noMultiLvlLbl val="0"/>
      </c:catAx>
      <c:valAx>
        <c:axId val="106347614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6347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WACC!$Q$57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WACC!$I$24:$J$24</c:f>
              <c:numCache>
                <c:formatCode>0.00%</c:formatCode>
                <c:ptCount val="2"/>
                <c:pt idx="0">
                  <c:v>0.18870000000000001</c:v>
                </c:pt>
                <c:pt idx="1">
                  <c:v>0.20200000000000001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0-406A-B2E1-D7D861B39F7C}"/>
            </c:ext>
          </c:extLst>
        </c:ser>
        <c:ser>
          <c:idx val="1"/>
          <c:order val="1"/>
          <c:tx>
            <c:strRef>
              <c:f>WACC!$Q$58</c:f>
              <c:strCache>
                <c:ptCount val="1"/>
                <c:pt idx="0">
                  <c:v>Koa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WACC!$I$28:$J$28</c:f>
              <c:numCache>
                <c:formatCode>0.00%</c:formatCode>
                <c:ptCount val="2"/>
                <c:pt idx="0">
                  <c:v>0.1241</c:v>
                </c:pt>
                <c:pt idx="1">
                  <c:v>0.13669999999999999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0-406A-B2E1-D7D861B39F7C}"/>
            </c:ext>
          </c:extLst>
        </c:ser>
        <c:ser>
          <c:idx val="2"/>
          <c:order val="2"/>
          <c:tx>
            <c:strRef>
              <c:f>WACC!$Q$60</c:f>
              <c:strCache>
                <c:ptCount val="1"/>
                <c:pt idx="0">
                  <c:v>Kd(1-t)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WACC!$I$34:$J$34</c:f>
              <c:numCache>
                <c:formatCode>0.00%</c:formatCode>
                <c:ptCount val="2"/>
                <c:pt idx="0">
                  <c:v>5.8400000000000001E-2</c:v>
                </c:pt>
                <c:pt idx="1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0-406A-B2E1-D7D861B39F7C}"/>
            </c:ext>
          </c:extLst>
        </c:ser>
        <c:ser>
          <c:idx val="3"/>
          <c:order val="3"/>
          <c:tx>
            <c:strRef>
              <c:f>WACC!$Q$61</c:f>
              <c:strCache>
                <c:ptCount val="1"/>
                <c:pt idx="0">
                  <c:v>WACC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WACC!$I$36:$J$36</c:f>
              <c:strCache>
                <c:ptCount val="2"/>
                <c:pt idx="0">
                  <c:v>Dólares</c:v>
                </c:pt>
                <c:pt idx="1">
                  <c:v>Moneda Nacional</c:v>
                </c:pt>
              </c:strCache>
            </c:strRef>
          </c:cat>
          <c:val>
            <c:numRef>
              <c:f>WACC!$I$37:$J$37</c:f>
              <c:numCache>
                <c:formatCode>0.00%</c:formatCode>
                <c:ptCount val="2"/>
                <c:pt idx="0">
                  <c:v>0.1086</c:v>
                </c:pt>
                <c:pt idx="1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40-406A-B2E1-D7D861B3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18"/>
        <c:axId val="1372849791"/>
        <c:axId val="1063477103"/>
      </c:barChart>
      <c:catAx>
        <c:axId val="137284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3477103"/>
        <c:crosses val="autoZero"/>
        <c:auto val="1"/>
        <c:lblAlgn val="ctr"/>
        <c:lblOffset val="100"/>
        <c:noMultiLvlLbl val="0"/>
      </c:catAx>
      <c:valAx>
        <c:axId val="1063477103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728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WACC!$O$97</c:f>
              <c:strCache>
                <c:ptCount val="1"/>
                <c:pt idx="0">
                  <c:v>%D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WACC!$P$97:$R$97</c:f>
              <c:numCache>
                <c:formatCode>0.00%</c:formatCode>
                <c:ptCount val="3"/>
                <c:pt idx="0">
                  <c:v>0.18639448485009491</c:v>
                </c:pt>
                <c:pt idx="1">
                  <c:v>0.18639448485009491</c:v>
                </c:pt>
                <c:pt idx="2">
                  <c:v>0.61509999999999998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C-4908-ACFE-46E1BF9661FC}"/>
            </c:ext>
          </c:extLst>
        </c:ser>
        <c:ser>
          <c:idx val="1"/>
          <c:order val="1"/>
          <c:tx>
            <c:strRef>
              <c:f>WACC!$O$98</c:f>
              <c:strCache>
                <c:ptCount val="1"/>
                <c:pt idx="0">
                  <c:v>%C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WACC!$P$96:$R$96</c:f>
              <c:strCache>
                <c:ptCount val="3"/>
                <c:pt idx="0">
                  <c:v>M. Desarrollado</c:v>
                </c:pt>
                <c:pt idx="1">
                  <c:v>M. Emergente</c:v>
                </c:pt>
                <c:pt idx="2">
                  <c:v>Empresa</c:v>
                </c:pt>
              </c:strCache>
            </c:strRef>
          </c:cat>
          <c:val>
            <c:numRef>
              <c:f>WACC!$P$98:$R$98</c:f>
              <c:numCache>
                <c:formatCode>0.00%</c:formatCode>
                <c:ptCount val="3"/>
                <c:pt idx="0">
                  <c:v>0.81360551514990509</c:v>
                </c:pt>
                <c:pt idx="1">
                  <c:v>0.81360551514990509</c:v>
                </c:pt>
                <c:pt idx="2">
                  <c:v>0.38490000000000002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C-4908-ACFE-46E1BF966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0965967"/>
        <c:axId val="1020965007"/>
      </c:barChart>
      <c:catAx>
        <c:axId val="102096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20965007"/>
        <c:crosses val="autoZero"/>
        <c:auto val="1"/>
        <c:lblAlgn val="ctr"/>
        <c:lblOffset val="100"/>
        <c:noMultiLvlLbl val="0"/>
      </c:catAx>
      <c:valAx>
        <c:axId val="102096500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209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Riesgo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5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E2-4A2F-B95F-CB356453E5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Embi!$A$3:$A$19</c:f>
              <c:numCache>
                <c:formatCode>m/d/yyyy</c:formatCode>
                <c:ptCount val="17"/>
                <c:pt idx="0">
                  <c:v>45747</c:v>
                </c:pt>
                <c:pt idx="1">
                  <c:v>45657</c:v>
                </c:pt>
                <c:pt idx="2">
                  <c:v>45565</c:v>
                </c:pt>
                <c:pt idx="3">
                  <c:v>45473</c:v>
                </c:pt>
                <c:pt idx="4">
                  <c:v>45382</c:v>
                </c:pt>
                <c:pt idx="5">
                  <c:v>45291</c:v>
                </c:pt>
                <c:pt idx="6">
                  <c:v>45199</c:v>
                </c:pt>
                <c:pt idx="7">
                  <c:v>45107</c:v>
                </c:pt>
                <c:pt idx="8">
                  <c:v>45016</c:v>
                </c:pt>
                <c:pt idx="9">
                  <c:v>44926</c:v>
                </c:pt>
                <c:pt idx="10">
                  <c:v>44834</c:v>
                </c:pt>
                <c:pt idx="11">
                  <c:v>44742</c:v>
                </c:pt>
                <c:pt idx="12">
                  <c:v>44651</c:v>
                </c:pt>
                <c:pt idx="13">
                  <c:v>44561</c:v>
                </c:pt>
                <c:pt idx="14">
                  <c:v>44469</c:v>
                </c:pt>
                <c:pt idx="15">
                  <c:v>44377</c:v>
                </c:pt>
                <c:pt idx="16">
                  <c:v>44286</c:v>
                </c:pt>
              </c:numCache>
            </c:numRef>
          </c:cat>
          <c:val>
            <c:numRef>
              <c:f>Embi!$H$3:$H$19</c:f>
              <c:numCache>
                <c:formatCode>##\ ##0.00</c:formatCode>
                <c:ptCount val="17"/>
                <c:pt idx="0">
                  <c:v>159.45558115719402</c:v>
                </c:pt>
                <c:pt idx="1">
                  <c:v>154.38095238095201</c:v>
                </c:pt>
                <c:pt idx="2">
                  <c:v>162.57894736842101</c:v>
                </c:pt>
                <c:pt idx="3" formatCode="_(* #,##0.00_);_(* \(#,##0.00\);_(* &quot;-&quot;??_);_(@_)">
                  <c:v>160.9</c:v>
                </c:pt>
                <c:pt idx="4" formatCode="_(* #,##0.00_);_(* \(#,##0.00\);_(* &quot;-&quot;??_);_(@_)">
                  <c:v>152.666666666667</c:v>
                </c:pt>
                <c:pt idx="5" formatCode="_(* #,##0.00_);_(* \(#,##0.00\);_(* &quot;-&quot;??_);_(@_)">
                  <c:v>162.42857142857099</c:v>
                </c:pt>
                <c:pt idx="6" formatCode="_(* #,##0.00_);_(* \(#,##0.00\);_(* &quot;-&quot;??_);_(@_)">
                  <c:v>169.09523809523799</c:v>
                </c:pt>
                <c:pt idx="7" formatCode="_(* #,##0.00_);_(* \(#,##0.00\);_(* &quot;-&quot;??_);_(@_)">
                  <c:v>181.09090909090901</c:v>
                </c:pt>
                <c:pt idx="8" formatCode="_(* #,##0.00_);_(* \(#,##0.00\);_(* &quot;-&quot;??_);_(@_)">
                  <c:v>203.826086956522</c:v>
                </c:pt>
                <c:pt idx="9" formatCode="_(* #,##0.00_);_(* \(#,##0.00\);_(* &quot;-&quot;??_);_(@_)">
                  <c:v>201</c:v>
                </c:pt>
                <c:pt idx="10" formatCode="_(* #,##0.00_);_(* \(#,##0.00\);_(* &quot;-&quot;??_);_(@_)">
                  <c:v>225</c:v>
                </c:pt>
                <c:pt idx="11" formatCode="_(* #,##0.00_);_(* \(#,##0.00\);_(* &quot;-&quot;??_);_(@_)">
                  <c:v>214</c:v>
                </c:pt>
                <c:pt idx="12" formatCode="_(* #,##0.00_);_(* \(#,##0.00\);_(* &quot;-&quot;??_);_(@_)">
                  <c:v>201</c:v>
                </c:pt>
                <c:pt idx="13" formatCode="_(* #,##0.00_);_(* \(#,##0.00\);_(* &quot;-&quot;??_);_(@_)">
                  <c:v>174</c:v>
                </c:pt>
                <c:pt idx="14" formatCode="_(* #,##0.00_);_(* \(#,##0.00\);_(* &quot;-&quot;??_);_(@_)">
                  <c:v>174</c:v>
                </c:pt>
                <c:pt idx="15" formatCode="_(* #,##0.00_);_(* \(#,##0.00\);_(* &quot;-&quot;??_);_(@_)">
                  <c:v>169.22727272726999</c:v>
                </c:pt>
                <c:pt idx="16" formatCode="_(* #,##0.00_);_(* \(#,##0.00\);_(* &quot;-&quot;??_);_(@_)">
                  <c:v>165.08695652174001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2-4A2F-B95F-CB356453E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633055"/>
        <c:axId val="1851634975"/>
      </c:lineChart>
      <c:dateAx>
        <c:axId val="18516330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51634975"/>
        <c:crosses val="autoZero"/>
        <c:auto val="1"/>
        <c:lblOffset val="100"/>
        <c:baseTimeUnit val="days"/>
      </c:dateAx>
      <c:valAx>
        <c:axId val="1851634975"/>
        <c:scaling>
          <c:orientation val="minMax"/>
          <c:min val="145"/>
        </c:scaling>
        <c:delete val="0"/>
        <c:axPos val="l"/>
        <c:numFmt formatCode="#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5163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Y COSTOS DE VENTAS 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9-4E98-B097-4BE566F2A1E9}"/>
            </c:ext>
          </c:extLst>
        </c:ser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9-4E98-B097-4BE566F2A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041200"/>
        <c:axId val="822042640"/>
      </c:lineChart>
      <c:catAx>
        <c:axId val="8220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22042640"/>
        <c:crosses val="autoZero"/>
        <c:auto val="1"/>
        <c:lblAlgn val="ctr"/>
        <c:lblOffset val="100"/>
        <c:noMultiLvlLbl val="0"/>
      </c:catAx>
      <c:valAx>
        <c:axId val="8220426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204120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INGRESOS,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COSTOS Y GASTOS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'M. por conceptos'!$B$24:$B$25</c:f>
              <c:strCache>
                <c:ptCount val="1"/>
                <c:pt idx="0">
                  <c:v>Costo de ventas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conceptos'!$C$30:$V$30</c:f>
              <c:numCache>
                <c:formatCode>#,##0</c:formatCode>
                <c:ptCount val="20"/>
                <c:pt idx="0">
                  <c:v>5042402</c:v>
                </c:pt>
                <c:pt idx="1">
                  <c:v>6244012</c:v>
                </c:pt>
                <c:pt idx="2">
                  <c:v>7420013</c:v>
                </c:pt>
                <c:pt idx="3">
                  <c:v>7712254</c:v>
                </c:pt>
                <c:pt idx="4">
                  <c:v>9831454</c:v>
                </c:pt>
                <c:pt idx="5">
                  <c:v>9248460.0703783724</c:v>
                </c:pt>
                <c:pt idx="6">
                  <c:v>9637875.5843695253</c:v>
                </c:pt>
                <c:pt idx="7">
                  <c:v>9967121.7101299409</c:v>
                </c:pt>
                <c:pt idx="8">
                  <c:v>10252327.677033776</c:v>
                </c:pt>
                <c:pt idx="9">
                  <c:v>10503897.168739049</c:v>
                </c:pt>
                <c:pt idx="10">
                  <c:v>10728933.747412151</c:v>
                </c:pt>
                <c:pt idx="11">
                  <c:v>10932504.094823319</c:v>
                </c:pt>
                <c:pt idx="12">
                  <c:v>11118349.261403304</c:v>
                </c:pt>
                <c:pt idx="13">
                  <c:v>11285124.500324352</c:v>
                </c:pt>
                <c:pt idx="14">
                  <c:v>11454401.367829217</c:v>
                </c:pt>
                <c:pt idx="15">
                  <c:v>11626217.388346653</c:v>
                </c:pt>
                <c:pt idx="16">
                  <c:v>11800610.649171852</c:v>
                </c:pt>
                <c:pt idx="17">
                  <c:v>11977619.808909427</c:v>
                </c:pt>
                <c:pt idx="18">
                  <c:v>12157284.106043067</c:v>
                </c:pt>
                <c:pt idx="19">
                  <c:v>12339643.367633712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C-472F-877E-47AAC56D5F3F}"/>
            </c:ext>
          </c:extLst>
        </c:ser>
        <c:ser>
          <c:idx val="2"/>
          <c:order val="2"/>
          <c:tx>
            <c:strRef>
              <c:f>'M. por conceptos'!$B$42:$B$43</c:f>
              <c:strCache>
                <c:ptCount val="1"/>
                <c:pt idx="0">
                  <c:v>Gasto de ventas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conceptos'!$C$48:$V$48</c:f>
              <c:numCache>
                <c:formatCode>#,##0</c:formatCode>
                <c:ptCount val="20"/>
                <c:pt idx="0">
                  <c:v>633605</c:v>
                </c:pt>
                <c:pt idx="1">
                  <c:v>681336</c:v>
                </c:pt>
                <c:pt idx="2">
                  <c:v>801905</c:v>
                </c:pt>
                <c:pt idx="3">
                  <c:v>862157</c:v>
                </c:pt>
                <c:pt idx="4">
                  <c:v>786246</c:v>
                </c:pt>
                <c:pt idx="5">
                  <c:v>853678.36874206527</c:v>
                </c:pt>
                <c:pt idx="6">
                  <c:v>877762.72415727901</c:v>
                </c:pt>
                <c:pt idx="7">
                  <c:v>898125.75651473179</c:v>
                </c:pt>
                <c:pt idx="8">
                  <c:v>915765.01747547451</c:v>
                </c:pt>
                <c:pt idx="9">
                  <c:v>931323.9483145579</c:v>
                </c:pt>
                <c:pt idx="10">
                  <c:v>945241.8862175399</c:v>
                </c:pt>
                <c:pt idx="11">
                  <c:v>957832.19251735648</c:v>
                </c:pt>
                <c:pt idx="12">
                  <c:v>969326.24163275363</c:v>
                </c:pt>
                <c:pt idx="13">
                  <c:v>983866.13525724481</c:v>
                </c:pt>
                <c:pt idx="14">
                  <c:v>998624.12728610344</c:v>
                </c:pt>
                <c:pt idx="15">
                  <c:v>1013603.4891953949</c:v>
                </c:pt>
                <c:pt idx="16">
                  <c:v>1028807.5415333257</c:v>
                </c:pt>
                <c:pt idx="17">
                  <c:v>1044239.6546563255</c:v>
                </c:pt>
                <c:pt idx="18">
                  <c:v>1059903.2494761702</c:v>
                </c:pt>
                <c:pt idx="19">
                  <c:v>1075801.7982183127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C-472F-877E-47AAC56D5F3F}"/>
            </c:ext>
          </c:extLst>
        </c:ser>
        <c:ser>
          <c:idx val="3"/>
          <c:order val="3"/>
          <c:tx>
            <c:strRef>
              <c:f>'M. por conceptos'!$B$60:$B$61</c:f>
              <c:strCache>
                <c:ptCount val="1"/>
                <c:pt idx="0">
                  <c:v>Gastos administrativos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'M. por conceptos'!$C$66:$V$66</c:f>
              <c:numCache>
                <c:formatCode>#,##0</c:formatCode>
                <c:ptCount val="20"/>
                <c:pt idx="0">
                  <c:v>487579</c:v>
                </c:pt>
                <c:pt idx="1">
                  <c:v>603139</c:v>
                </c:pt>
                <c:pt idx="2">
                  <c:v>651838</c:v>
                </c:pt>
                <c:pt idx="3">
                  <c:v>688428</c:v>
                </c:pt>
                <c:pt idx="4">
                  <c:v>732928</c:v>
                </c:pt>
                <c:pt idx="5">
                  <c:v>736909.03945341019</c:v>
                </c:pt>
                <c:pt idx="6">
                  <c:v>758341.35923725716</c:v>
                </c:pt>
                <c:pt idx="7">
                  <c:v>776462.12741766986</c:v>
                </c:pt>
                <c:pt idx="8">
                  <c:v>792159.05079983163</c:v>
                </c:pt>
                <c:pt idx="9">
                  <c:v>806004.71847451443</c:v>
                </c:pt>
                <c:pt idx="10">
                  <c:v>818390.09025324206</c:v>
                </c:pt>
                <c:pt idx="11">
                  <c:v>829594.02185706655</c:v>
                </c:pt>
                <c:pt idx="12">
                  <c:v>839822.41003708926</c:v>
                </c:pt>
                <c:pt idx="13">
                  <c:v>852419.74618764548</c:v>
                </c:pt>
                <c:pt idx="14">
                  <c:v>865206.04238046007</c:v>
                </c:pt>
                <c:pt idx="15">
                  <c:v>878184.13301616686</c:v>
                </c:pt>
                <c:pt idx="16">
                  <c:v>891356.8950114093</c:v>
                </c:pt>
                <c:pt idx="17">
                  <c:v>904727.24843658041</c:v>
                </c:pt>
                <c:pt idx="18">
                  <c:v>918298.15716312907</c:v>
                </c:pt>
                <c:pt idx="19">
                  <c:v>932072.62952057587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C-472F-877E-47AAC56D5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0217040"/>
        <c:axId val="800217520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C-472F-877E-47AAC56D5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17040"/>
        <c:axId val="800217520"/>
      </c:lineChart>
      <c:catAx>
        <c:axId val="800217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520"/>
        <c:crosses val="autoZero"/>
        <c:auto val="1"/>
        <c:lblAlgn val="ctr"/>
        <c:lblOffset val="100"/>
        <c:noMultiLvlLbl val="0"/>
      </c:catAx>
      <c:valAx>
        <c:axId val="8002175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0021704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CAPEX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E INGRESOS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'M. por conceptos'!$B$115:$B$116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3-4983-A1E8-3BCDC623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8336496"/>
        <c:axId val="918335056"/>
      </c:barChart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3-4983-A1E8-3BCDC623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6496"/>
        <c:axId val="918335056"/>
      </c:lineChart>
      <c:catAx>
        <c:axId val="91833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918335056"/>
        <c:crosses val="autoZero"/>
        <c:auto val="1"/>
        <c:lblAlgn val="ctr"/>
        <c:lblOffset val="100"/>
        <c:noMultiLvlLbl val="0"/>
      </c:catAx>
      <c:valAx>
        <c:axId val="9183350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833649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 DE TRABAJO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conceptos'!$H$135:$V$135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conceptos'!$H$143:$V$143</c:f>
              <c:numCache>
                <c:formatCode>#,##0</c:formatCode>
                <c:ptCount val="15"/>
                <c:pt idx="0">
                  <c:v>1535811.4081167115</c:v>
                </c:pt>
                <c:pt idx="1">
                  <c:v>1614611.4102086099</c:v>
                </c:pt>
                <c:pt idx="2">
                  <c:v>1681235.8626675329</c:v>
                </c:pt>
                <c:pt idx="3">
                  <c:v>1738948.5884865536</c:v>
                </c:pt>
                <c:pt idx="4">
                  <c:v>1789854.8204172198</c:v>
                </c:pt>
                <c:pt idx="5">
                  <c:v>1835391.9966032645</c:v>
                </c:pt>
                <c:pt idx="6">
                  <c:v>1876585.383167245</c:v>
                </c:pt>
                <c:pt idx="7">
                  <c:v>1914191.9986951633</c:v>
                </c:pt>
                <c:pt idx="8">
                  <c:v>1948786.7314466175</c:v>
                </c:pt>
                <c:pt idx="9">
                  <c:v>1980816.451154086</c:v>
                </c:pt>
                <c:pt idx="10">
                  <c:v>2010635.4068118739</c:v>
                </c:pt>
                <c:pt idx="11">
                  <c:v>2038529.1769731066</c:v>
                </c:pt>
                <c:pt idx="12">
                  <c:v>2064731.3464255896</c:v>
                </c:pt>
                <c:pt idx="13">
                  <c:v>2089435.4089037727</c:v>
                </c:pt>
                <c:pt idx="14">
                  <c:v>2112803.4473525435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B-49AB-957D-7EF22A49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402592"/>
        <c:axId val="869402112"/>
      </c:lineChart>
      <c:lineChart>
        <c:grouping val="stacked"/>
        <c:varyColors val="0"/>
        <c:ser>
          <c:idx val="1"/>
          <c:order val="1"/>
          <c:tx>
            <c:strRef>
              <c:f>'M. por conceptos'!$B$144</c:f>
              <c:strCache>
                <c:ptCount val="1"/>
                <c:pt idx="0">
                  <c:v>Variación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'M. por conceptos'!$H$144:$V$144</c:f>
              <c:numCache>
                <c:formatCode>#,##0</c:formatCode>
                <c:ptCount val="15"/>
                <c:pt idx="0">
                  <c:v>96443.408116711304</c:v>
                </c:pt>
                <c:pt idx="1">
                  <c:v>78800.00209189835</c:v>
                </c:pt>
                <c:pt idx="2">
                  <c:v>66624.452458922984</c:v>
                </c:pt>
                <c:pt idx="3">
                  <c:v>57712.725819020765</c:v>
                </c:pt>
                <c:pt idx="4">
                  <c:v>50906.231930666137</c:v>
                </c:pt>
                <c:pt idx="5">
                  <c:v>45537.1761860447</c:v>
                </c:pt>
                <c:pt idx="6">
                  <c:v>41193.386563980486</c:v>
                </c:pt>
                <c:pt idx="7">
                  <c:v>37606.615527918329</c:v>
                </c:pt>
                <c:pt idx="8">
                  <c:v>34594.732751454227</c:v>
                </c:pt>
                <c:pt idx="9">
                  <c:v>32029.719707468525</c:v>
                </c:pt>
                <c:pt idx="10">
                  <c:v>29818.955657787854</c:v>
                </c:pt>
                <c:pt idx="11">
                  <c:v>27893.770161232678</c:v>
                </c:pt>
                <c:pt idx="12">
                  <c:v>26202.169452483067</c:v>
                </c:pt>
                <c:pt idx="13">
                  <c:v>24704.06247818307</c:v>
                </c:pt>
                <c:pt idx="14">
                  <c:v>23368.038448770763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B-49AB-957D-7EF22A49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271792"/>
        <c:axId val="1015269872"/>
      </c:lineChart>
      <c:catAx>
        <c:axId val="86940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112"/>
        <c:crosses val="autoZero"/>
        <c:auto val="1"/>
        <c:lblAlgn val="ctr"/>
        <c:lblOffset val="100"/>
        <c:noMultiLvlLbl val="0"/>
      </c:catAx>
      <c:valAx>
        <c:axId val="8694021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9402592"/>
        <c:crosses val="autoZero"/>
        <c:crossBetween val="between"/>
      </c:valAx>
      <c:valAx>
        <c:axId val="101526987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015271792"/>
        <c:crosses val="max"/>
        <c:crossBetween val="between"/>
      </c:valAx>
      <c:catAx>
        <c:axId val="101527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01526987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+ VALOR TERMINAL</a:t>
            </a:r>
          </a:p>
          <a:p>
            <a:pPr>
              <a:defRPr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conceptos'!$H$175:$V$175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11138157.236030472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5-4DFC-8A62-FA188775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60112"/>
        <c:axId val="168756752"/>
      </c:barChart>
      <c:catAx>
        <c:axId val="16876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68756752"/>
        <c:crosses val="autoZero"/>
        <c:auto val="1"/>
        <c:lblAlgn val="ctr"/>
        <c:lblOffset val="100"/>
        <c:noMultiLvlLbl val="0"/>
      </c:catAx>
      <c:valAx>
        <c:axId val="16875675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876011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ECONÓMICO </a:t>
            </a:r>
          </a:p>
          <a:p>
            <a:pPr>
              <a:defRPr/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por conceptos'!$H$159:$V$159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por conceptos'!$H$173:$V$173</c:f>
              <c:numCache>
                <c:formatCode>#,##0</c:formatCode>
                <c:ptCount val="15"/>
                <c:pt idx="0">
                  <c:v>690242.5500142345</c:v>
                </c:pt>
                <c:pt idx="1">
                  <c:v>724900.0862180508</c:v>
                </c:pt>
                <c:pt idx="2">
                  <c:v>751460.87794681778</c:v>
                </c:pt>
                <c:pt idx="3">
                  <c:v>772833.66808929341</c:v>
                </c:pt>
                <c:pt idx="4">
                  <c:v>790631.5989573152</c:v>
                </c:pt>
                <c:pt idx="5">
                  <c:v>805832.83012129704</c:v>
                </c:pt>
                <c:pt idx="6">
                  <c:v>819070.90429802507</c:v>
                </c:pt>
                <c:pt idx="7">
                  <c:v>830777.52095842641</c:v>
                </c:pt>
                <c:pt idx="8">
                  <c:v>846815.16578218515</c:v>
                </c:pt>
                <c:pt idx="9">
                  <c:v>862601.32730417454</c:v>
                </c:pt>
                <c:pt idx="10">
                  <c:v>878231.55705903075</c:v>
                </c:pt>
                <c:pt idx="11">
                  <c:v>893777.50024633831</c:v>
                </c:pt>
                <c:pt idx="12">
                  <c:v>909294.17001120222</c:v>
                </c:pt>
                <c:pt idx="13">
                  <c:v>924824.7220774577</c:v>
                </c:pt>
                <c:pt idx="14">
                  <c:v>940403.67787520506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E-4237-BA08-8D5C362B0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176"/>
        <c:axId val="2048922816"/>
      </c:barChart>
      <c:catAx>
        <c:axId val="204891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2816"/>
        <c:crosses val="autoZero"/>
        <c:auto val="1"/>
        <c:lblAlgn val="ctr"/>
        <c:lblOffset val="100"/>
        <c:noMultiLvlLbl val="0"/>
      </c:catAx>
      <c:valAx>
        <c:axId val="2048922816"/>
        <c:scaling>
          <c:orientation val="minMax"/>
          <c:max val="1500000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17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CAPITAL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TRABAJO 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'M. por conceptos'!$B$7:$B$8</c:f>
              <c:strCache>
                <c:ptCount val="1"/>
                <c:pt idx="0">
                  <c:v>Ingresos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0-448F-B70C-7714CC6AC4A4}"/>
            </c:ext>
          </c:extLst>
        </c:ser>
        <c:ser>
          <c:idx val="1"/>
          <c:order val="1"/>
          <c:tx>
            <c:strRef>
              <c:f>'M. por conceptos'!$B$135:$B$136</c:f>
              <c:strCache>
                <c:ptCount val="1"/>
                <c:pt idx="0">
                  <c:v>Capital de trabajo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conceptos'!$C$117:$V$117</c:f>
              <c:numCache>
                <c:formatCode>#,##0</c:formatCode>
                <c:ptCount val="20"/>
                <c:pt idx="0">
                  <c:v>3063714</c:v>
                </c:pt>
                <c:pt idx="1">
                  <c:v>3898978</c:v>
                </c:pt>
                <c:pt idx="2">
                  <c:v>4863313</c:v>
                </c:pt>
                <c:pt idx="3">
                  <c:v>5212083</c:v>
                </c:pt>
                <c:pt idx="4">
                  <c:v>5317443</c:v>
                </c:pt>
                <c:pt idx="5">
                  <c:v>5418532.5654780231</c:v>
                </c:pt>
                <c:pt idx="6">
                  <c:v>5523510.712121129</c:v>
                </c:pt>
                <c:pt idx="7">
                  <c:v>5631776.6072932724</c:v>
                </c:pt>
                <c:pt idx="8">
                  <c:v>5742890.4797832808</c:v>
                </c:pt>
                <c:pt idx="9">
                  <c:v>5856516.44630141</c:v>
                </c:pt>
                <c:pt idx="10">
                  <c:v>5972389.557501358</c:v>
                </c:pt>
                <c:pt idx="11">
                  <c:v>6090295.4583315887</c:v>
                </c:pt>
                <c:pt idx="12">
                  <c:v>6210057.1506966203</c:v>
                </c:pt>
                <c:pt idx="13">
                  <c:v>6331615.2684471272</c:v>
                </c:pt>
                <c:pt idx="14">
                  <c:v>6454996.7579638921</c:v>
                </c:pt>
                <c:pt idx="15">
                  <c:v>6580228.9698234079</c:v>
                </c:pt>
                <c:pt idx="16">
                  <c:v>6707339.6648608167</c:v>
                </c:pt>
                <c:pt idx="17">
                  <c:v>6836357.0203237869</c:v>
                </c:pt>
                <c:pt idx="18">
                  <c:v>6967309.6361187017</c:v>
                </c:pt>
                <c:pt idx="19">
                  <c:v>7100226.5411505401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0-448F-B70C-7714CC6AC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41855"/>
        <c:axId val="118139935"/>
      </c:lineChart>
      <c:catAx>
        <c:axId val="1181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39935"/>
        <c:crosses val="autoZero"/>
        <c:auto val="1"/>
        <c:lblAlgn val="ctr"/>
        <c:lblOffset val="100"/>
        <c:noMultiLvlLbl val="0"/>
      </c:catAx>
      <c:valAx>
        <c:axId val="1181399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1814185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PROYECCIÓN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INGRESOS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conceptos'!$C$13:$V$13</c:f>
              <c:numCache>
                <c:formatCode>#,##0</c:formatCode>
                <c:ptCount val="20"/>
                <c:pt idx="0">
                  <c:v>6949265</c:v>
                </c:pt>
                <c:pt idx="1">
                  <c:v>8288702</c:v>
                </c:pt>
                <c:pt idx="2">
                  <c:v>9872187</c:v>
                </c:pt>
                <c:pt idx="3">
                  <c:v>10131767</c:v>
                </c:pt>
                <c:pt idx="4">
                  <c:v>12227663</c:v>
                </c:pt>
                <c:pt idx="5">
                  <c:v>11732053.336006992</c:v>
                </c:pt>
                <c:pt idx="6">
                  <c:v>12183346.616519395</c:v>
                </c:pt>
                <c:pt idx="7">
                  <c:v>12564909.648427242</c:v>
                </c:pt>
                <c:pt idx="8">
                  <c:v>12895434.580797218</c:v>
                </c:pt>
                <c:pt idx="9">
                  <c:v>13186978.233038789</c:v>
                </c:pt>
                <c:pt idx="10">
                  <c:v>13447772.916804209</c:v>
                </c:pt>
                <c:pt idx="11">
                  <c:v>13683690.404930588</c:v>
                </c:pt>
                <c:pt idx="12">
                  <c:v>13899066.197316613</c:v>
                </c:pt>
                <c:pt idx="13">
                  <c:v>14107552.19027636</c:v>
                </c:pt>
                <c:pt idx="14">
                  <c:v>14319165.473130504</c:v>
                </c:pt>
                <c:pt idx="15">
                  <c:v>14533952.955227461</c:v>
                </c:pt>
                <c:pt idx="16">
                  <c:v>14751962.249555871</c:v>
                </c:pt>
                <c:pt idx="17">
                  <c:v>14973241.683299208</c:v>
                </c:pt>
                <c:pt idx="18">
                  <c:v>15197840.308548694</c:v>
                </c:pt>
                <c:pt idx="19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2-4F67-AD33-C84639FC35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numRef>
              <c:f>'M. por conceptos'!$C$7:$V$7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por conceptos'!$C$9:$G$9</c:f>
              <c:numCache>
                <c:formatCode>_(* #,##0.00_);_(* \(#,##0.00\);_(* "-"??_);_(@_)</c:formatCode>
                <c:ptCount val="5"/>
                <c:pt idx="0" formatCode="0.00">
                  <c:v>6949265</c:v>
                </c:pt>
                <c:pt idx="1">
                  <c:v>8288702</c:v>
                </c:pt>
                <c:pt idx="2" formatCode="#,##0">
                  <c:v>9872187</c:v>
                </c:pt>
                <c:pt idx="3" formatCode="#,##0">
                  <c:v>10131767</c:v>
                </c:pt>
                <c:pt idx="4" formatCode="#,##0">
                  <c:v>12227663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E2-4F67-AD33-C84639FC3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550191"/>
        <c:axId val="439552111"/>
      </c:lineChart>
      <c:catAx>
        <c:axId val="4395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2111"/>
        <c:crosses val="autoZero"/>
        <c:auto val="1"/>
        <c:lblAlgn val="ctr"/>
        <c:lblOffset val="100"/>
        <c:noMultiLvlLbl val="0"/>
      </c:catAx>
      <c:valAx>
        <c:axId val="43955211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39550191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</a:t>
            </a:r>
          </a:p>
          <a:p>
            <a:pPr>
              <a:defRPr b="1"/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Integrado'!$H$29:$V$29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952942.7667155877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0-47A6-9E53-ECAB68694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61824"/>
        <c:axId val="1864283904"/>
      </c:barChart>
      <c:catAx>
        <c:axId val="9173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1864283904"/>
        <c:crosses val="autoZero"/>
        <c:auto val="1"/>
        <c:lblAlgn val="ctr"/>
        <c:lblOffset val="100"/>
        <c:noMultiLvlLbl val="0"/>
      </c:catAx>
      <c:valAx>
        <c:axId val="18642839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1736182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</a:t>
            </a: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 DE CAJA ECONÓMICO + VALOR TERMINAL</a:t>
            </a:r>
          </a:p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PE" sz="1200" b="1" baseline="0">
                <a:latin typeface="Arial" panose="020B0604020202020204" pitchFamily="34" charset="0"/>
                <a:cs typeface="Arial" panose="020B0604020202020204" pitchFamily="34" charset="0"/>
              </a:rPr>
              <a:t>(Miles)</a:t>
            </a:r>
            <a:endParaRPr lang="es-PE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'M. Integrado'!$H$7:$V$7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'M. Integrado'!$H$31:$V$31</c:f>
              <c:numCache>
                <c:formatCode>#,##0</c:formatCode>
                <c:ptCount val="15"/>
                <c:pt idx="0">
                  <c:v>690242.55001423438</c:v>
                </c:pt>
                <c:pt idx="1">
                  <c:v>724900.08621804975</c:v>
                </c:pt>
                <c:pt idx="2">
                  <c:v>751460.87794681685</c:v>
                </c:pt>
                <c:pt idx="3">
                  <c:v>772833.66808929003</c:v>
                </c:pt>
                <c:pt idx="4">
                  <c:v>791252.97194549872</c:v>
                </c:pt>
                <c:pt idx="5">
                  <c:v>808711.6605642155</c:v>
                </c:pt>
                <c:pt idx="6">
                  <c:v>825574.48977524973</c:v>
                </c:pt>
                <c:pt idx="7">
                  <c:v>842075.5759340534</c:v>
                </c:pt>
                <c:pt idx="8">
                  <c:v>858282.69158244692</c:v>
                </c:pt>
                <c:pt idx="9">
                  <c:v>874240.86599144107</c:v>
                </c:pt>
                <c:pt idx="10">
                  <c:v>890045.68882660533</c:v>
                </c:pt>
                <c:pt idx="11">
                  <c:v>905768.84399042628</c:v>
                </c:pt>
                <c:pt idx="12">
                  <c:v>921465.38391145074</c:v>
                </c:pt>
                <c:pt idx="13">
                  <c:v>937178.50418620976</c:v>
                </c:pt>
                <c:pt idx="14">
                  <c:v>11286670.418599363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C-4303-BF87-6667C9752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914656"/>
        <c:axId val="2048920416"/>
      </c:barChart>
      <c:catAx>
        <c:axId val="204891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2048920416"/>
        <c:crosses val="autoZero"/>
        <c:auto val="1"/>
        <c:lblAlgn val="ctr"/>
        <c:lblOffset val="100"/>
        <c:noMultiLvlLbl val="0"/>
      </c:catAx>
      <c:valAx>
        <c:axId val="20489204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4891465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latin typeface="Arial" panose="020B0604020202020204" pitchFamily="34" charset="0"/>
                <a:cs typeface="Arial" panose="020B0604020202020204" pitchFamily="34" charset="0"/>
              </a:rPr>
              <a:t>FLUJO DE CAJA OPERATIVO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'M. Integrado'!$C$7:$V$7</c:f>
              <c:numCache>
                <c:formatCode>General</c:formatCode>
                <c:ptCount val="2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</c:numCache>
            </c:numRef>
          </c:cat>
          <c:val>
            <c:numRef>
              <c:f>'M. Integrado'!$C$13:$V$13</c:f>
              <c:numCache>
                <c:formatCode>#,##0</c:formatCode>
                <c:ptCount val="20"/>
                <c:pt idx="0">
                  <c:v>688179.76</c:v>
                </c:pt>
                <c:pt idx="1">
                  <c:v>757098.17</c:v>
                </c:pt>
                <c:pt idx="2">
                  <c:v>966773.375</c:v>
                </c:pt>
                <c:pt idx="3">
                  <c:v>845730.31499999994</c:v>
                </c:pt>
                <c:pt idx="4">
                  <c:v>878655.03</c:v>
                </c:pt>
                <c:pt idx="5">
                  <c:v>887775.52360896848</c:v>
                </c:pt>
                <c:pt idx="6">
                  <c:v>908678.23495305423</c:v>
                </c:pt>
                <c:pt idx="7">
                  <c:v>926351.22557788296</c:v>
                </c:pt>
                <c:pt idx="8">
                  <c:v>941660.26639831928</c:v>
                </c:pt>
                <c:pt idx="9">
                  <c:v>955785.17039429396</c:v>
                </c:pt>
                <c:pt idx="10">
                  <c:v>970121.94795020833</c:v>
                </c:pt>
                <c:pt idx="11">
                  <c:v>984673.77716946136</c:v>
                </c:pt>
                <c:pt idx="12">
                  <c:v>999443.88382700318</c:v>
                </c:pt>
                <c:pt idx="13">
                  <c:v>1014435.5420844081</c:v>
                </c:pt>
                <c:pt idx="14">
                  <c:v>1029652.0752156741</c:v>
                </c:pt>
                <c:pt idx="15">
                  <c:v>1045096.8563439092</c:v>
                </c:pt>
                <c:pt idx="16">
                  <c:v>1060773.3091890677</c:v>
                </c:pt>
                <c:pt idx="17">
                  <c:v>1076684.9088269037</c:v>
                </c:pt>
                <c:pt idx="18">
                  <c:v>1092835.1824593071</c:v>
                </c:pt>
                <c:pt idx="19">
                  <c:v>1109227.7101961966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E-40E7-8D7D-27816C880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722944"/>
        <c:axId val="865720064"/>
      </c:lineChart>
      <c:catAx>
        <c:axId val="8657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0064"/>
        <c:crosses val="autoZero"/>
        <c:auto val="1"/>
        <c:lblAlgn val="ctr"/>
        <c:lblOffset val="100"/>
        <c:noMultiLvlLbl val="0"/>
      </c:catAx>
      <c:valAx>
        <c:axId val="8657200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865722944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Sensibilidad!$C$4:$R$4</c:f>
              <c:numCache>
                <c:formatCode>General</c:formatCode>
                <c:ptCount val="1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numCache>
            </c:numRef>
          </c:cat>
          <c:val>
            <c:numRef>
              <c:f>Sensibilidad!$C$6:$R$6</c:f>
              <c:numCache>
                <c:formatCode>#,##0</c:formatCode>
                <c:ptCount val="16"/>
                <c:pt idx="0">
                  <c:v>11179715</c:v>
                </c:pt>
                <c:pt idx="1">
                  <c:v>11732053.336006992</c:v>
                </c:pt>
                <c:pt idx="2">
                  <c:v>12183346.616519395</c:v>
                </c:pt>
                <c:pt idx="3">
                  <c:v>12564909.648427242</c:v>
                </c:pt>
                <c:pt idx="4">
                  <c:v>12895434.580797218</c:v>
                </c:pt>
                <c:pt idx="5">
                  <c:v>13186978.233038789</c:v>
                </c:pt>
                <c:pt idx="6">
                  <c:v>13447772.916804209</c:v>
                </c:pt>
                <c:pt idx="7">
                  <c:v>13683690.404930588</c:v>
                </c:pt>
                <c:pt idx="8">
                  <c:v>13899066.197316613</c:v>
                </c:pt>
                <c:pt idx="9">
                  <c:v>14097192.720379975</c:v>
                </c:pt>
                <c:pt idx="10">
                  <c:v>14280629.22922446</c:v>
                </c:pt>
                <c:pt idx="11">
                  <c:v>14451404.533323605</c:v>
                </c:pt>
                <c:pt idx="12">
                  <c:v>14611154.161594436</c:v>
                </c:pt>
                <c:pt idx="13">
                  <c:v>14761215.870919801</c:v>
                </c:pt>
                <c:pt idx="14">
                  <c:v>14902697.813836006</c:v>
                </c:pt>
                <c:pt idx="15">
                  <c:v>15036528.25102796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25-47E3-A65B-09D8E3F250B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Sensibilidad!$C$4:$R$4</c:f>
              <c:numCache>
                <c:formatCode>General</c:formatCode>
                <c:ptCount val="1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</c:numCache>
            </c:numRef>
          </c:cat>
          <c:val>
            <c:numRef>
              <c:f>Sensibilidad!$C$11:$R$11</c:f>
              <c:numCache>
                <c:formatCode>#,##0</c:formatCode>
                <c:ptCount val="16"/>
                <c:pt idx="0">
                  <c:v>11179715</c:v>
                </c:pt>
                <c:pt idx="1">
                  <c:v>11732053.336006992</c:v>
                </c:pt>
                <c:pt idx="2">
                  <c:v>12183346.616519395</c:v>
                </c:pt>
                <c:pt idx="3">
                  <c:v>12564909.648427242</c:v>
                </c:pt>
                <c:pt idx="4">
                  <c:v>12895434.580797218</c:v>
                </c:pt>
                <c:pt idx="5">
                  <c:v>13186978.233038789</c:v>
                </c:pt>
                <c:pt idx="6">
                  <c:v>13447772.916804209</c:v>
                </c:pt>
                <c:pt idx="7">
                  <c:v>13683690.404930588</c:v>
                </c:pt>
                <c:pt idx="8">
                  <c:v>13899066.197316613</c:v>
                </c:pt>
                <c:pt idx="9">
                  <c:v>14107552.19027636</c:v>
                </c:pt>
                <c:pt idx="10">
                  <c:v>14319165.473130504</c:v>
                </c:pt>
                <c:pt idx="11">
                  <c:v>14533952.955227461</c:v>
                </c:pt>
                <c:pt idx="12">
                  <c:v>14751962.249555871</c:v>
                </c:pt>
                <c:pt idx="13">
                  <c:v>14973241.683299208</c:v>
                </c:pt>
                <c:pt idx="14">
                  <c:v>15197840.308548694</c:v>
                </c:pt>
                <c:pt idx="15">
                  <c:v>15425807.913176924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5-47E3-A65B-09D8E3F25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923280"/>
        <c:axId val="226856880"/>
      </c:lineChart>
      <c:catAx>
        <c:axId val="49792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6856880"/>
        <c:crosses val="autoZero"/>
        <c:auto val="1"/>
        <c:lblAlgn val="ctr"/>
        <c:lblOffset val="100"/>
        <c:noMultiLvlLbl val="0"/>
      </c:catAx>
      <c:valAx>
        <c:axId val="2268568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9792328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Sensibilidad!$D$4:$R$4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Sensibilidad!$D$7:$R$7</c:f>
              <c:numCache>
                <c:formatCode>0.00%</c:formatCode>
                <c:ptCount val="15"/>
                <c:pt idx="0">
                  <c:v>4.9405403984537299E-2</c:v>
                </c:pt>
                <c:pt idx="1">
                  <c:v>3.8466691855835178E-2</c:v>
                </c:pt>
                <c:pt idx="2">
                  <c:v>3.1318408965766986E-2</c:v>
                </c:pt>
                <c:pt idx="3">
                  <c:v>2.6305396665653458E-2</c:v>
                </c:pt>
                <c:pt idx="4">
                  <c:v>2.2608284382731325E-2</c:v>
                </c:pt>
                <c:pt idx="5">
                  <c:v>1.9776682660476608E-2</c:v>
                </c:pt>
                <c:pt idx="6">
                  <c:v>1.7543238541125161E-2</c:v>
                </c:pt>
                <c:pt idx="7">
                  <c:v>1.5739598457183757E-2</c:v>
                </c:pt>
                <c:pt idx="8">
                  <c:v>1.4254664324256039E-2</c:v>
                </c:pt>
                <c:pt idx="9">
                  <c:v>1.3012272193689611E-2</c:v>
                </c:pt>
                <c:pt idx="10">
                  <c:v>1.1958527972259381E-2</c:v>
                </c:pt>
                <c:pt idx="11">
                  <c:v>1.1054263127328712E-2</c:v>
                </c:pt>
                <c:pt idx="12">
                  <c:v>1.0270352886961209E-2</c:v>
                </c:pt>
                <c:pt idx="13">
                  <c:v>9.5847079368935884E-3</c:v>
                </c:pt>
                <c:pt idx="14">
                  <c:v>8.9802825544582632E-3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5-4F4C-BE29-86D50CFDA89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Sensibilidad!$D$4:$R$4</c:f>
              <c:numCache>
                <c:formatCode>General</c:formatCode>
                <c:ptCount val="1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</c:numCache>
            </c:numRef>
          </c:cat>
          <c:val>
            <c:numRef>
              <c:f>Sensibilidad!$D$10:$R$10</c:f>
              <c:numCache>
                <c:formatCode>0.00%</c:formatCode>
                <c:ptCount val="15"/>
                <c:pt idx="0">
                  <c:v>4.9405403984537299E-2</c:v>
                </c:pt>
                <c:pt idx="1">
                  <c:v>3.8466691855835178E-2</c:v>
                </c:pt>
                <c:pt idx="2">
                  <c:v>3.1318408965766986E-2</c:v>
                </c:pt>
                <c:pt idx="3">
                  <c:v>2.6305396665653458E-2</c:v>
                </c:pt>
                <c:pt idx="4">
                  <c:v>2.2608284382731325E-2</c:v>
                </c:pt>
                <c:pt idx="5">
                  <c:v>1.9776682660476608E-2</c:v>
                </c:pt>
                <c:pt idx="6">
                  <c:v>1.7543238541125161E-2</c:v>
                </c:pt>
                <c:pt idx="7">
                  <c:v>1.5739598457183757E-2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5-4F4C-BE29-86D50CFDA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102975"/>
        <c:axId val="1227942639"/>
      </c:lineChart>
      <c:catAx>
        <c:axId val="86810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7942639"/>
        <c:crosses val="autoZero"/>
        <c:auto val="1"/>
        <c:lblAlgn val="ctr"/>
        <c:lblOffset val="100"/>
        <c:noMultiLvlLbl val="0"/>
      </c:catAx>
      <c:valAx>
        <c:axId val="122794263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68102975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</xdr:colOff>
      <xdr:row>92</xdr:row>
      <xdr:rowOff>54429</xdr:rowOff>
    </xdr:from>
    <xdr:to>
      <xdr:col>4</xdr:col>
      <xdr:colOff>663424</xdr:colOff>
      <xdr:row>113</xdr:row>
      <xdr:rowOff>124279</xdr:rowOff>
    </xdr:to>
    <xdr:graphicFrame macro="">
      <xdr:nvGraphicFramePr>
        <xdr:cNvPr id="2" name="Graph1_Concept">
          <a:extLst>
            <a:ext uri="{FF2B5EF4-FFF2-40B4-BE49-F238E27FC236}">
              <a16:creationId xmlns:a16="http://schemas.microsoft.com/office/drawing/2014/main" id="{C50BBF94-8090-45D6-B75E-2B7C11D34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114</xdr:row>
      <xdr:rowOff>52262</xdr:rowOff>
    </xdr:from>
    <xdr:to>
      <xdr:col>5</xdr:col>
      <xdr:colOff>534632</xdr:colOff>
      <xdr:row>134</xdr:row>
      <xdr:rowOff>59690</xdr:rowOff>
    </xdr:to>
    <xdr:graphicFrame macro="">
      <xdr:nvGraphicFramePr>
        <xdr:cNvPr id="3" name="Gráfico2_IncomeGasto">
          <a:extLst>
            <a:ext uri="{FF2B5EF4-FFF2-40B4-BE49-F238E27FC236}">
              <a16:creationId xmlns:a16="http://schemas.microsoft.com/office/drawing/2014/main" id="{77A3D371-B1EF-49D2-94AD-FF6E6565D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106680</xdr:colOff>
      <xdr:row>135</xdr:row>
      <xdr:rowOff>110682</xdr:rowOff>
    </xdr:from>
    <xdr:to>
      <xdr:col>5</xdr:col>
      <xdr:colOff>369763</xdr:colOff>
      <xdr:row>156</xdr:row>
      <xdr:rowOff>50992</xdr:rowOff>
    </xdr:to>
    <xdr:graphicFrame macro="">
      <xdr:nvGraphicFramePr>
        <xdr:cNvPr id="4" name="Gráfico3_Capex">
          <a:extLst>
            <a:ext uri="{FF2B5EF4-FFF2-40B4-BE49-F238E27FC236}">
              <a16:creationId xmlns:a16="http://schemas.microsoft.com/office/drawing/2014/main" id="{9F3AD944-593B-4ED4-91E9-23E517124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281940</xdr:colOff>
      <xdr:row>157</xdr:row>
      <xdr:rowOff>117225</xdr:rowOff>
    </xdr:from>
    <xdr:to>
      <xdr:col>4</xdr:col>
      <xdr:colOff>638387</xdr:colOff>
      <xdr:row>176</xdr:row>
      <xdr:rowOff>176530</xdr:rowOff>
    </xdr:to>
    <xdr:graphicFrame macro="">
      <xdr:nvGraphicFramePr>
        <xdr:cNvPr id="5" name="Gráfico4_CapitalTrabajo">
          <a:extLst>
            <a:ext uri="{FF2B5EF4-FFF2-40B4-BE49-F238E27FC236}">
              <a16:creationId xmlns:a16="http://schemas.microsoft.com/office/drawing/2014/main" id="{488B94D1-EDDE-4373-AE19-C8CB65343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274320</xdr:colOff>
      <xdr:row>198</xdr:row>
      <xdr:rowOff>121073</xdr:rowOff>
    </xdr:from>
    <xdr:to>
      <xdr:col>4</xdr:col>
      <xdr:colOff>630767</xdr:colOff>
      <xdr:row>217</xdr:row>
      <xdr:rowOff>270</xdr:rowOff>
    </xdr:to>
    <xdr:graphicFrame macro="">
      <xdr:nvGraphicFramePr>
        <xdr:cNvPr id="6" name="Gráfico5_CashflowTerminalValue">
          <a:extLst>
            <a:ext uri="{FF2B5EF4-FFF2-40B4-BE49-F238E27FC236}">
              <a16:creationId xmlns:a16="http://schemas.microsoft.com/office/drawing/2014/main" id="{7407D04A-38EE-4D6F-839B-0A87A5FF7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426720</xdr:colOff>
      <xdr:row>177</xdr:row>
      <xdr:rowOff>166562</xdr:rowOff>
    </xdr:from>
    <xdr:to>
      <xdr:col>4</xdr:col>
      <xdr:colOff>577427</xdr:colOff>
      <xdr:row>197</xdr:row>
      <xdr:rowOff>85321</xdr:rowOff>
    </xdr:to>
    <xdr:graphicFrame macro="">
      <xdr:nvGraphicFramePr>
        <xdr:cNvPr id="7" name="Gráfico6_Cashflow">
          <a:extLst>
            <a:ext uri="{FF2B5EF4-FFF2-40B4-BE49-F238E27FC236}">
              <a16:creationId xmlns:a16="http://schemas.microsoft.com/office/drawing/2014/main" id="{5D77B23A-6F37-4D36-80E1-03D53F74E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948036</xdr:colOff>
      <xdr:row>157</xdr:row>
      <xdr:rowOff>155325</xdr:rowOff>
    </xdr:from>
    <xdr:to>
      <xdr:col>10</xdr:col>
      <xdr:colOff>587202</xdr:colOff>
      <xdr:row>177</xdr:row>
      <xdr:rowOff>81703</xdr:rowOff>
    </xdr:to>
    <xdr:graphicFrame macro="">
      <xdr:nvGraphicFramePr>
        <xdr:cNvPr id="8" name="Gráfico7_CapitalIncome">
          <a:extLst>
            <a:ext uri="{FF2B5EF4-FFF2-40B4-BE49-F238E27FC236}">
              <a16:creationId xmlns:a16="http://schemas.microsoft.com/office/drawing/2014/main" id="{19E13AEA-CC07-4C98-B3C2-DE4B78543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684855</xdr:colOff>
      <xdr:row>92</xdr:row>
      <xdr:rowOff>141702</xdr:rowOff>
    </xdr:from>
    <xdr:to>
      <xdr:col>11</xdr:col>
      <xdr:colOff>472188</xdr:colOff>
      <xdr:row>111</xdr:row>
      <xdr:rowOff>74236</xdr:rowOff>
    </xdr:to>
    <xdr:graphicFrame macro="">
      <xdr:nvGraphicFramePr>
        <xdr:cNvPr id="9" name="Gráfico8_Income">
          <a:extLst>
            <a:ext uri="{FF2B5EF4-FFF2-40B4-BE49-F238E27FC236}">
              <a16:creationId xmlns:a16="http://schemas.microsoft.com/office/drawing/2014/main" id="{A4698A3B-D1DE-4568-9519-BE4541841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31449</xdr:colOff>
      <xdr:row>240</xdr:row>
      <xdr:rowOff>78618</xdr:rowOff>
    </xdr:from>
    <xdr:to>
      <xdr:col>4</xdr:col>
      <xdr:colOff>162078</xdr:colOff>
      <xdr:row>260</xdr:row>
      <xdr:rowOff>111276</xdr:rowOff>
    </xdr:to>
    <xdr:graphicFrame macro="">
      <xdr:nvGraphicFramePr>
        <xdr:cNvPr id="10" name="Gráfico9_EconomicCashflow">
          <a:extLst>
            <a:ext uri="{FF2B5EF4-FFF2-40B4-BE49-F238E27FC236}">
              <a16:creationId xmlns:a16="http://schemas.microsoft.com/office/drawing/2014/main" id="{789A99F5-FE2E-46EB-82C8-4BCB765C2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33868</xdr:colOff>
      <xdr:row>263</xdr:row>
      <xdr:rowOff>80433</xdr:rowOff>
    </xdr:from>
    <xdr:to>
      <xdr:col>4</xdr:col>
      <xdr:colOff>189896</xdr:colOff>
      <xdr:row>281</xdr:row>
      <xdr:rowOff>136071</xdr:rowOff>
    </xdr:to>
    <xdr:graphicFrame macro="">
      <xdr:nvGraphicFramePr>
        <xdr:cNvPr id="11" name="Gráfico10_vtcashflow">
          <a:extLst>
            <a:ext uri="{FF2B5EF4-FFF2-40B4-BE49-F238E27FC236}">
              <a16:creationId xmlns:a16="http://schemas.microsoft.com/office/drawing/2014/main" id="{A2B52206-EB09-4B7C-B46A-D871874CF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221</xdr:row>
      <xdr:rowOff>0</xdr:rowOff>
    </xdr:from>
    <xdr:to>
      <xdr:col>4</xdr:col>
      <xdr:colOff>139096</xdr:colOff>
      <xdr:row>239</xdr:row>
      <xdr:rowOff>89503</xdr:rowOff>
    </xdr:to>
    <xdr:graphicFrame macro="">
      <xdr:nvGraphicFramePr>
        <xdr:cNvPr id="12" name="Gráfico11_OperativeCashflow">
          <a:extLst>
            <a:ext uri="{FF2B5EF4-FFF2-40B4-BE49-F238E27FC236}">
              <a16:creationId xmlns:a16="http://schemas.microsoft.com/office/drawing/2014/main" id="{875E396D-A4A1-4DA2-B203-7EB25E654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59266</xdr:colOff>
      <xdr:row>0</xdr:row>
      <xdr:rowOff>118533</xdr:rowOff>
    </xdr:from>
    <xdr:to>
      <xdr:col>21</xdr:col>
      <xdr:colOff>653600</xdr:colOff>
      <xdr:row>10</xdr:row>
      <xdr:rowOff>47400</xdr:rowOff>
    </xdr:to>
    <xdr:graphicFrame macro="">
      <xdr:nvGraphicFramePr>
        <xdr:cNvPr id="20" name="Gráfico 19_Tasa Rf">
          <a:extLst>
            <a:ext uri="{FF2B5EF4-FFF2-40B4-BE49-F238E27FC236}">
              <a16:creationId xmlns:a16="http://schemas.microsoft.com/office/drawing/2014/main" id="{A59488E5-0784-EC0C-8E99-BFE37D2F8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59266</xdr:colOff>
      <xdr:row>10</xdr:row>
      <xdr:rowOff>127001</xdr:rowOff>
    </xdr:from>
    <xdr:to>
      <xdr:col>21</xdr:col>
      <xdr:colOff>651934</xdr:colOff>
      <xdr:row>20</xdr:row>
      <xdr:rowOff>64334</xdr:rowOff>
    </xdr:to>
    <xdr:graphicFrame macro="">
      <xdr:nvGraphicFramePr>
        <xdr:cNvPr id="21" name="Gráfico 20_Development Market">
          <a:extLst>
            <a:ext uri="{FF2B5EF4-FFF2-40B4-BE49-F238E27FC236}">
              <a16:creationId xmlns:a16="http://schemas.microsoft.com/office/drawing/2014/main" id="{B305CFB6-886C-91CF-8A44-B8C3AF594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93133</xdr:colOff>
      <xdr:row>21</xdr:row>
      <xdr:rowOff>16933</xdr:rowOff>
    </xdr:from>
    <xdr:to>
      <xdr:col>21</xdr:col>
      <xdr:colOff>687467</xdr:colOff>
      <xdr:row>30</xdr:row>
      <xdr:rowOff>140533</xdr:rowOff>
    </xdr:to>
    <xdr:graphicFrame macro="">
      <xdr:nvGraphicFramePr>
        <xdr:cNvPr id="22" name="Gráfico 21_Emerging Market">
          <a:extLst>
            <a:ext uri="{FF2B5EF4-FFF2-40B4-BE49-F238E27FC236}">
              <a16:creationId xmlns:a16="http://schemas.microsoft.com/office/drawing/2014/main" id="{A0E469F5-77BA-C9B6-204A-CAF3F028C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143932</xdr:colOff>
      <xdr:row>28</xdr:row>
      <xdr:rowOff>127001</xdr:rowOff>
    </xdr:from>
    <xdr:to>
      <xdr:col>26</xdr:col>
      <xdr:colOff>594332</xdr:colOff>
      <xdr:row>46</xdr:row>
      <xdr:rowOff>103267</xdr:rowOff>
    </xdr:to>
    <xdr:graphicFrame macro="">
      <xdr:nvGraphicFramePr>
        <xdr:cNvPr id="23" name="Gráfico 22_KoEmpresa">
          <a:extLst>
            <a:ext uri="{FF2B5EF4-FFF2-40B4-BE49-F238E27FC236}">
              <a16:creationId xmlns:a16="http://schemas.microsoft.com/office/drawing/2014/main" id="{47C46816-A3D6-8A60-8960-40F1DB7BC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405246</xdr:colOff>
      <xdr:row>91</xdr:row>
      <xdr:rowOff>13854</xdr:rowOff>
    </xdr:from>
    <xdr:to>
      <xdr:col>22</xdr:col>
      <xdr:colOff>68246</xdr:colOff>
      <xdr:row>101</xdr:row>
      <xdr:rowOff>137454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7F68C8-EC86-D2BA-1C32-29C796822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1255568</xdr:colOff>
      <xdr:row>63</xdr:row>
      <xdr:rowOff>385449</xdr:rowOff>
    </xdr:from>
    <xdr:to>
      <xdr:col>14</xdr:col>
      <xdr:colOff>148860</xdr:colOff>
      <xdr:row>91</xdr:row>
      <xdr:rowOff>229305</xdr:rowOff>
    </xdr:to>
    <xdr:graphicFrame macro="">
      <xdr:nvGraphicFramePr>
        <xdr:cNvPr id="3" name="GRAFICO234_GRAFICO PRIMA MERCADO">
          <a:extLst>
            <a:ext uri="{FF2B5EF4-FFF2-40B4-BE49-F238E27FC236}">
              <a16:creationId xmlns:a16="http://schemas.microsoft.com/office/drawing/2014/main" id="{D73988CD-9BA4-17E9-5209-79438E034D8A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613061</xdr:colOff>
      <xdr:row>62</xdr:row>
      <xdr:rowOff>58112</xdr:rowOff>
    </xdr:from>
    <xdr:to>
      <xdr:col>29</xdr:col>
      <xdr:colOff>57594</xdr:colOff>
      <xdr:row>89</xdr:row>
      <xdr:rowOff>51645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BCAC47-1AEE-7292-910A-EDB77A363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433723</xdr:colOff>
      <xdr:row>62</xdr:row>
      <xdr:rowOff>59652</xdr:rowOff>
    </xdr:from>
    <xdr:to>
      <xdr:col>38</xdr:col>
      <xdr:colOff>547123</xdr:colOff>
      <xdr:row>89</xdr:row>
      <xdr:rowOff>53185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D73B4E-CBBE-8EA0-BE01-5E148CACF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245532</xdr:colOff>
      <xdr:row>134</xdr:row>
      <xdr:rowOff>84667</xdr:rowOff>
    </xdr:from>
    <xdr:to>
      <xdr:col>23</xdr:col>
      <xdr:colOff>177799</xdr:colOff>
      <xdr:row>166</xdr:row>
      <xdr:rowOff>135466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9A2241-9AC7-BD32-A9DC-F880F698D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905933</xdr:colOff>
      <xdr:row>177</xdr:row>
      <xdr:rowOff>118533</xdr:rowOff>
    </xdr:from>
    <xdr:to>
      <xdr:col>20</xdr:col>
      <xdr:colOff>694267</xdr:colOff>
      <xdr:row>199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4071054-20E7-1AA4-182A-A5C004CE8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880531</xdr:colOff>
      <xdr:row>105</xdr:row>
      <xdr:rowOff>152401</xdr:rowOff>
    </xdr:from>
    <xdr:to>
      <xdr:col>20</xdr:col>
      <xdr:colOff>587531</xdr:colOff>
      <xdr:row>133</xdr:row>
      <xdr:rowOff>2001</xdr:rowOff>
    </xdr:to>
    <xdr:graphicFrame macro="">
      <xdr:nvGraphicFramePr>
        <xdr:cNvPr id="8" name="GRAPH123_GRAFICO EMPRESA">
          <a:extLst>
            <a:ext uri="{FF2B5EF4-FFF2-40B4-BE49-F238E27FC236}">
              <a16:creationId xmlns:a16="http://schemas.microsoft.com/office/drawing/2014/main" id="{EBC72C8E-63FD-82EB-CCE6-866719E45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104</xdr:row>
      <xdr:rowOff>0</xdr:rowOff>
    </xdr:from>
    <xdr:to>
      <xdr:col>27</xdr:col>
      <xdr:colOff>356965</xdr:colOff>
      <xdr:row>115</xdr:row>
      <xdr:rowOff>123600</xdr:rowOff>
    </xdr:to>
    <xdr:graphicFrame macro="">
      <xdr:nvGraphicFramePr>
        <xdr:cNvPr id="9" name="NUEVO123_GRAFICO TEST">
          <a:extLst>
            <a:ext uri="{FF2B5EF4-FFF2-40B4-BE49-F238E27FC236}">
              <a16:creationId xmlns:a16="http://schemas.microsoft.com/office/drawing/2014/main" id="{20CD8173-179B-4A52-8476-2F1B04A83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121920</xdr:colOff>
      <xdr:row>2</xdr:row>
      <xdr:rowOff>60960</xdr:rowOff>
    </xdr:from>
    <xdr:to>
      <xdr:col>31</xdr:col>
      <xdr:colOff>407118</xdr:colOff>
      <xdr:row>16</xdr:row>
      <xdr:rowOff>152400</xdr:rowOff>
    </xdr:to>
    <xdr:graphicFrame macro="">
      <xdr:nvGraphicFramePr>
        <xdr:cNvPr id="10" name="Gráfico 9_Riesgo">
          <a:extLst>
            <a:ext uri="{FF2B5EF4-FFF2-40B4-BE49-F238E27FC236}">
              <a16:creationId xmlns:a16="http://schemas.microsoft.com/office/drawing/2014/main" id="{1963094F-1E2F-4298-97D1-DAB7897BF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335280</xdr:colOff>
      <xdr:row>5</xdr:row>
      <xdr:rowOff>95250</xdr:rowOff>
    </xdr:from>
    <xdr:to>
      <xdr:col>30</xdr:col>
      <xdr:colOff>678180</xdr:colOff>
      <xdr:row>27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CF112B-E7E4-7BB5-6EAE-806FFD3D3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449580</xdr:colOff>
      <xdr:row>28</xdr:row>
      <xdr:rowOff>102870</xdr:rowOff>
    </xdr:from>
    <xdr:to>
      <xdr:col>32</xdr:col>
      <xdr:colOff>60960</xdr:colOff>
      <xdr:row>49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678E03-67BE-BB6C-A061-3BBAD3227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441960</xdr:colOff>
      <xdr:row>50</xdr:row>
      <xdr:rowOff>110490</xdr:rowOff>
    </xdr:from>
    <xdr:to>
      <xdr:col>31</xdr:col>
      <xdr:colOff>685800</xdr:colOff>
      <xdr:row>72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737D1A-7C50-BAD6-67AF-BE2305565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617220</xdr:colOff>
      <xdr:row>73</xdr:row>
      <xdr:rowOff>72390</xdr:rowOff>
    </xdr:from>
    <xdr:to>
      <xdr:col>30</xdr:col>
      <xdr:colOff>685800</xdr:colOff>
      <xdr:row>93</xdr:row>
      <xdr:rowOff>68580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C2E7F98-C9B3-F6AF-610F-B239277B4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609600</xdr:colOff>
      <xdr:row>115</xdr:row>
      <xdr:rowOff>148590</xdr:rowOff>
    </xdr:from>
    <xdr:to>
      <xdr:col>30</xdr:col>
      <xdr:colOff>678180</xdr:colOff>
      <xdr:row>134</xdr:row>
      <xdr:rowOff>144780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10E30E0-C88B-AA8A-313B-BCEAD90B7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762000</xdr:colOff>
      <xdr:row>94</xdr:row>
      <xdr:rowOff>64770</xdr:rowOff>
    </xdr:from>
    <xdr:to>
      <xdr:col>30</xdr:col>
      <xdr:colOff>624840</xdr:colOff>
      <xdr:row>114</xdr:row>
      <xdr:rowOff>106680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4E5E946-529D-0986-3FC7-F7A4DBB71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205740</xdr:colOff>
      <xdr:row>73</xdr:row>
      <xdr:rowOff>110490</xdr:rowOff>
    </xdr:from>
    <xdr:to>
      <xdr:col>39</xdr:col>
      <xdr:colOff>723900</xdr:colOff>
      <xdr:row>93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F5D89A-3AA0-5A65-AC9E-AFF8DFAE7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243840</xdr:colOff>
      <xdr:row>11</xdr:row>
      <xdr:rowOff>87630</xdr:rowOff>
    </xdr:from>
    <xdr:to>
      <xdr:col>40</xdr:col>
      <xdr:colOff>647700</xdr:colOff>
      <xdr:row>30</xdr:row>
      <xdr:rowOff>137160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363F2D6-5637-2881-3DAE-13295636F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518160</xdr:colOff>
      <xdr:row>205</xdr:row>
      <xdr:rowOff>152400</xdr:rowOff>
    </xdr:from>
    <xdr:to>
      <xdr:col>13</xdr:col>
      <xdr:colOff>661137</xdr:colOff>
      <xdr:row>228</xdr:row>
      <xdr:rowOff>137745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78BD21-DA45-1678-78C1-8CA05C83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8160" y="37719000"/>
          <a:ext cx="12431860" cy="41915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668866</xdr:colOff>
      <xdr:row>21</xdr:row>
      <xdr:rowOff>110066</xdr:rowOff>
    </xdr:from>
    <xdr:to>
      <xdr:col>30</xdr:col>
      <xdr:colOff>668867</xdr:colOff>
      <xdr:row>41</xdr:row>
      <xdr:rowOff>33867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5EA9F9-FE6F-141D-4118-653559469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660399</xdr:colOff>
      <xdr:row>44</xdr:row>
      <xdr:rowOff>160866</xdr:rowOff>
    </xdr:from>
    <xdr:to>
      <xdr:col>30</xdr:col>
      <xdr:colOff>685799</xdr:colOff>
      <xdr:row>62</xdr:row>
      <xdr:rowOff>118533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B67E9-9F2F-F6A6-E7B4-4CDF03BDF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626531</xdr:colOff>
      <xdr:row>3</xdr:row>
      <xdr:rowOff>118533</xdr:rowOff>
    </xdr:from>
    <xdr:to>
      <xdr:col>30</xdr:col>
      <xdr:colOff>634999</xdr:colOff>
      <xdr:row>21</xdr:row>
      <xdr:rowOff>110065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941088-6B26-8A65-9B51-01E7C3D61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365760</xdr:colOff>
      <xdr:row>2</xdr:row>
      <xdr:rowOff>171450</xdr:rowOff>
    </xdr:from>
    <xdr:to>
      <xdr:col>24</xdr:col>
      <xdr:colOff>259080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D07735-9E5F-4441-8EB8-29ED53883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586740</xdr:colOff>
      <xdr:row>21</xdr:row>
      <xdr:rowOff>140970</xdr:rowOff>
    </xdr:from>
    <xdr:to>
      <xdr:col>24</xdr:col>
      <xdr:colOff>144780</xdr:colOff>
      <xdr:row>39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D12064-20A3-811B-D97D-6DAAD59E8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7458EF-046A-404A-B575-99E9E082162F}" name="Tabla4" displayName="Tabla4" ref="B70:C89" totalsRowShown="0">
  <autoFilter ref="B70:C89" xr:uid="{1E7458EF-046A-404A-B575-99E9E082162F}"/>
  <tableColumns count="2">
    <tableColumn id="1" xr3:uid="{75E3206A-9E66-47EC-8F3B-0051B49847A3}" name="Columna1" dataCellStyle="Normal 67"/>
    <tableColumn id="2" xr3:uid="{73C91032-2D07-4310-91BC-D2E15D9E2573}" name="Columna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B58B46-C06F-4B72-93F1-2BEEA0E224AB}" name="TABLA_TEXTO_TEST" displayName="TABLA_TEXTO_TEST" ref="E70:H86" totalsRowShown="0">
  <autoFilter ref="E70:H86" xr:uid="{EAB58B46-C06F-4B72-93F1-2BEEA0E224AB}"/>
  <tableColumns count="4">
    <tableColumn id="1" xr3:uid="{407B0B03-A381-4CF7-AB9D-AE9C5C1E5EF2}" name="Columna1" dataDxfId="64" dataCellStyle="Normal 67"/>
    <tableColumn id="2" xr3:uid="{C4B0609D-C2C4-4F78-B184-7E819B0EE888}" name="Columna2" dataDxfId="63" dataCellStyle="Normal 67"/>
    <tableColumn id="3" xr3:uid="{E3089696-7FFE-4BDF-9DA9-F42666EF644A}" name="Columna3" dataDxfId="62" dataCellStyle="Normal 67"/>
    <tableColumn id="4" xr3:uid="{88A53856-957B-49A9-9757-7F8BEC831F7A}" name="Columna4" dataDxfId="61" dataCellStyle="Normal 67"/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451AF7-D688-459A-9EFB-2E266A62D8FE}" name="Tabla3" displayName="Tabla3" ref="B49:F55" totalsRowShown="0" headerRowDxfId="60" dataDxfId="59">
  <autoFilter ref="B49:F55" xr:uid="{2A451AF7-D688-459A-9EFB-2E266A62D8FE}"/>
  <tableColumns count="5">
    <tableColumn id="1" xr3:uid="{2D9EBEC2-A578-4DA3-AF8E-E3551E779000}" name="Columna1" dataDxfId="58"/>
    <tableColumn id="2" xr3:uid="{B06B45F0-EF77-4D33-86D0-7D7EF98CEA63}" name="Columna2" dataDxfId="57"/>
    <tableColumn id="3" xr3:uid="{8C7FEE59-8A9E-4E89-B6B9-431552BFAF6D}" name="Columna3" dataDxfId="56"/>
    <tableColumn id="4" xr3:uid="{B78BE695-ECEA-4E40-8C07-1E1BCB266152}" name="Columna4" dataDxfId="55"/>
    <tableColumn id="5" xr3:uid="{E5D91922-9B17-4492-AE47-2D908F051EE4}" name="Columna5" dataDxfId="54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F64974-854E-4B9D-8E64-0F35FAA61993}" name="TABLA_TEXTO_WACC" displayName="TABLA_TEXTO_WACC" ref="B65:G186" totalsRowShown="0" headerRowDxfId="53" dataDxfId="52" totalsRowDxfId="51">
  <autoFilter ref="B65:G186" xr:uid="{88F64974-854E-4B9D-8E64-0F35FAA61993}"/>
  <tableColumns count="6">
    <tableColumn id="3" xr3:uid="{A03D6B07-59B0-4BF1-ACA2-5F7CF287FD10}" name="Columna6" dataDxfId="50" totalsRowDxfId="49"/>
    <tableColumn id="1" xr3:uid="{473B01CE-5FB8-46DF-B440-F48BE00D8E6A}" name="Columna1" dataDxfId="48" totalsRowDxfId="47"/>
    <tableColumn id="2" xr3:uid="{10E68253-76F4-4F41-81B9-3D104D58335F}" name="Columna2" dataDxfId="46" totalsRowDxfId="45">
      <calculatedColumnFormula>C8</calculatedColumnFormula>
    </tableColumn>
    <tableColumn id="4" xr3:uid="{84CDAD8B-5664-46D5-B197-8F71DEAFC199}" name="Columna3" dataDxfId="44" totalsRowDxfId="43"/>
    <tableColumn id="9" xr3:uid="{21B5F2B6-2AD9-42B5-8C14-B79AAABF8765}" name="Columna4" dataDxfId="42" totalsRowDxfId="41"/>
    <tableColumn id="10" xr3:uid="{814C2EC7-D4B3-4100-B2BF-9E85F43807BF}" name="Columna5" dataDxfId="40" totalsRowDxfId="39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FBCA6B-FE9D-4A13-B503-4C873758D9BC}" name="Tabla7" displayName="Tabla7" ref="J49:K61" totalsRowShown="0" dataDxfId="37" headerRowBorderDxfId="38" tableBorderDxfId="36" totalsRowBorderDxfId="35">
  <autoFilter ref="J49:K61" xr:uid="{F4FBCA6B-FE9D-4A13-B503-4C873758D9BC}"/>
  <tableColumns count="2">
    <tableColumn id="1" xr3:uid="{ADDFF1E6-302A-48CF-9371-BD550BBE6D40}" name="Columna1" dataDxfId="34"/>
    <tableColumn id="2" xr3:uid="{1C58B054-DA40-4751-BD70-1D93A4C04AAE}" name="Columna2" dataDxfId="3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1BDA496-3BEE-472D-9141-B6060BDA651C}" name="TABLA_TEXTO_sectorial" displayName="TABLA_TEXTO_sectorial" ref="N136:Q141" totalsRowShown="0" tableBorderDxfId="32">
  <autoFilter ref="N136:Q141" xr:uid="{E1BDA496-3BEE-472D-9141-B6060BDA651C}"/>
  <tableColumns count="4">
    <tableColumn id="4" xr3:uid="{CE86949A-DE43-48F5-9DED-4170460C08D1}" name="Columna4" dataDxfId="31"/>
    <tableColumn id="1" xr3:uid="{0CAD5172-63E3-4A0A-BDEB-A13863636136}" name="Columna1"/>
    <tableColumn id="2" xr3:uid="{56D07718-4FCB-40F2-ACD4-366F8E5BAA3B}" name="Columna2" dataDxfId="30"/>
    <tableColumn id="3" xr3:uid="{D688F12C-7279-4C69-A63D-6B8B8BB7DC33}" name="Columna3" dataDxfId="2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1961195-B319-4E9A-AE43-304048B24EBF}" name="Tabla1629" displayName="Tabla1629" ref="H123:J129" totalsRowShown="0" headerRowDxfId="28" tableBorderDxfId="27">
  <autoFilter ref="H123:J129" xr:uid="{01961195-B319-4E9A-AE43-304048B24EBF}"/>
  <tableColumns count="3">
    <tableColumn id="1" xr3:uid="{BE917C51-7855-486B-8BA9-CE25478A076E}" name="Columna1" dataDxfId="26"/>
    <tableColumn id="2" xr3:uid="{4E352952-8298-44EC-B074-8D425AAEA9C5}" name="Columna2" dataDxfId="25"/>
    <tableColumn id="3" xr3:uid="{BF3721BA-92B4-4E56-93A0-64173212A5DF}" name="Columna3" dataDxfId="2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C95191-9957-421B-8D38-8B6AE51155DB}" name="Tabla8" displayName="Tabla8" ref="B200:C203" totalsRowShown="0" headerRowBorderDxfId="23" tableBorderDxfId="22" totalsRowBorderDxfId="21">
  <autoFilter ref="B200:C203" xr:uid="{99C95191-9957-421B-8D38-8B6AE51155DB}"/>
  <tableColumns count="2">
    <tableColumn id="1" xr3:uid="{410755B4-75CC-416B-B63D-E06FA6F580F6}" name="Columna1" dataDxfId="20"/>
    <tableColumn id="2" xr3:uid="{568B460E-5189-4EF5-A0D1-023785C98812}" name="Columna2" dataDxfId="19" dataCellStyle="Millares">
      <calculatedColumnFormula>+L184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D4477-F94C-4CE1-9676-D17D16910647}" name="Tabla1" displayName="Tabla1" ref="A40:A58" totalsRowShown="0" headerRowDxfId="18" dataDxfId="17" tableBorderDxfId="16">
  <autoFilter ref="A40:A58" xr:uid="{7C6D4477-F94C-4CE1-9676-D17D16910647}"/>
  <tableColumns count="1">
    <tableColumn id="1" xr3:uid="{B3D045B3-5B87-4448-BE6C-4767E1587986}" name="Fechas" dataDxfId="1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1E67C5-9E24-431A-9972-F71930E6DAE1}" name="Tabla9" displayName="Tabla9" ref="B54:C57" totalsRowShown="0" headerRowBorderDxfId="14" tableBorderDxfId="13" totalsRowBorderDxfId="12">
  <autoFilter ref="B54:C57" xr:uid="{061E67C5-9E24-431A-9972-F71930E6DAE1}"/>
  <tableColumns count="2">
    <tableColumn id="1" xr3:uid="{88CB7833-02AE-4F73-9947-43F186B78A61}" name="Columna1" dataDxfId="11"/>
    <tableColumn id="2" xr3:uid="{796FD903-BFAE-44F1-ACA4-F94BFBD85EF9}" name="Columna2" dataDxfId="10" dataCellStyle="Millares">
      <calculatedColumnFormula>+L50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3-05-16T16:05:00.26" personId="{00000000-0000-0000-0000-000000000000}" id="{01627330-5C1D-457F-931C-DB695DF76DC7}">
    <text>Desde la celda C2 a la celda C5, se almacenan parámetros definidos por el usuario.</text>
  </threadedComment>
  <threadedComment ref="C7" dT="2023-05-16T03:52:56.73" personId="{00000000-0000-0000-0000-000000000000}" id="{132053D3-09DD-4A92-8FB8-5C7EB74DBF39}">
    <text>Las celdas C7 y C8 sirven para incrementar o disminuir el número de años que el usuario desea añadir de información histórica.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" dT="2023-07-25T21:19:14.32" personId="{00000000-0000-0000-0000-000000000000}" id="{BA89BFAA-4E5F-4489-AE54-36490B91AD0D}">
    <text xml:space="preserve">Hay que definir la lista desplegable de países en la plataforma con los siguientes países y en el siguiente orden:
Argentina, Brazil, Chile, Colombia, Ecuador, Mxico, Peru, United States
</text>
  </threadedComment>
  <threadedComment ref="C13" dT="2023-05-16T03:53:54.84" personId="{00000000-0000-0000-0000-000000000000}" id="{89C997AC-64C9-4390-8523-CA1C8FB1B36B}">
    <text>El parámetro sector, definido por el usuario, se almacena en esta celda.</text>
  </threadedComment>
  <threadedComment ref="AO38" dT="2023-05-16T14:48:48.33" personId="{00000000-0000-0000-0000-000000000000}" id="{FB8B9348-0E5E-4242-90B7-918F1ECD9E8B}">
    <text>WACC/CPPC recalculado para el M. por conceptos.</text>
  </threadedComment>
  <threadedComment ref="I44" dT="2023-05-16T14:48:08.85" personId="{00000000-0000-0000-0000-000000000000}" id="{02DFF5BC-98A9-4627-8C57-A23AB91EC7E6}">
    <text>Resultado que se utiliza en las hojas M. por conceptos y M. Integrado.</text>
  </threadedComment>
  <threadedComment ref="AS70" dT="2023-05-16T14:49:16.01" personId="{00000000-0000-0000-0000-000000000000}" id="{C4D5601B-FF3C-4B13-9081-A469E86F872E}">
    <text>WACC/CPPC recalculado para el M. Integrado.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2" dT="2023-05-15T14:27:45.05" personId="{00000000-0000-0000-0000-000000000000}" id="{30C6C697-6B83-4DD2-8A21-F405938FBF0A}">
    <text xml:space="preserve">La tasa de crecimiento de largo plazo es utilizada para ajustar las proyecciones. Este ajuste se realiza para cada variable, con excepción del CAPEX y del capital de trabajo. </text>
  </threadedComment>
  <threadedComment ref="V174" dT="2023-05-15T14:29:03.99" personId="{00000000-0000-0000-0000-000000000000}" id="{028B7277-740B-4BB1-B625-F2D908DFB833}">
    <text>El valor terminal es un input intermedio que depende del flujo proyectado para el último periodo, la tasa de crecimiento de largo plazo y el costo de capital (WACC).</text>
  </threadedComment>
  <threadedComment ref="L184" dT="2023-05-16T04:14:35.80" personId="{00000000-0000-0000-0000-000000000000}" id="{59471F64-3CF4-4F5E-BAF7-CB0C937F5C34}">
    <text>Este resultado es dirigido a la hoja WACC (celda O17) para recalcular el costo de capital, el cual es utilizado en las filas inferiores.</text>
  </threadedComment>
  <threadedComment ref="L194" dT="2023-05-16T14:43:10.36" personId="{00000000-0000-0000-0000-000000000000}" id="{6E2F7D11-A88F-4274-AE4F-98A5F2BE9AB7}">
    <text>Output de la pestaña resultados para el M. por Conceptos.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53" dT="2023-05-16T03:54:14.85" personId="{00000000-0000-0000-0000-000000000000}" id="{2D6C8DEC-195B-469A-AA11-17F8920B12F1}">
    <text>Parámetro definido por el autor.</text>
  </threadedComment>
  <threadedComment ref="D54" dT="2023-05-16T03:55:40.95" personId="{00000000-0000-0000-0000-000000000000}" id="{38DAE302-B464-4A10-B10F-1C79C9E5D606}">
    <text>Este parámetro permite que el usuario pueda elegir si desea expresar sus Estados Financieros en moneda nacional (soles) o moneda extranjera (dólares).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48" dT="2023-05-16T14:41:42.45" personId="{00000000-0000-0000-0000-000000000000}" id="{A9EA9A24-9A01-4CFC-8DCC-09BC017E3A28}">
    <text>Output de la pestaña resultados para el M. Integrado.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0" dT="2023-05-16T04:37:41.54" personId="{00000000-0000-0000-0000-000000000000}" id="{59B93F94-26D1-4D22-87DE-294C032B1C46}">
    <text>En esta celda se almacena la tasa de crecimiento de los ingresos definida por el usuario en la pestaña de análisis.</text>
  </threadedComment>
  <threadedComment ref="H99" dT="2023-05-16T14:44:01.60" personId="{00000000-0000-0000-0000-000000000000}" id="{6116150E-88A5-43EF-BC34-53E8E15C4762}">
    <text>Output de la pestaña análisis para el M. por Conceptos.</text>
  </threadedComment>
  <threadedComment ref="M100" dT="2023-05-16T04:41:02.97" personId="{00000000-0000-0000-0000-000000000000}" id="{E0BFCC0E-4565-4571-B37E-777C88F513FB}">
    <text>En esta celda se almacena el costo de capital (WACC/CPPC) definido por el usuario en la pestaña de análisis.</text>
  </threadedComment>
  <threadedComment ref="H129" dT="2023-05-16T14:44:18.67" personId="{00000000-0000-0000-0000-000000000000}" id="{FDEDA4AF-8EF1-49FB-A6ED-16229487A093}">
    <text>Output de la pestaña análisis para el M. Integrado.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microsoft.com/office/2017/10/relationships/threadedComment" Target="../threadedComments/threadedComment2.xml"/><Relationship Id="rId4" Type="http://schemas.openxmlformats.org/officeDocument/2006/relationships/table" Target="../tables/table3.xml"/><Relationship Id="rId9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6" Type="http://schemas.microsoft.com/office/2017/10/relationships/threadedComment" Target="../threadedComments/threadedComment5.xml"/><Relationship Id="rId5" Type="http://schemas.openxmlformats.org/officeDocument/2006/relationships/comments" Target="../comments9.xml"/><Relationship Id="rId4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EA5A-0253-4C50-86F4-F32750FAA5A6}">
  <sheetPr codeName="Hoja1"/>
  <dimension ref="A1:S220"/>
  <sheetViews>
    <sheetView showGridLines="0" tabSelected="1" topLeftCell="B1" zoomScale="70" zoomScaleNormal="70" workbookViewId="0">
      <selection activeCell="D5" sqref="D5"/>
    </sheetView>
  </sheetViews>
  <sheetFormatPr baseColWidth="10" defaultColWidth="11.5546875" defaultRowHeight="14.4"/>
  <cols>
    <col min="1" max="1" width="5.33203125" style="128" customWidth="1"/>
    <col min="2" max="2" width="52.6640625" style="129" bestFit="1" customWidth="1"/>
    <col min="3" max="3" width="20.109375" style="130" customWidth="1"/>
    <col min="4" max="4" width="18.5546875" style="130" customWidth="1"/>
    <col min="5" max="5" width="15.44140625" style="130" customWidth="1"/>
    <col min="6" max="6" width="22.44140625" style="130" customWidth="1"/>
    <col min="7" max="7" width="17.109375" style="130" customWidth="1"/>
    <col min="8" max="8" width="24.5546875" style="130" customWidth="1"/>
    <col min="9" max="9" width="13.6640625" style="130" customWidth="1"/>
    <col min="10" max="15" width="11.5546875" style="130"/>
    <col min="16" max="16384" width="11.5546875" style="129"/>
  </cols>
  <sheetData>
    <row r="1" spans="1:19" ht="14.4" customHeight="1"/>
    <row r="2" spans="1:19" ht="14.4" customHeight="1">
      <c r="B2" s="416" t="s">
        <v>86</v>
      </c>
      <c r="C2" s="448">
        <v>45838</v>
      </c>
      <c r="I2" s="417"/>
    </row>
    <row r="3" spans="1:19" ht="14.4" customHeight="1">
      <c r="B3" s="416" t="s">
        <v>9</v>
      </c>
      <c r="C3" s="449" t="inlineStr">
        <is>
          <t>Peru</t>
        </is>
      </c>
    </row>
    <row r="4" spans="1:19" ht="14.4" customHeight="1">
      <c r="B4" s="416" t="s">
        <v>349</v>
      </c>
      <c r="C4" s="778" t="s">
        <v>11</v>
      </c>
    </row>
    <row r="5" spans="1:19" ht="14.4" customHeight="1">
      <c r="B5" s="416" t="s">
        <v>421</v>
      </c>
      <c r="C5" s="450">
        <v>847191.73100000003</v>
      </c>
    </row>
    <row r="6" spans="1:19" s="130" customFormat="1" ht="14.4" customHeight="1">
      <c r="A6" s="414"/>
      <c r="C6" s="132"/>
    </row>
    <row r="7" spans="1:19" ht="14.4" customHeight="1">
      <c r="B7" s="131" t="s">
        <v>298</v>
      </c>
      <c r="C7" s="130">
        <v>2017</v>
      </c>
      <c r="H7" s="376"/>
    </row>
    <row r="8" spans="1:19" ht="14.4" customHeight="1">
      <c r="B8" s="131" t="s">
        <v>299</v>
      </c>
      <c r="C8" s="130">
        <v>2021</v>
      </c>
    </row>
    <row r="9" spans="1:19" ht="14.4" customHeight="1">
      <c r="B9" s="653" t="s">
        <v>1061</v>
      </c>
      <c r="C9" s="653" t="s">
        <v>1050</v>
      </c>
      <c r="D9" s="653" t="s">
        <v>1051</v>
      </c>
      <c r="E9" s="653" t="s">
        <v>1052</v>
      </c>
      <c r="F9" s="653" t="s">
        <v>1053</v>
      </c>
      <c r="G9" s="653" t="s">
        <v>1054</v>
      </c>
      <c r="H9" s="639"/>
      <c r="K9" s="130" t="s">
        <v>1049</v>
      </c>
    </row>
    <row r="10" spans="1:19" s="130" customFormat="1" ht="15.6">
      <c r="A10" s="648"/>
      <c r="B10" s="133" t="s">
        <v>300</v>
      </c>
      <c r="C10" s="134">
        <f>C7</f>
        <v>2017</v>
      </c>
      <c r="D10" s="134">
        <f>IF(C10&lt;YEAR($C$2)-1,C10+1,"")</f>
        <v>2018</v>
      </c>
      <c r="E10" s="134">
        <f t="shared" ref="E10:J10" si="0">IF(D10&lt;$C$8,D10+1,"")</f>
        <v>2019</v>
      </c>
      <c r="F10" s="134">
        <f t="shared" si="0"/>
        <v>2020</v>
      </c>
      <c r="G10" s="134">
        <f t="shared" si="0"/>
        <v>2021</v>
      </c>
      <c r="H10" s="135" t="str">
        <f>IF(G10&lt;$C$8,G10+1,"")</f>
        <v/>
      </c>
      <c r="I10" s="135" t="str">
        <f>IF(H10&lt;$C$8,H10+1,"")</f>
        <v/>
      </c>
      <c r="J10" s="135" t="str">
        <f t="shared" si="0"/>
        <v/>
      </c>
      <c r="K10" s="135"/>
      <c r="L10" s="135"/>
      <c r="M10" s="135"/>
      <c r="N10" s="135"/>
      <c r="O10" s="135"/>
      <c r="P10" s="135"/>
      <c r="Q10" s="135"/>
      <c r="R10" s="135"/>
      <c r="S10" s="135"/>
    </row>
    <row r="11" spans="1:19">
      <c r="A11" s="649"/>
      <c r="B11" s="136" t="s">
        <v>301</v>
      </c>
      <c r="C11" s="137" cm="1">
        <f t="array" ref="C11:C38">IF(ISBLANK(C9), "", TRANSPOSE(IFERROR(VALUE(_xlfn.TEXTSPLIT(C9,";")),0)))</f>
        <v>3289719</v>
      </c>
      <c r="D11" s="137" cm="1">
        <f t="array" ref="D11:D38">IF(ISBLANK(D9), "", TRANSPOSE(IFERROR(VALUE(_xlfn.TEXTSPLIT(D9,";")),0)))</f>
        <v>4103986</v>
      </c>
      <c r="E11" s="137" cm="1">
        <f t="array" ref="E11:E38">IF(ISBLANK(E9), "", TRANSPOSE(IFERROR(VALUE(_xlfn.TEXTSPLIT(E9,";")),0)))</f>
        <v>4490817</v>
      </c>
      <c r="F11" s="137" cm="1">
        <f t="array" ref="F11:F38">IF(ISBLANK(F9), "", TRANSPOSE(IFERROR(VALUE(_xlfn.TEXTSPLIT(F9,";")),0)))</f>
        <v>4618768</v>
      </c>
      <c r="G11" s="137" cm="1">
        <f t="array" ref="G11:G38">IF(ISBLANK(G9), "", TRANSPOSE(IFERROR(VALUE(_xlfn.TEXTSPLIT(G9,";")),0)))</f>
        <v>6509850</v>
      </c>
      <c r="H11" s="376"/>
    </row>
    <row r="12" spans="1:19" ht="13.95" customHeight="1">
      <c r="A12" s="649"/>
      <c r="B12" s="136" t="s">
        <v>302</v>
      </c>
      <c r="C12" s="137">
        <v>0</v>
      </c>
      <c r="D12" s="137">
        <v>0</v>
      </c>
      <c r="E12" s="137">
        <v>0</v>
      </c>
      <c r="F12" s="138">
        <v>0</v>
      </c>
      <c r="G12" s="138">
        <v>0</v>
      </c>
    </row>
    <row r="13" spans="1:19" ht="14.4" customHeight="1">
      <c r="A13" s="649"/>
      <c r="B13" s="136" t="s">
        <v>303</v>
      </c>
      <c r="C13" s="137">
        <v>0</v>
      </c>
      <c r="D13" s="137">
        <v>0</v>
      </c>
      <c r="E13" s="137">
        <v>0</v>
      </c>
      <c r="F13" s="138">
        <v>0</v>
      </c>
      <c r="G13" s="138">
        <v>0</v>
      </c>
    </row>
    <row r="14" spans="1:19">
      <c r="A14" s="649"/>
      <c r="B14" s="136" t="s">
        <v>304</v>
      </c>
      <c r="C14" s="137">
        <v>0</v>
      </c>
      <c r="D14" s="137">
        <v>0</v>
      </c>
      <c r="E14" s="137">
        <v>0</v>
      </c>
      <c r="F14" s="138">
        <v>0</v>
      </c>
      <c r="G14" s="138">
        <v>0</v>
      </c>
    </row>
    <row r="15" spans="1:19">
      <c r="A15" s="649"/>
      <c r="B15" s="139" t="s">
        <v>305</v>
      </c>
      <c r="C15" s="140">
        <v>3289719</v>
      </c>
      <c r="D15" s="140">
        <v>4103986</v>
      </c>
      <c r="E15" s="140">
        <v>4490817</v>
      </c>
      <c r="F15" s="141">
        <v>4618768</v>
      </c>
      <c r="G15" s="141">
        <v>6509850</v>
      </c>
      <c r="L15" s="135"/>
    </row>
    <row r="16" spans="1:19">
      <c r="A16" s="649"/>
      <c r="B16" s="136" t="s">
        <v>302</v>
      </c>
      <c r="C16" s="142">
        <v>3826276</v>
      </c>
      <c r="D16" s="142">
        <v>4955240</v>
      </c>
      <c r="E16" s="142">
        <v>6751464</v>
      </c>
      <c r="F16" s="143">
        <v>7031343</v>
      </c>
      <c r="G16" s="143">
        <v>6898453</v>
      </c>
    </row>
    <row r="17" spans="1:9">
      <c r="A17" s="649"/>
      <c r="B17" s="136" t="s">
        <v>306</v>
      </c>
      <c r="C17" s="142">
        <v>0</v>
      </c>
      <c r="D17" s="142">
        <v>0</v>
      </c>
      <c r="E17" s="142">
        <v>0</v>
      </c>
      <c r="F17" s="143">
        <v>0</v>
      </c>
      <c r="G17" s="143">
        <v>0</v>
      </c>
    </row>
    <row r="18" spans="1:9">
      <c r="A18" s="649"/>
      <c r="B18" s="136" t="s">
        <v>307</v>
      </c>
      <c r="C18" s="142">
        <v>1865624</v>
      </c>
      <c r="D18" s="142">
        <v>2537852</v>
      </c>
      <c r="E18" s="142">
        <v>3323015</v>
      </c>
      <c r="F18" s="143">
        <v>3410774</v>
      </c>
      <c r="G18" s="143">
        <v>3343589</v>
      </c>
    </row>
    <row r="19" spans="1:9">
      <c r="A19" s="649"/>
      <c r="B19" s="136" t="s">
        <v>308</v>
      </c>
      <c r="C19" s="142">
        <v>1198090</v>
      </c>
      <c r="D19" s="142">
        <v>1361126</v>
      </c>
      <c r="E19" s="142">
        <v>1540298</v>
      </c>
      <c r="F19" s="143">
        <v>1801309</v>
      </c>
      <c r="G19" s="143">
        <v>1973854</v>
      </c>
    </row>
    <row r="20" spans="1:9">
      <c r="A20" s="649"/>
      <c r="B20" s="136" t="s">
        <v>309</v>
      </c>
      <c r="C20" s="142">
        <v>0</v>
      </c>
      <c r="D20" s="142">
        <v>0</v>
      </c>
      <c r="E20" s="142">
        <v>0</v>
      </c>
      <c r="F20" s="143">
        <v>0</v>
      </c>
      <c r="G20" s="143">
        <v>0</v>
      </c>
    </row>
    <row r="21" spans="1:9">
      <c r="A21" s="649"/>
      <c r="B21" s="136" t="s">
        <v>304</v>
      </c>
      <c r="C21" s="143">
        <v>0</v>
      </c>
      <c r="D21" s="143">
        <v>0</v>
      </c>
      <c r="E21" s="143">
        <v>0</v>
      </c>
      <c r="F21" s="143">
        <v>0</v>
      </c>
      <c r="G21" s="143">
        <v>0</v>
      </c>
    </row>
    <row r="22" spans="1:9">
      <c r="A22" s="649"/>
      <c r="B22" s="139" t="s">
        <v>310</v>
      </c>
      <c r="C22" s="140">
        <v>3826276</v>
      </c>
      <c r="D22" s="140">
        <v>4955240</v>
      </c>
      <c r="E22" s="140">
        <v>6751464</v>
      </c>
      <c r="F22" s="140">
        <v>7031343</v>
      </c>
      <c r="G22" s="140">
        <v>6898453</v>
      </c>
    </row>
    <row r="23" spans="1:9">
      <c r="A23" s="649"/>
      <c r="B23" s="144" t="s">
        <v>311</v>
      </c>
      <c r="C23" s="145">
        <v>7115995</v>
      </c>
      <c r="D23" s="145">
        <v>9059226</v>
      </c>
      <c r="E23" s="145">
        <v>11242281</v>
      </c>
      <c r="F23" s="145">
        <v>11650111</v>
      </c>
      <c r="G23" s="145">
        <v>13408303</v>
      </c>
    </row>
    <row r="24" spans="1:9">
      <c r="A24" s="649"/>
      <c r="B24" s="136" t="s">
        <v>312</v>
      </c>
      <c r="C24" s="142">
        <v>0</v>
      </c>
      <c r="D24" s="142">
        <v>0</v>
      </c>
      <c r="E24" s="142">
        <v>0</v>
      </c>
      <c r="F24" s="142">
        <v>558545</v>
      </c>
      <c r="G24" s="142">
        <v>639174</v>
      </c>
      <c r="I24" s="376"/>
    </row>
    <row r="25" spans="1:9">
      <c r="A25" s="649"/>
      <c r="B25" s="136" t="s">
        <v>313</v>
      </c>
      <c r="C25" s="142">
        <v>0</v>
      </c>
      <c r="D25" s="142">
        <v>0</v>
      </c>
      <c r="E25" s="142">
        <v>0</v>
      </c>
      <c r="F25" s="142">
        <v>0</v>
      </c>
      <c r="G25" s="142">
        <v>0</v>
      </c>
      <c r="I25" s="377"/>
    </row>
    <row r="26" spans="1:9" ht="14.4" customHeight="1">
      <c r="A26" s="649"/>
      <c r="B26" s="136" t="s">
        <v>314</v>
      </c>
      <c r="C26" s="142">
        <v>0</v>
      </c>
      <c r="D26" s="142">
        <v>0</v>
      </c>
      <c r="E26" s="142">
        <v>0</v>
      </c>
      <c r="F26" s="142">
        <v>0</v>
      </c>
      <c r="G26" s="142">
        <v>0</v>
      </c>
      <c r="I26" s="376"/>
    </row>
    <row r="27" spans="1:9">
      <c r="A27" s="649"/>
      <c r="B27" s="139" t="s">
        <v>315</v>
      </c>
      <c r="C27" s="140">
        <v>2823965</v>
      </c>
      <c r="D27" s="140">
        <v>3084554</v>
      </c>
      <c r="E27" s="140">
        <v>3462553</v>
      </c>
      <c r="F27" s="140">
        <v>3604331</v>
      </c>
      <c r="G27" s="140">
        <v>4645551</v>
      </c>
    </row>
    <row r="28" spans="1:9">
      <c r="A28" s="649"/>
      <c r="B28" s="136" t="s">
        <v>312</v>
      </c>
      <c r="C28" s="142">
        <v>0</v>
      </c>
      <c r="D28" s="142">
        <v>0</v>
      </c>
      <c r="E28" s="142">
        <v>0</v>
      </c>
      <c r="F28" s="142">
        <v>3515304</v>
      </c>
      <c r="G28" s="142">
        <v>4676131</v>
      </c>
    </row>
    <row r="29" spans="1:9">
      <c r="A29" s="649"/>
      <c r="B29" s="136" t="s">
        <v>313</v>
      </c>
      <c r="C29" s="142">
        <v>0</v>
      </c>
      <c r="D29" s="142">
        <v>0</v>
      </c>
      <c r="E29" s="142">
        <v>0</v>
      </c>
      <c r="F29" s="142">
        <v>0</v>
      </c>
      <c r="G29" s="142">
        <v>0</v>
      </c>
    </row>
    <row r="30" spans="1:9" ht="14.4" customHeight="1">
      <c r="A30" s="649"/>
      <c r="B30" s="136" t="s">
        <v>314</v>
      </c>
      <c r="C30" s="142">
        <v>0</v>
      </c>
      <c r="D30" s="142">
        <v>0</v>
      </c>
      <c r="E30" s="142">
        <v>0</v>
      </c>
      <c r="F30" s="142">
        <v>0</v>
      </c>
      <c r="G30" s="142">
        <v>0</v>
      </c>
    </row>
    <row r="31" spans="1:9">
      <c r="A31" s="649"/>
      <c r="B31" s="139" t="s">
        <v>316</v>
      </c>
      <c r="C31" s="140">
        <v>1391745</v>
      </c>
      <c r="D31" s="140">
        <v>2729104</v>
      </c>
      <c r="E31" s="140">
        <v>4321222</v>
      </c>
      <c r="F31" s="140">
        <v>4364956</v>
      </c>
      <c r="G31" s="140">
        <v>5437375</v>
      </c>
      <c r="I31" s="363"/>
    </row>
    <row r="32" spans="1:9">
      <c r="A32" s="649"/>
      <c r="B32" s="144" t="s">
        <v>317</v>
      </c>
      <c r="C32" s="145">
        <v>4215710</v>
      </c>
      <c r="D32" s="145">
        <v>5813658</v>
      </c>
      <c r="E32" s="145">
        <v>7783775</v>
      </c>
      <c r="F32" s="145">
        <v>7969287</v>
      </c>
      <c r="G32" s="145">
        <v>10082926</v>
      </c>
    </row>
    <row r="33" spans="1:18" ht="14.4" customHeight="1">
      <c r="A33" s="649"/>
      <c r="B33" s="136" t="s">
        <v>318</v>
      </c>
      <c r="C33" s="142">
        <v>2900285</v>
      </c>
      <c r="D33" s="142">
        <v>3245568</v>
      </c>
      <c r="E33" s="142">
        <v>3458506</v>
      </c>
      <c r="F33" s="142">
        <v>3680824</v>
      </c>
      <c r="G33" s="142">
        <v>3325377</v>
      </c>
    </row>
    <row r="34" spans="1:18">
      <c r="A34" s="649"/>
      <c r="B34" s="136" t="s">
        <v>319</v>
      </c>
      <c r="C34" s="142">
        <v>0</v>
      </c>
      <c r="D34" s="142">
        <v>0</v>
      </c>
      <c r="E34" s="142">
        <v>0</v>
      </c>
      <c r="F34" s="142">
        <v>0</v>
      </c>
      <c r="G34" s="142">
        <v>0</v>
      </c>
      <c r="J34" s="412"/>
    </row>
    <row r="35" spans="1:18">
      <c r="A35" s="649"/>
      <c r="B35" s="136" t="s">
        <v>320</v>
      </c>
      <c r="C35" s="142">
        <v>0</v>
      </c>
      <c r="D35" s="142">
        <v>0</v>
      </c>
      <c r="E35" s="142">
        <v>0</v>
      </c>
      <c r="F35" s="142">
        <v>0</v>
      </c>
      <c r="G35" s="142">
        <v>0</v>
      </c>
    </row>
    <row r="36" spans="1:18" ht="14.4" customHeight="1">
      <c r="A36" s="649"/>
      <c r="B36" s="136" t="s">
        <v>321</v>
      </c>
      <c r="C36" s="142">
        <v>0</v>
      </c>
      <c r="D36" s="142">
        <v>0</v>
      </c>
      <c r="E36" s="142">
        <v>0</v>
      </c>
      <c r="F36" s="142">
        <v>0</v>
      </c>
      <c r="G36" s="142">
        <v>0</v>
      </c>
    </row>
    <row r="37" spans="1:18">
      <c r="A37" s="649"/>
      <c r="B37" s="139" t="s">
        <v>322</v>
      </c>
      <c r="C37" s="140">
        <v>2900285</v>
      </c>
      <c r="D37" s="140">
        <v>3245568</v>
      </c>
      <c r="E37" s="140">
        <v>3458506</v>
      </c>
      <c r="F37" s="140">
        <v>3680824</v>
      </c>
      <c r="G37" s="140">
        <v>3325377</v>
      </c>
      <c r="J37" s="363"/>
      <c r="M37" s="363"/>
    </row>
    <row r="38" spans="1:18">
      <c r="A38" s="649"/>
      <c r="B38" s="144" t="s">
        <v>323</v>
      </c>
      <c r="C38" s="145">
        <v>7115995</v>
      </c>
      <c r="D38" s="145">
        <v>9059226</v>
      </c>
      <c r="E38" s="145">
        <v>11242281</v>
      </c>
      <c r="F38" s="145">
        <v>11650111</v>
      </c>
      <c r="G38" s="145">
        <v>13408303</v>
      </c>
    </row>
    <row r="39" spans="1:18" ht="14.4" customHeight="1">
      <c r="A39" s="649"/>
      <c r="C39" s="138"/>
      <c r="D39" s="138"/>
      <c r="E39" s="138"/>
      <c r="F39" s="138"/>
      <c r="G39" s="138"/>
    </row>
    <row r="40" spans="1:18" ht="14.4" customHeight="1">
      <c r="A40" s="649"/>
      <c r="B40" s="651" t="s">
        <v>1060</v>
      </c>
      <c r="C40" s="651" t="s">
        <v>1055</v>
      </c>
      <c r="D40" s="651" t="s">
        <v>1056</v>
      </c>
      <c r="E40" s="651" t="s">
        <v>1057</v>
      </c>
      <c r="F40" s="651" t="s">
        <v>1058</v>
      </c>
      <c r="G40" s="651" t="s">
        <v>1059</v>
      </c>
    </row>
    <row r="41" spans="1:18" ht="15.6">
      <c r="A41" s="648"/>
      <c r="B41" s="133" t="s">
        <v>324</v>
      </c>
      <c r="C41" s="134">
        <f>C10</f>
        <v>2017</v>
      </c>
      <c r="D41" s="134">
        <f t="shared" ref="D41:H41" si="1">D10</f>
        <v>2018</v>
      </c>
      <c r="E41" s="134">
        <f t="shared" si="1"/>
        <v>2019</v>
      </c>
      <c r="F41" s="134">
        <f t="shared" si="1"/>
        <v>2020</v>
      </c>
      <c r="G41" s="134">
        <f t="shared" si="1"/>
        <v>2021</v>
      </c>
      <c r="H41" s="135" t="str">
        <f t="shared" si="1"/>
        <v/>
      </c>
      <c r="I41" s="135"/>
      <c r="J41" s="135"/>
      <c r="K41" s="135"/>
      <c r="L41" s="135"/>
      <c r="M41" s="135"/>
      <c r="N41" s="135"/>
      <c r="O41" s="135"/>
      <c r="P41" s="135"/>
      <c r="Q41" s="135"/>
      <c r="R41" s="135"/>
    </row>
    <row r="42" spans="1:18">
      <c r="A42" s="649"/>
      <c r="B42" s="146" t="s">
        <v>325</v>
      </c>
      <c r="C42" s="643" cm="1">
        <f t="array" ref="C42:C55">IF(ISBLANK(C40), "", TRANSPOSE(IFERROR(VALUE(_xlfn.TEXTSPLIT(C40,";")),0)))</f>
        <v>6949265</v>
      </c>
      <c r="D42" s="643" cm="1">
        <f t="array" ref="D42:D55">IF(ISBLANK(D40), "", TRANSPOSE(IFERROR(VALUE(_xlfn.TEXTSPLIT(D40,";")),0)))</f>
        <v>8288702</v>
      </c>
      <c r="E42" s="643" cm="1">
        <f t="array" ref="E42:E55">IF(ISBLANK(E40), "", TRANSPOSE(IFERROR(VALUE(_xlfn.TEXTSPLIT(E40,";")),0)))</f>
        <v>9872187</v>
      </c>
      <c r="F42" s="643" cm="1">
        <f t="array" ref="F42:F55">IF(ISBLANK(F40), "", TRANSPOSE(IFERROR(VALUE(_xlfn.TEXTSPLIT(F40,";")),0)))</f>
        <v>10131767</v>
      </c>
      <c r="G42" s="643" cm="1">
        <f t="array" ref="G42:G55">IF(ISBLANK(G40), "", TRANSPOSE(IFERROR(VALUE(_xlfn.TEXTSPLIT(G40,";")),0)))</f>
        <v>12227663</v>
      </c>
    </row>
    <row r="43" spans="1:18">
      <c r="A43" s="649"/>
      <c r="B43" s="146" t="s">
        <v>326</v>
      </c>
      <c r="C43" s="405">
        <v>-5042402</v>
      </c>
      <c r="D43" s="405">
        <v>-6244012</v>
      </c>
      <c r="E43" s="405">
        <v>-7420013</v>
      </c>
      <c r="F43" s="405">
        <v>-7712254</v>
      </c>
      <c r="G43" s="405">
        <v>-9831454</v>
      </c>
    </row>
    <row r="44" spans="1:18">
      <c r="A44" s="649"/>
      <c r="B44" s="147" t="s">
        <v>327</v>
      </c>
      <c r="C44" s="647">
        <v>1906863</v>
      </c>
      <c r="D44" s="406">
        <v>2044690</v>
      </c>
      <c r="E44" s="406">
        <v>2452174</v>
      </c>
      <c r="F44" s="406">
        <v>2419513</v>
      </c>
      <c r="G44" s="406">
        <v>2396209</v>
      </c>
    </row>
    <row r="45" spans="1:18">
      <c r="A45" s="649"/>
      <c r="B45" s="146" t="s">
        <v>328</v>
      </c>
      <c r="C45" s="405">
        <v>-633605</v>
      </c>
      <c r="D45" s="407">
        <v>-681336</v>
      </c>
      <c r="E45" s="407">
        <v>-801905</v>
      </c>
      <c r="F45" s="407">
        <v>-862157</v>
      </c>
      <c r="G45" s="407">
        <v>-786246</v>
      </c>
    </row>
    <row r="46" spans="1:18">
      <c r="A46" s="649"/>
      <c r="B46" s="146" t="s">
        <v>329</v>
      </c>
      <c r="C46" s="405">
        <v>164314</v>
      </c>
      <c r="D46" s="408">
        <v>202775</v>
      </c>
      <c r="E46" s="408">
        <v>298028</v>
      </c>
      <c r="F46" s="408">
        <v>286071</v>
      </c>
      <c r="G46" s="408">
        <v>232476</v>
      </c>
    </row>
    <row r="47" spans="1:18">
      <c r="A47" s="649"/>
      <c r="B47" s="146" t="s">
        <v>330</v>
      </c>
      <c r="C47" s="405">
        <v>-487579</v>
      </c>
      <c r="D47" s="407">
        <v>-603139</v>
      </c>
      <c r="E47" s="407">
        <v>-651838</v>
      </c>
      <c r="F47" s="407">
        <v>-688428</v>
      </c>
      <c r="G47" s="407">
        <v>-732928</v>
      </c>
      <c r="I47" s="363"/>
    </row>
    <row r="48" spans="1:18">
      <c r="A48" s="649"/>
      <c r="B48" s="146" t="s">
        <v>331</v>
      </c>
      <c r="C48" s="405">
        <v>-42607</v>
      </c>
      <c r="D48" s="407">
        <v>26059</v>
      </c>
      <c r="E48" s="407">
        <v>-49856</v>
      </c>
      <c r="F48" s="407">
        <v>-75085</v>
      </c>
      <c r="G48" s="407">
        <v>39531</v>
      </c>
      <c r="I48" s="374"/>
    </row>
    <row r="49" spans="1:16">
      <c r="A49" s="649"/>
      <c r="B49" s="147" t="s">
        <v>332</v>
      </c>
      <c r="C49" s="647">
        <v>743072</v>
      </c>
      <c r="D49" s="406">
        <v>786274</v>
      </c>
      <c r="E49" s="406">
        <v>948575</v>
      </c>
      <c r="F49" s="406">
        <v>793843</v>
      </c>
      <c r="G49" s="406">
        <v>916566</v>
      </c>
    </row>
    <row r="50" spans="1:16">
      <c r="A50" s="649"/>
      <c r="B50" s="146" t="s">
        <v>333</v>
      </c>
      <c r="C50" s="644">
        <v>0</v>
      </c>
      <c r="D50" s="645">
        <v>0</v>
      </c>
      <c r="E50" s="645">
        <v>0</v>
      </c>
      <c r="F50" s="645">
        <v>0</v>
      </c>
      <c r="G50" s="645">
        <v>0</v>
      </c>
    </row>
    <row r="51" spans="1:16">
      <c r="A51" s="649"/>
      <c r="B51" s="146" t="s">
        <v>334</v>
      </c>
      <c r="C51" s="644">
        <v>0</v>
      </c>
      <c r="D51" s="646">
        <v>0</v>
      </c>
      <c r="E51" s="646">
        <v>0</v>
      </c>
      <c r="F51" s="646">
        <v>0</v>
      </c>
      <c r="G51" s="646">
        <v>-337756</v>
      </c>
      <c r="I51" s="363"/>
    </row>
    <row r="52" spans="1:16">
      <c r="A52" s="650"/>
      <c r="B52" s="146" t="s">
        <v>335</v>
      </c>
      <c r="C52" s="644">
        <v>0</v>
      </c>
      <c r="D52" s="645">
        <v>0</v>
      </c>
      <c r="E52" s="645">
        <v>0</v>
      </c>
      <c r="F52" s="645">
        <v>0</v>
      </c>
      <c r="G52" s="645">
        <v>0</v>
      </c>
    </row>
    <row r="53" spans="1:16">
      <c r="A53" s="649"/>
      <c r="B53" s="147" t="s">
        <v>336</v>
      </c>
      <c r="C53" s="647">
        <v>0</v>
      </c>
      <c r="D53" s="647">
        <v>0</v>
      </c>
      <c r="E53" s="647">
        <v>0</v>
      </c>
      <c r="F53" s="647">
        <v>0</v>
      </c>
      <c r="G53" s="647">
        <v>0</v>
      </c>
    </row>
    <row r="54" spans="1:16">
      <c r="A54" s="649"/>
      <c r="B54" s="146" t="s">
        <v>337</v>
      </c>
      <c r="C54" s="644">
        <v>0</v>
      </c>
      <c r="D54" s="645">
        <v>0</v>
      </c>
      <c r="E54" s="645">
        <v>0</v>
      </c>
      <c r="F54" s="645">
        <v>0</v>
      </c>
      <c r="G54" s="645">
        <v>0</v>
      </c>
    </row>
    <row r="55" spans="1:16">
      <c r="A55" s="649"/>
      <c r="B55" s="147" t="s">
        <v>338</v>
      </c>
      <c r="C55" s="647">
        <v>0</v>
      </c>
      <c r="D55" s="647">
        <v>0</v>
      </c>
      <c r="E55" s="647">
        <v>0</v>
      </c>
      <c r="F55" s="647">
        <v>0</v>
      </c>
      <c r="G55" s="647">
        <v>0</v>
      </c>
    </row>
    <row r="57" spans="1:16">
      <c r="D57" s="363"/>
      <c r="E57" s="363"/>
      <c r="F57" s="363"/>
      <c r="G57" s="363"/>
    </row>
    <row r="62" spans="1:16">
      <c r="P62" s="130"/>
    </row>
    <row r="63" spans="1:16">
      <c r="C63" s="689"/>
      <c r="P63" s="130"/>
    </row>
    <row r="70" spans="2:8">
      <c r="B70" s="603" t="s">
        <v>456</v>
      </c>
      <c r="C70" s="159" t="s">
        <v>457</v>
      </c>
      <c r="E70" s="130" t="s">
        <v>456</v>
      </c>
      <c r="F70" s="603" t="s">
        <v>457</v>
      </c>
      <c r="G70" s="132" t="s">
        <v>486</v>
      </c>
      <c r="H70" s="130" t="s">
        <v>496</v>
      </c>
    </row>
    <row r="71" spans="2:8">
      <c r="B71" s="604" t="s">
        <v>924</v>
      </c>
      <c r="C71" s="645">
        <f>'M. por conceptos'!L195</f>
        <v>11654106.625181383</v>
      </c>
      <c r="E71" s="148" t="s">
        <v>941</v>
      </c>
      <c r="F71" s="604" t="s">
        <v>86</v>
      </c>
      <c r="G71" s="132">
        <f>C2</f>
        <v>45657</v>
      </c>
    </row>
    <row r="72" spans="2:8">
      <c r="B72" s="599" t="s">
        <v>925</v>
      </c>
      <c r="C72" s="645">
        <f>'M. por conceptos'!L197</f>
        <v>6216731.6251813825</v>
      </c>
      <c r="E72" s="148" t="s">
        <v>942</v>
      </c>
      <c r="F72" s="604" t="s">
        <v>349</v>
      </c>
      <c r="G72" s="605" t="str">
        <f>C4</f>
        <v>Dólares</v>
      </c>
    </row>
    <row r="73" spans="2:8">
      <c r="B73" s="604" t="s">
        <v>926</v>
      </c>
      <c r="C73" s="645">
        <f>'M. por conceptos'!L198</f>
        <v>7.3380456839956834</v>
      </c>
      <c r="E73" s="148" t="s">
        <v>943</v>
      </c>
      <c r="F73" s="148"/>
      <c r="G73" s="606" t="s">
        <v>952</v>
      </c>
      <c r="H73" s="606" t="s">
        <v>953</v>
      </c>
    </row>
    <row r="74" spans="2:8">
      <c r="B74" s="599" t="s">
        <v>927</v>
      </c>
      <c r="C74" s="645">
        <f>'M. Integrado'!L49</f>
        <v>11763144.829447117</v>
      </c>
      <c r="E74" s="688" t="s">
        <v>1097</v>
      </c>
      <c r="F74" s="604" t="s">
        <v>948</v>
      </c>
      <c r="G74" s="645">
        <f>'M. por conceptos'!L195</f>
        <v>11654106.625181383</v>
      </c>
      <c r="H74" s="645">
        <f>'M. Integrado'!L49</f>
        <v>11763144.829447117</v>
      </c>
    </row>
    <row r="75" spans="2:8">
      <c r="B75" s="604" t="s">
        <v>928</v>
      </c>
      <c r="C75" s="645">
        <f>'M. Integrado'!L51</f>
        <v>6325769.8294471167</v>
      </c>
      <c r="E75" s="688" t="s">
        <v>1098</v>
      </c>
      <c r="F75" s="604" t="s">
        <v>949</v>
      </c>
      <c r="G75" s="645">
        <f>'M. por conceptos'!L196</f>
        <v>5437375</v>
      </c>
      <c r="H75" s="645">
        <f>'M. Integrado'!L50</f>
        <v>5437375</v>
      </c>
    </row>
    <row r="76" spans="2:8">
      <c r="B76" s="599" t="s">
        <v>929</v>
      </c>
      <c r="C76" s="601">
        <f>'M. Integrado'!L52</f>
        <v>7.4667511473233636</v>
      </c>
      <c r="E76" s="688" t="s">
        <v>1099</v>
      </c>
      <c r="F76" s="604" t="s">
        <v>394</v>
      </c>
      <c r="G76" s="645">
        <f>'M. por conceptos'!L197</f>
        <v>6216731.6251813825</v>
      </c>
      <c r="H76" s="645">
        <f>'M. Integrado'!L51</f>
        <v>6325769.8294471167</v>
      </c>
    </row>
    <row r="77" spans="2:8">
      <c r="B77" s="148" t="s">
        <v>923</v>
      </c>
      <c r="C77" s="130">
        <f>C7</f>
        <v>2017</v>
      </c>
      <c r="E77" s="688" t="s">
        <v>1100</v>
      </c>
      <c r="F77" s="604" t="s">
        <v>950</v>
      </c>
      <c r="G77" s="645">
        <f>'M. por conceptos'!L198</f>
        <v>7.3380456839956834</v>
      </c>
      <c r="H77" s="645">
        <f>'M. Integrado'!L52</f>
        <v>7.4667511473233636</v>
      </c>
    </row>
    <row r="78" spans="2:8">
      <c r="B78" s="599" t="s">
        <v>930</v>
      </c>
      <c r="C78" s="130">
        <f>C8</f>
        <v>2021</v>
      </c>
      <c r="E78" s="148" t="s">
        <v>944</v>
      </c>
      <c r="F78" s="604" t="s">
        <v>951</v>
      </c>
      <c r="G78" s="645">
        <f>'M. por conceptos'!H48</f>
        <v>853678.36874206527</v>
      </c>
    </row>
    <row r="79" spans="2:8">
      <c r="B79" s="604" t="s">
        <v>937</v>
      </c>
      <c r="C79" s="159">
        <f>'M. por conceptos'!L197</f>
        <v>6216731.6251813825</v>
      </c>
      <c r="E79" s="604" t="s">
        <v>945</v>
      </c>
      <c r="F79" s="604" t="s">
        <v>366</v>
      </c>
      <c r="G79" s="645">
        <f>'M. por conceptos'!H66</f>
        <v>736909.03945341019</v>
      </c>
    </row>
    <row r="80" spans="2:8">
      <c r="B80" s="599" t="s">
        <v>938</v>
      </c>
      <c r="C80" s="645">
        <f>'M. Integrado'!L51</f>
        <v>6325769.8294471167</v>
      </c>
      <c r="E80" s="148" t="s">
        <v>946</v>
      </c>
      <c r="F80" s="604" t="s">
        <v>368</v>
      </c>
      <c r="G80" s="645">
        <f>'M. por conceptos'!H117</f>
        <v>5418532.5654780231</v>
      </c>
    </row>
    <row r="81" spans="2:7">
      <c r="B81" s="604" t="s">
        <v>939</v>
      </c>
      <c r="C81" s="159">
        <f>Sensibilidad!H100</f>
        <v>8060015.2070281282</v>
      </c>
      <c r="E81" s="148" t="s">
        <v>947</v>
      </c>
      <c r="F81" s="604" t="s">
        <v>371</v>
      </c>
      <c r="G81" s="645">
        <f>'M. por conceptos'!H143</f>
        <v>1535811.4081167115</v>
      </c>
    </row>
    <row r="82" spans="2:7">
      <c r="B82" s="599" t="s">
        <v>940</v>
      </c>
      <c r="C82" s="645">
        <f>Sensibilidad!H130</f>
        <v>7775152.5872054584</v>
      </c>
      <c r="E82" s="148"/>
      <c r="F82" s="688"/>
      <c r="G82" s="606" t="s">
        <v>953</v>
      </c>
    </row>
    <row r="83" spans="2:7">
      <c r="B83" s="148" t="s">
        <v>931</v>
      </c>
      <c r="C83" s="602">
        <f>Sensibilidad!G14</f>
        <v>1.4999999999999999E-2</v>
      </c>
      <c r="E83" s="688" t="s">
        <v>1112</v>
      </c>
      <c r="F83" s="604" t="s">
        <v>948</v>
      </c>
      <c r="G83" s="159">
        <f>'M. Integrado'!L49</f>
        <v>11763144.829447117</v>
      </c>
    </row>
    <row r="84" spans="2:7">
      <c r="B84" s="129" t="s">
        <v>932</v>
      </c>
      <c r="C84" s="602">
        <f>Sensibilidad!M100</f>
        <v>0.1086</v>
      </c>
      <c r="E84" s="688" t="s">
        <v>1111</v>
      </c>
      <c r="F84" s="604" t="s">
        <v>949</v>
      </c>
      <c r="G84" s="159">
        <f>'M. Integrado'!L50</f>
        <v>5437375</v>
      </c>
    </row>
    <row r="85" spans="2:7">
      <c r="B85" s="148" t="s">
        <v>933</v>
      </c>
      <c r="C85" s="602">
        <f>Sensibilidad!D10</f>
        <v>4.9405403984537299E-2</v>
      </c>
      <c r="E85" s="688" t="s">
        <v>1109</v>
      </c>
      <c r="F85" s="604" t="s">
        <v>394</v>
      </c>
      <c r="G85" s="159">
        <f>'M. Integrado'!L51</f>
        <v>6325769.8294471167</v>
      </c>
    </row>
    <row r="86" spans="2:7">
      <c r="B86" s="129" t="s">
        <v>934</v>
      </c>
      <c r="C86" s="159">
        <f>Sensibilidad!H102</f>
        <v>2622640.2070281282</v>
      </c>
      <c r="E86" s="688" t="s">
        <v>1110</v>
      </c>
      <c r="F86" s="604" t="s">
        <v>950</v>
      </c>
      <c r="G86" s="601">
        <f>'M. Integrado'!L52</f>
        <v>7.4667511473233636</v>
      </c>
    </row>
    <row r="87" spans="2:7">
      <c r="B87" s="148" t="s">
        <v>935</v>
      </c>
      <c r="C87" s="600">
        <f>Sensibilidad!H103</f>
        <v>3.0956867389775411</v>
      </c>
    </row>
    <row r="88" spans="2:7">
      <c r="B88" s="129" t="s">
        <v>936</v>
      </c>
      <c r="C88" s="645">
        <f>Sensibilidad!H132</f>
        <v>2337777.5872054584</v>
      </c>
    </row>
    <row r="89" spans="2:7">
      <c r="B89" s="148" t="s">
        <v>935</v>
      </c>
      <c r="C89" s="601">
        <f>Sensibilidad!H133</f>
        <v>2.759443348728174</v>
      </c>
    </row>
    <row r="92" spans="2:7">
      <c r="B92" s="690" t="s">
        <v>1067</v>
      </c>
    </row>
    <row r="220" spans="2:2">
      <c r="B220" s="690" t="s">
        <v>1068</v>
      </c>
    </row>
  </sheetData>
  <phoneticPr fontId="164" type="noConversion"/>
  <conditionalFormatting sqref="A10 A41">
    <cfRule type="containsText" dxfId="9" priority="3" operator="containsText" text="20">
      <formula>NOT(ISERROR(SEARCH("20",A10)))</formula>
    </cfRule>
  </conditionalFormatting>
  <conditionalFormatting sqref="C10:R10">
    <cfRule type="containsText" dxfId="8" priority="5" operator="containsText" text="20">
      <formula>NOT(ISERROR(SEARCH("20",C10)))</formula>
    </cfRule>
  </conditionalFormatting>
  <conditionalFormatting sqref="C41:R41">
    <cfRule type="containsText" dxfId="7" priority="4" operator="containsText" text="20">
      <formula>NOT(ISERROR(SEARCH("20",C41)))</formula>
    </cfRule>
  </conditionalFormatting>
  <conditionalFormatting sqref="L15">
    <cfRule type="containsText" dxfId="6" priority="2" operator="containsText" text="20">
      <formula>NOT(ISERROR(SEARCH("20",L15)))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04FD9-F980-44E8-8162-CEFDBD0BD203}">
          <x14:formula1>
            <xm:f>Tablas!$A$41:$A$58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7"/>
  </sheetPr>
  <dimension ref="A1:AT193"/>
  <sheetViews>
    <sheetView showGridLines="0" zoomScale="55" zoomScaleNormal="55" workbookViewId="0">
      <selection activeCell="F3" sqref="F3"/>
    </sheetView>
  </sheetViews>
  <sheetFormatPr baseColWidth="10" defaultColWidth="11.44140625" defaultRowHeight="14.4"/>
  <cols>
    <col min="1" max="1" width="14.6640625" customWidth="1"/>
    <col min="2" max="2" width="36.6640625" style="42" customWidth="1"/>
    <col min="3" max="3" width="36.5546875" style="42" customWidth="1"/>
    <col min="4" max="4" width="19.6640625" customWidth="1"/>
    <col min="5" max="5" width="39.6640625" style="42" bestFit="1" customWidth="1"/>
    <col min="6" max="6" width="19.6640625" style="42" customWidth="1"/>
    <col min="8" max="8" width="35.6640625" style="42" customWidth="1"/>
    <col min="9" max="9" width="12.109375" style="42" customWidth="1"/>
    <col min="10" max="10" width="14.88671875" style="42" customWidth="1"/>
    <col min="12" max="12" width="20.6640625" style="359" customWidth="1"/>
    <col min="13" max="13" width="13.33203125" style="39" customWidth="1"/>
    <col min="14" max="14" width="26.6640625" bestFit="1" customWidth="1"/>
    <col min="15" max="15" width="19.5546875" bestFit="1" customWidth="1"/>
    <col min="16" max="16" width="17.33203125" bestFit="1" customWidth="1"/>
    <col min="17" max="17" width="14.33203125" customWidth="1"/>
    <col min="18" max="18" width="13.5546875" customWidth="1"/>
    <col min="19" max="19" width="11.6640625" customWidth="1"/>
    <col min="21" max="21" width="20.6640625" style="42" customWidth="1"/>
    <col min="22" max="22" width="12.109375" style="39" customWidth="1"/>
    <col min="40" max="40" width="53.33203125" bestFit="1" customWidth="1"/>
    <col min="41" max="41" width="13" customWidth="1"/>
    <col min="42" max="42" width="13.33203125" bestFit="1" customWidth="1"/>
  </cols>
  <sheetData>
    <row r="1" spans="1:42">
      <c r="L1" s="358"/>
      <c r="U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42">
      <c r="L2" s="358"/>
      <c r="U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spans="1:42">
      <c r="B3" s="421" t="s">
        <v>0</v>
      </c>
      <c r="C3" s="556" t="inlineStr">
        <is>
          <t>Bono EE.UU</t>
        </is>
      </c>
      <c r="E3" s="421" t="s">
        <v>86</v>
      </c>
      <c r="F3" s="558">
        <f>'Plantilla Usuario'!C2</f>
        <v>45657</v>
      </c>
      <c r="H3" s="424" t="s">
        <v>16</v>
      </c>
      <c r="I3" s="560">
        <f>ROUND(-HLOOKUP('Plantilla Usuario'!$C$8,'Plantilla Usuario'!B10:Q55,42)/(HLOOKUP('Plantilla Usuario'!$C$8-1,'Plantilla Usuario'!B10:G38,15)+HLOOKUP('Plantilla Usuario'!$C$8-1,'Plantilla Usuario'!B10:G38,19)),4)</f>
        <v>8.2900000000000001E-2</v>
      </c>
      <c r="J3" s="441" t="str">
        <f>+'Plantilla Usuario'!C4</f>
        <v>Dólares</v>
      </c>
      <c r="L3" s="358"/>
      <c r="N3" s="452" t="s">
        <v>424</v>
      </c>
      <c r="U3" s="3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</row>
    <row r="4" spans="1:42">
      <c r="J4" s="39"/>
      <c r="M4" s="42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</row>
    <row r="5" spans="1:42">
      <c r="A5" s="38" t="s">
        <v>2</v>
      </c>
      <c r="B5" s="39" t="s">
        <v>3</v>
      </c>
      <c r="D5" s="38" t="s">
        <v>4</v>
      </c>
      <c r="E5" s="39" t="s">
        <v>5</v>
      </c>
      <c r="G5" s="38" t="s">
        <v>4</v>
      </c>
      <c r="H5" s="39" t="s">
        <v>6</v>
      </c>
      <c r="L5" s="360"/>
      <c r="M5" s="50"/>
      <c r="O5" s="453" t="s">
        <v>425</v>
      </c>
      <c r="P5" s="453" t="s">
        <v>426</v>
      </c>
      <c r="Q5" s="453" t="s">
        <v>427</v>
      </c>
      <c r="U5" s="40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</row>
    <row r="6" spans="1:42" ht="21" customHeight="1">
      <c r="B6" s="421" t="s">
        <v>7</v>
      </c>
      <c r="C6" s="557">
        <v>1</v>
      </c>
      <c r="D6" s="40" t="s">
        <v>8</v>
      </c>
      <c r="E6" s="421" t="s">
        <v>9</v>
      </c>
      <c r="F6" s="559" t="str">
        <f>'Plantilla Usuario'!C3</f>
        <v>Peru</v>
      </c>
      <c r="I6" s="428" t="s">
        <v>11</v>
      </c>
      <c r="J6" s="429" t="s">
        <v>12</v>
      </c>
      <c r="K6" s="429" t="s">
        <v>13</v>
      </c>
      <c r="L6" s="360"/>
      <c r="M6" s="51"/>
      <c r="N6" s="454" t="s">
        <v>428</v>
      </c>
      <c r="O6" s="455">
        <f>'Prima de mercado'!C$3</f>
        <v>0.11821279118248902</v>
      </c>
      <c r="P6" s="456">
        <f>'Prima de mercado'!$D$3</f>
        <v>5.1104657976145267E-2</v>
      </c>
      <c r="Q6" s="455">
        <f>$C$10</f>
        <v>4.58E-2</v>
      </c>
      <c r="U6" s="40"/>
    </row>
    <row r="7" spans="1:42">
      <c r="B7" s="421" t="s">
        <v>14</v>
      </c>
      <c r="C7" s="451">
        <f>'Rf Ajustado'!E11</f>
        <v>2.8477432698483294</v>
      </c>
      <c r="D7" s="40" t="s">
        <v>8</v>
      </c>
      <c r="E7" s="421" t="s">
        <v>15</v>
      </c>
      <c r="F7" s="120">
        <v>0.0164</v>
      </c>
      <c r="H7" s="426"/>
      <c r="I7" s="165">
        <f>IF($K$7=0,0,(1+$K$7)/(1+$J$7)-1)</f>
        <v>0</v>
      </c>
      <c r="J7" s="48">
        <f>$F$7</f>
        <v>1.12E-2</v>
      </c>
      <c r="K7" s="362">
        <f>IF($J$3="Soles",I3,0)</f>
        <v>0</v>
      </c>
      <c r="L7" s="360"/>
      <c r="M7" s="51"/>
      <c r="N7" s="454" t="s">
        <v>429</v>
      </c>
      <c r="O7" s="455">
        <f>'Prima de mercado'!C$3</f>
        <v>0.11821279118248902</v>
      </c>
      <c r="P7" s="456">
        <f>'Prima de mercado'!$D$3</f>
        <v>5.1104657976145267E-2</v>
      </c>
      <c r="Q7" s="455">
        <f>$C$10</f>
        <v>4.58E-2</v>
      </c>
      <c r="U7" s="40"/>
    </row>
    <row r="8" spans="1:42">
      <c r="F8" s="121"/>
      <c r="H8" s="427" t="s">
        <v>16</v>
      </c>
      <c r="I8" s="165">
        <f>IF($J$3="Dólares",$I$3,0)</f>
        <v>8.2900000000000001E-2</v>
      </c>
      <c r="J8" s="48">
        <f>$F$7</f>
        <v>1.12E-2</v>
      </c>
      <c r="K8" s="48">
        <f>IF(I8=0,0,(1+$I$8)*(1+$J$8)-1)</f>
        <v>9.5028480000000082E-2</v>
      </c>
      <c r="N8" s="454" t="s">
        <v>430</v>
      </c>
      <c r="O8" s="455">
        <f>'Prima de mercado'!C$3</f>
        <v>0.11821279118248902</v>
      </c>
      <c r="P8" s="456">
        <f>'Prima de mercado'!$D$3</f>
        <v>5.1104657976145267E-2</v>
      </c>
      <c r="Q8" s="455">
        <f>$C$10</f>
        <v>4.58E-2</v>
      </c>
    </row>
    <row r="9" spans="1:42">
      <c r="B9" s="421" t="s">
        <v>17</v>
      </c>
      <c r="C9" s="375">
        <f>VLOOKUP(YEAR($F$3),'Prima de mercado'!A2:D7,2)</f>
        <v>6.6379626541013814E-2</v>
      </c>
      <c r="E9" s="421" t="s">
        <v>18</v>
      </c>
      <c r="F9" s="375">
        <f>VLOOKUP($F$6,Embi!$L$2:$M$11,2,FALSE)/10000</f>
        <v>1.54380952380952E-2</v>
      </c>
      <c r="L9" s="358"/>
      <c r="U9" s="39"/>
    </row>
    <row r="10" spans="1:42">
      <c r="A10" s="38"/>
      <c r="B10" s="421" t="s">
        <v>19</v>
      </c>
      <c r="C10" s="375">
        <f>IF($C$3="Bono EE.UU",VLOOKUP($C$6,'Rf Ajustado'!$A$14:$B$25,2,FALSE),'Rf Ajustado'!$E$12)</f>
        <v>4.58E-2</v>
      </c>
      <c r="H10" s="424" t="s">
        <v>20</v>
      </c>
      <c r="I10" s="46">
        <f>IF(J3="Dólares",I3-F33,I7-F33)</f>
        <v>5.4619047619048067E-3</v>
      </c>
      <c r="L10" s="361"/>
      <c r="U10" s="49"/>
    </row>
    <row r="11" spans="1:42">
      <c r="A11" s="38"/>
      <c r="B11" s="39"/>
      <c r="E11" s="162"/>
      <c r="F11" s="164"/>
      <c r="H11" s="53"/>
      <c r="M11" s="52"/>
      <c r="N11" s="452" t="s">
        <v>431</v>
      </c>
    </row>
    <row r="12" spans="1:42">
      <c r="A12" s="38" t="s">
        <v>21</v>
      </c>
      <c r="B12" s="39" t="s">
        <v>22</v>
      </c>
      <c r="E12" s="53"/>
      <c r="F12" s="163"/>
      <c r="I12" s="164"/>
      <c r="M12" s="50"/>
    </row>
    <row r="13" spans="1:42">
      <c r="B13" s="421" t="s">
        <v>23</v>
      </c>
      <c r="C13" s="652" t="inlineStr">
        <is>
          <t>Publicidad</t>
        </is>
      </c>
      <c r="M13" s="50"/>
      <c r="N13" s="784" t="s">
        <v>432</v>
      </c>
      <c r="O13" s="785"/>
      <c r="P13" s="785"/>
      <c r="Q13" s="786"/>
      <c r="AN13" s="396" t="s">
        <v>418</v>
      </c>
      <c r="AO13" s="42"/>
      <c r="AP13" s="42"/>
    </row>
    <row r="14" spans="1:42">
      <c r="B14" s="40"/>
      <c r="C14" s="41"/>
      <c r="N14" s="457"/>
      <c r="O14" s="458" t="s">
        <v>433</v>
      </c>
      <c r="P14" s="458" t="s">
        <v>79</v>
      </c>
      <c r="Q14" s="458" t="s">
        <v>434</v>
      </c>
      <c r="AN14" s="42"/>
      <c r="AO14" s="42"/>
      <c r="AP14" s="42"/>
    </row>
    <row r="15" spans="1:42">
      <c r="B15" s="392" t="s">
        <v>24</v>
      </c>
      <c r="C15" s="41"/>
      <c r="E15" s="393" t="s">
        <v>25</v>
      </c>
      <c r="H15" s="394" t="s">
        <v>26</v>
      </c>
      <c r="N15" s="457" t="s">
        <v>435</v>
      </c>
      <c r="O15" s="459">
        <f>$C$10</f>
        <v>4.58E-2</v>
      </c>
      <c r="P15" s="459">
        <f>$C$10</f>
        <v>4.58E-2</v>
      </c>
      <c r="Q15" s="459">
        <f>$C$10</f>
        <v>4.58E-2</v>
      </c>
      <c r="AN15" s="397" t="s">
        <v>27</v>
      </c>
      <c r="AO15" s="123">
        <f>('EE.FF Económicos'!$H$17+'EE.FF Económicos'!$H$21)/('EE.FF Económicos'!$H$17+'EE.FF Económicos'!$H$21+'M. por conceptos'!$L$184)</f>
        <v>0.67838254098193296</v>
      </c>
      <c r="AP15" s="42"/>
    </row>
    <row r="16" spans="1:42">
      <c r="M16" s="50"/>
      <c r="N16" s="457" t="s">
        <v>436</v>
      </c>
      <c r="O16" s="460">
        <f>C9*C21</f>
        <v>6.7240851295462242E-2</v>
      </c>
      <c r="P16" s="461"/>
      <c r="Q16" s="461"/>
      <c r="AN16" s="397" t="s">
        <v>28</v>
      </c>
      <c r="AO16" s="124">
        <f>1-AO15</f>
        <v>0.32161745901806704</v>
      </c>
      <c r="AP16" s="42"/>
    </row>
    <row r="17" spans="1:42">
      <c r="B17" s="421" t="s">
        <v>27</v>
      </c>
      <c r="C17" s="44">
        <f>IF(AND(WACC!$F$3&gt;Tablas!$I$3,WACC!$F$3&lt;=Tablas!$J$6),
    VLOOKUP(WACC!$C$13,'Damondaran Industries'!$A$1:$AE$95,2 + 6 * ROUNDDOWN((WACC!$F$3 - Tablas!$I$3) / (Tablas!$J$6 - Tablas!$I$3) * 3, 0), FALSE),
    VLOOKUP(WACC!$C$13,'Damondaran Industries'!$A$1:$AE$95,7,FALSE)
)</f>
        <v>0.18639448485009491</v>
      </c>
      <c r="E17" s="423" t="s">
        <v>27</v>
      </c>
      <c r="F17" s="123">
        <f>IF(G17,G17,C17)</f>
        <v>0.18639448485009491</v>
      </c>
      <c r="G17" s="122"/>
      <c r="H17" s="423" t="s">
        <v>27</v>
      </c>
      <c r="I17" s="561">
        <f>ROUND(('EE.FF Económicos'!H17+'EE.FF Económicos'!H21)/('EE.FF Económicos'!H17+'EE.FF Económicos'!H21+'EE.FF Económicos'!H26),4)</f>
        <v>0.61509999999999998</v>
      </c>
      <c r="K17" s="101"/>
      <c r="L17" s="361"/>
      <c r="N17" s="457" t="s">
        <v>437</v>
      </c>
      <c r="O17" s="462"/>
      <c r="P17" s="460">
        <f>C27*C9</f>
        <v>5.7381422635384753E-2</v>
      </c>
      <c r="Q17" s="462"/>
      <c r="AN17" s="398" t="s">
        <v>29</v>
      </c>
      <c r="AO17" s="125">
        <f>AO15/AO16</f>
        <v>2.1092839395383209</v>
      </c>
      <c r="AP17" s="42"/>
    </row>
    <row r="18" spans="1:42">
      <c r="B18" s="421" t="s">
        <v>28</v>
      </c>
      <c r="C18" s="44">
        <f>IF(AND(WACC!$F$3&gt;Tablas!$I$3,WACC!$F$3&lt;=Tablas!$J$6),
    VLOOKUP(WACC!$C$13,'Damondaran Industries'!$A$1:$AE$95,3 + 6 * ROUNDDOWN((WACC!$F$3 - Tablas!$I$3) / (Tablas!$J$6 - Tablas!$I$3) * 3, 0), FALSE),
    VLOOKUP(WACC!$C$13,'Damondaran Industries'!$A$1:$AE$95,7,FALSE)
)</f>
        <v>0.81360551514990509</v>
      </c>
      <c r="E18" s="423" t="s">
        <v>28</v>
      </c>
      <c r="F18" s="124">
        <f>1-F17</f>
        <v>0.81360551514990509</v>
      </c>
      <c r="G18" s="72"/>
      <c r="H18" s="423" t="s">
        <v>28</v>
      </c>
      <c r="I18" s="562">
        <f>1-I17</f>
        <v>0.38490000000000002</v>
      </c>
      <c r="M18" s="52"/>
      <c r="N18" s="457" t="s">
        <v>45</v>
      </c>
      <c r="O18" s="462"/>
      <c r="P18" s="459"/>
      <c r="Q18" s="459">
        <f>C32</f>
        <v>1.6199999999999999E-2</v>
      </c>
      <c r="AN18" s="397" t="s">
        <v>30</v>
      </c>
      <c r="AO18" s="123">
        <f>+I20</f>
        <v>0.29499999999999998</v>
      </c>
      <c r="AP18" s="42"/>
    </row>
    <row r="19" spans="1:42">
      <c r="B19" s="421" t="s">
        <v>29</v>
      </c>
      <c r="C19" s="45">
        <v>0.4347</v>
      </c>
      <c r="E19" s="424" t="s">
        <v>29</v>
      </c>
      <c r="F19" s="125">
        <f>F17/F18</f>
        <v>0.22909687972770454</v>
      </c>
      <c r="H19" s="424" t="s">
        <v>29</v>
      </c>
      <c r="I19" s="125">
        <f>I17/I18</f>
        <v>1.5980774227071965</v>
      </c>
      <c r="M19" s="50"/>
      <c r="N19" s="463"/>
      <c r="O19" s="464">
        <f>SUM(O15:O18)</f>
        <v>0.11304085129546224</v>
      </c>
      <c r="P19" s="464">
        <f>SUM(P15:P18)</f>
        <v>0.10318142263538475</v>
      </c>
      <c r="Q19" s="464">
        <f>SUM(Q15:Q18)</f>
        <v>6.2E-2</v>
      </c>
      <c r="AN19" s="398" t="s">
        <v>31</v>
      </c>
      <c r="AO19" s="126">
        <f>$C$27*(1+(1-$AO$18)*$AO$17)</f>
        <v>2.1499095109859732</v>
      </c>
      <c r="AP19" s="42"/>
    </row>
    <row r="20" spans="1:42">
      <c r="B20" s="421" t="s">
        <v>30</v>
      </c>
      <c r="C20" s="44">
        <v>0.3183</v>
      </c>
      <c r="E20" s="423" t="s">
        <v>30</v>
      </c>
      <c r="F20" s="124">
        <v>0.295</v>
      </c>
      <c r="H20" s="423" t="s">
        <v>30</v>
      </c>
      <c r="I20" s="123">
        <f>+F20</f>
        <v>0.29499999999999998</v>
      </c>
      <c r="M20" s="50"/>
      <c r="N20" s="465"/>
      <c r="O20" s="464"/>
      <c r="Q20" s="466">
        <f>Q19*(1-C20)</f>
        <v>4.65E-2</v>
      </c>
      <c r="AN20" s="42"/>
      <c r="AO20" s="42"/>
      <c r="AP20" s="42"/>
    </row>
    <row r="21" spans="1:42">
      <c r="B21" s="421" t="s">
        <v>31</v>
      </c>
      <c r="C21" s="45">
        <v>1.011</v>
      </c>
      <c r="E21" s="424" t="s">
        <v>31</v>
      </c>
      <c r="F21" s="47">
        <f>$C$27*(1+(1-$F$20)*$F$19)</f>
        <v>1.0040623764985657</v>
      </c>
      <c r="H21" s="424" t="s">
        <v>31</v>
      </c>
      <c r="I21" s="126">
        <f>$C$27*(1+(1-$I$20)*$I$19)</f>
        <v>1.8383636361296523</v>
      </c>
      <c r="S21" s="467"/>
      <c r="T21" s="468"/>
      <c r="U21" s="468"/>
      <c r="V21" s="468"/>
      <c r="AN21" s="42"/>
      <c r="AO21" s="399" t="s">
        <v>11</v>
      </c>
      <c r="AP21" s="399" t="s">
        <v>34</v>
      </c>
    </row>
    <row r="22" spans="1:42">
      <c r="V22" s="469"/>
      <c r="AN22" s="398" t="s">
        <v>36</v>
      </c>
      <c r="AO22" s="48">
        <f>$C$10+$AO$19*$C$9+$F$9+$I$10</f>
        <v>0.20941019043622255</v>
      </c>
      <c r="AP22" s="48">
        <f>(1+$AO$22)*(1+$J$7)-1</f>
        <v>0.22295558456910824</v>
      </c>
    </row>
    <row r="23" spans="1:42">
      <c r="A23" s="38" t="s">
        <v>32</v>
      </c>
      <c r="B23" s="39" t="s">
        <v>33</v>
      </c>
      <c r="I23" s="430" t="s">
        <v>11</v>
      </c>
      <c r="J23" s="430" t="s">
        <v>34</v>
      </c>
      <c r="M23" s="50"/>
      <c r="N23" s="787" t="s">
        <v>438</v>
      </c>
      <c r="O23" s="788"/>
      <c r="P23" s="788"/>
      <c r="Q23" s="789"/>
      <c r="V23" s="469"/>
      <c r="AN23" s="42"/>
      <c r="AO23" s="42"/>
      <c r="AP23" s="53"/>
    </row>
    <row r="24" spans="1:42">
      <c r="A24" s="43" t="s">
        <v>35</v>
      </c>
      <c r="B24" s="421" t="s">
        <v>36</v>
      </c>
      <c r="C24" s="44">
        <f>$C$10+$C$21*$C$9</f>
        <v>0.11304085129546224</v>
      </c>
      <c r="E24" s="424" t="s">
        <v>36</v>
      </c>
      <c r="F24" s="46">
        <f>$C$10+$F$21*$C$9+$F$9</f>
        <v>0.12788738081395279</v>
      </c>
      <c r="H24" s="424" t="s">
        <v>36</v>
      </c>
      <c r="I24" s="48">
        <f>ROUND($C$10+$I$21*$C$9+$F$9+$I$10,4)</f>
        <v>0.18870000000000001</v>
      </c>
      <c r="J24" s="48">
        <f>ROUND((1+$I$24)*(1+$J$7)-1,4)</f>
        <v>0.20200000000000001</v>
      </c>
      <c r="N24" s="457"/>
      <c r="O24" s="458" t="s">
        <v>433</v>
      </c>
      <c r="P24" s="458" t="s">
        <v>79</v>
      </c>
      <c r="Q24" s="458" t="s">
        <v>434</v>
      </c>
      <c r="V24" s="469"/>
      <c r="AN24" s="42"/>
      <c r="AO24" s="42"/>
      <c r="AP24" s="42"/>
    </row>
    <row r="25" spans="1:42">
      <c r="J25" s="53"/>
      <c r="L25" s="361"/>
      <c r="N25" s="457" t="s">
        <v>435</v>
      </c>
      <c r="O25" s="459">
        <f>O15</f>
        <v>4.58E-2</v>
      </c>
      <c r="P25" s="459">
        <f>P15</f>
        <v>4.58E-2</v>
      </c>
      <c r="Q25" s="459">
        <f>Q15</f>
        <v>4.58E-2</v>
      </c>
      <c r="V25" s="469"/>
      <c r="AN25" s="42"/>
      <c r="AO25" s="399" t="s">
        <v>11</v>
      </c>
      <c r="AP25" s="399" t="s">
        <v>34</v>
      </c>
    </row>
    <row r="26" spans="1:42">
      <c r="A26" s="38" t="s">
        <v>37</v>
      </c>
      <c r="B26" s="39" t="s">
        <v>38</v>
      </c>
      <c r="M26" s="52"/>
      <c r="N26" s="457" t="s">
        <v>436</v>
      </c>
      <c r="O26" s="460">
        <f>F21*C9</f>
        <v>6.66492855758576E-2</v>
      </c>
      <c r="P26" s="462"/>
      <c r="Q26" s="462"/>
      <c r="V26" s="469"/>
      <c r="AN26" s="398" t="s">
        <v>41</v>
      </c>
      <c r="AO26" s="48">
        <f>$F$28+$I$10</f>
        <v>0.12408142263538474</v>
      </c>
      <c r="AP26" s="48">
        <f>(1+$AO$26)*(1+$J$7)-1</f>
        <v>0.13667113456890112</v>
      </c>
    </row>
    <row r="27" spans="1:42">
      <c r="A27" s="43" t="s">
        <v>39</v>
      </c>
      <c r="B27" s="421" t="s">
        <v>40</v>
      </c>
      <c r="C27" s="57">
        <f>$C$21/(1+(1-$C$20)*$C$19)</f>
        <v>0.86444328818166272</v>
      </c>
      <c r="E27" s="424" t="s">
        <v>40</v>
      </c>
      <c r="F27" s="56">
        <f>$F$21/(1+(1-$F$20)*$F$19)</f>
        <v>0.86444328818166261</v>
      </c>
      <c r="I27" s="430" t="s">
        <v>11</v>
      </c>
      <c r="J27" s="430" t="s">
        <v>34</v>
      </c>
      <c r="M27" s="50"/>
      <c r="N27" s="457" t="s">
        <v>437</v>
      </c>
      <c r="O27" s="462"/>
      <c r="P27" s="460">
        <f>F27*C9</f>
        <v>5.7381422635384746E-2</v>
      </c>
      <c r="Q27" s="462"/>
      <c r="V27" s="469"/>
      <c r="AN27" s="42"/>
      <c r="AO27" s="42"/>
      <c r="AP27" s="42"/>
    </row>
    <row r="28" spans="1:42">
      <c r="B28" s="421" t="s">
        <v>41</v>
      </c>
      <c r="C28" s="44">
        <f>$C$10+$C$27*$C$9</f>
        <v>0.10318142263538475</v>
      </c>
      <c r="E28" s="424" t="s">
        <v>41</v>
      </c>
      <c r="F28" s="46">
        <f>$C$10+$F$27*$C$9+$F$9</f>
        <v>0.11861951787347993</v>
      </c>
      <c r="H28" s="424" t="s">
        <v>41</v>
      </c>
      <c r="I28" s="48">
        <f>ROUND($F$28+$I$10,4)</f>
        <v>0.1241</v>
      </c>
      <c r="J28" s="48">
        <f>ROUND((1+$I$28)*(1+$J$7)-1,4)</f>
        <v>0.13669999999999999</v>
      </c>
      <c r="M28" s="50"/>
      <c r="N28" s="457" t="s">
        <v>45</v>
      </c>
      <c r="O28" s="462"/>
      <c r="P28" s="462"/>
      <c r="Q28" s="459">
        <f>C32</f>
        <v>1.6199999999999999E-2</v>
      </c>
      <c r="V28" s="50"/>
      <c r="AN28" s="42"/>
      <c r="AO28" s="42"/>
      <c r="AP28" s="42"/>
    </row>
    <row r="29" spans="1:42">
      <c r="N29" s="457" t="s">
        <v>18</v>
      </c>
      <c r="O29" s="459">
        <f>$F$9</f>
        <v>1.54380952380952E-2</v>
      </c>
      <c r="P29" s="459">
        <f>$F$9</f>
        <v>1.54380952380952E-2</v>
      </c>
      <c r="Q29" s="459">
        <f>$F$9</f>
        <v>1.54380952380952E-2</v>
      </c>
      <c r="V29" s="52"/>
      <c r="AN29" s="42"/>
      <c r="AO29" s="42"/>
      <c r="AP29" s="42"/>
    </row>
    <row r="30" spans="1:42">
      <c r="A30" s="38" t="s">
        <v>42</v>
      </c>
      <c r="B30" s="39" t="s">
        <v>43</v>
      </c>
      <c r="C30" s="39"/>
      <c r="O30" s="22">
        <f>SUM(O25:O29)</f>
        <v>0.12788738081395279</v>
      </c>
      <c r="P30" s="22">
        <f>SUM(P25:P29)</f>
        <v>0.11861951787347993</v>
      </c>
      <c r="Q30" s="22">
        <f>SUM(Q25:Q29)</f>
        <v>7.7438095238095195E-2</v>
      </c>
      <c r="V30"/>
      <c r="AN30" s="42"/>
      <c r="AO30" s="399" t="s">
        <v>11</v>
      </c>
      <c r="AP30" s="399" t="s">
        <v>34</v>
      </c>
    </row>
    <row r="31" spans="1:42">
      <c r="B31" s="421" t="s">
        <v>44</v>
      </c>
      <c r="C31" s="57">
        <f>IF(AND(WACC!$F$3&gt;Tablas!$I$3,WACC!$F$3&lt;=Tablas!$J$6),
    VLOOKUP(WACC!$C$13,'Damondaran Industries'!$A$1:$AE$95,6 + 6 * ROUNDDOWN((WACC!$F$3 - Tablas!$I$3) / (Tablas!$J$6 - Tablas!$I$3) * 3, 0), FALSE),
    VLOOKUP(WACC!$C$13,'Damondaran Industries'!$A$1:$AE$95,7,FALSE)
)</f>
        <v>0.49874676442989341</v>
      </c>
      <c r="M31" s="50"/>
      <c r="Q31" s="499">
        <f>Q30*(1-F20)</f>
        <v>5.4593857142857118E-2</v>
      </c>
      <c r="AN31" s="400" t="s">
        <v>16</v>
      </c>
      <c r="AO31" s="48">
        <f>IF($I$7="",$I$8,$I$7)</f>
        <v>0</v>
      </c>
      <c r="AP31" s="48">
        <f>(1+$AO$31)*(1+$J$7)-1</f>
        <v>1.1200000000000099E-2</v>
      </c>
    </row>
    <row r="32" spans="1:42">
      <c r="B32" s="421" t="s">
        <v>45</v>
      </c>
      <c r="C32" s="666">
        <f>IF(AND(WACC!$F$3&gt;Tablas!$I$3,WACC!$F$3&lt;=Tablas!$J$6),
    VLOOKUP(WACC!$C$13,'Damondaran Industries'!$A$1:$AE$95,7 + 6 * ROUNDDOWN((WACC!$F$3 - Tablas!$I$3) / (Tablas!$J$6 - Tablas!$I$3) * 3, 0), FALSE),
    VLOOKUP(WACC!$C$13,'Damondaran Industries'!$A$1:$AE$95,7,FALSE)
)</f>
        <v>1.6199999999999999E-2</v>
      </c>
      <c r="I32" s="430" t="s">
        <v>954</v>
      </c>
      <c r="J32" s="430" t="s">
        <v>34</v>
      </c>
      <c r="M32" s="50"/>
      <c r="AN32" s="400" t="s">
        <v>47</v>
      </c>
      <c r="AO32" s="48">
        <f>AO31*(1-$AO$18)</f>
        <v>0</v>
      </c>
      <c r="AP32" s="48">
        <f>$AP$31*(1-$I$20)</f>
        <v>7.8960000000000696E-3</v>
      </c>
    </row>
    <row r="33" spans="1:42">
      <c r="A33" s="43" t="s">
        <v>46</v>
      </c>
      <c r="B33" s="421" t="s">
        <v>16</v>
      </c>
      <c r="C33" s="46">
        <f>$C$10+C32</f>
        <v>6.2E-2</v>
      </c>
      <c r="E33" s="422" t="s">
        <v>16</v>
      </c>
      <c r="F33" s="54">
        <f>$C$33+$F$9</f>
        <v>7.7438095238095195E-2</v>
      </c>
      <c r="H33" s="422" t="s">
        <v>16</v>
      </c>
      <c r="I33" s="48">
        <f>ROUND(IF($J$3="DÓLARES",$I$8,$I$7),4)</f>
        <v>8.2900000000000001E-2</v>
      </c>
      <c r="J33" s="48">
        <f>ROUND((1+$I$33)*(1+$J$7)-1,4)</f>
        <v>9.5000000000000001E-2</v>
      </c>
      <c r="N33" s="790" t="s">
        <v>430</v>
      </c>
      <c r="O33" s="791"/>
      <c r="P33" s="791"/>
      <c r="Q33" s="792"/>
      <c r="AN33" s="42"/>
      <c r="AO33" s="42"/>
      <c r="AP33" s="42"/>
    </row>
    <row r="34" spans="1:42" ht="24.75" customHeight="1">
      <c r="B34" s="421" t="s">
        <v>47</v>
      </c>
      <c r="C34" s="46">
        <f>$C$33*(1-$C$20)</f>
        <v>4.65E-2</v>
      </c>
      <c r="E34" s="425" t="s">
        <v>47</v>
      </c>
      <c r="F34" s="46">
        <f>$F$33*(1-$F$20)</f>
        <v>5.4593857142857118E-2</v>
      </c>
      <c r="H34" s="422" t="s">
        <v>47</v>
      </c>
      <c r="I34" s="48">
        <f>ROUND(I33*(1-$I$20),4)</f>
        <v>5.8400000000000001E-2</v>
      </c>
      <c r="J34" s="48">
        <f>ROUND($J$33*(1-$I$20),4)</f>
        <v>6.7000000000000004E-2</v>
      </c>
      <c r="K34" s="55"/>
      <c r="N34" s="457"/>
      <c r="O34" s="458" t="s">
        <v>433</v>
      </c>
      <c r="P34" s="458" t="s">
        <v>79</v>
      </c>
      <c r="Q34" s="458" t="s">
        <v>434</v>
      </c>
      <c r="AN34" s="42"/>
      <c r="AO34" s="399" t="s">
        <v>11</v>
      </c>
      <c r="AP34" s="399" t="s">
        <v>34</v>
      </c>
    </row>
    <row r="35" spans="1:42">
      <c r="L35" s="358"/>
      <c r="N35" s="457" t="s">
        <v>435</v>
      </c>
      <c r="O35" s="459">
        <f>$O$25</f>
        <v>4.58E-2</v>
      </c>
      <c r="P35" s="459">
        <f>$O$25</f>
        <v>4.58E-2</v>
      </c>
      <c r="Q35" s="459">
        <f>$O$25</f>
        <v>4.58E-2</v>
      </c>
      <c r="U35" s="39"/>
      <c r="AN35" s="400" t="s">
        <v>49</v>
      </c>
      <c r="AO35" s="402">
        <f>$AO$22*$AO$16+$AO$32*$AO$15</f>
        <v>6.7349973340587427E-2</v>
      </c>
      <c r="AP35" s="48">
        <f>(1+$AO$35)*(1+$J$7)-1</f>
        <v>7.9304293042002039E-2</v>
      </c>
    </row>
    <row r="36" spans="1:42">
      <c r="A36" s="38" t="s">
        <v>4</v>
      </c>
      <c r="B36" s="39" t="s">
        <v>48</v>
      </c>
      <c r="I36" s="430" t="s">
        <v>11</v>
      </c>
      <c r="J36" s="430" t="s">
        <v>34</v>
      </c>
      <c r="M36" s="49"/>
      <c r="N36" s="457" t="s">
        <v>436</v>
      </c>
      <c r="O36" s="460">
        <f>I21*C9</f>
        <v>0.12202989161286652</v>
      </c>
      <c r="P36" s="462"/>
      <c r="Q36" s="462"/>
      <c r="AN36" s="42"/>
      <c r="AO36" s="42"/>
      <c r="AP36" s="42"/>
    </row>
    <row r="37" spans="1:42" ht="24.75" customHeight="1">
      <c r="B37" s="422" t="s">
        <v>49</v>
      </c>
      <c r="C37" s="46">
        <f>$C$24*$C$18+$C$34*$C$17</f>
        <v>0.10063800359675777</v>
      </c>
      <c r="E37" s="422" t="s">
        <v>49</v>
      </c>
      <c r="F37" s="46">
        <f>$F$24*$F$18+$F$34*$F$17</f>
        <v>0.11422587222643067</v>
      </c>
      <c r="H37" s="422" t="s">
        <v>49</v>
      </c>
      <c r="I37" s="48">
        <f>ROUND($I$24*$I$18+$I$34*$I$17,4)</f>
        <v>0.1086</v>
      </c>
      <c r="J37" s="48">
        <f>ROUND((1+$I$37)*(1+$J$7)-1,4)</f>
        <v>0.121</v>
      </c>
      <c r="M37" s="52"/>
      <c r="N37" s="457" t="s">
        <v>437</v>
      </c>
      <c r="O37" s="462"/>
      <c r="P37" s="460">
        <f>C27*C9</f>
        <v>5.7381422635384753E-2</v>
      </c>
      <c r="Q37" s="462"/>
      <c r="AN37" s="42"/>
      <c r="AO37" s="42"/>
      <c r="AP37" s="42"/>
    </row>
    <row r="38" spans="1:42">
      <c r="L38" s="361"/>
      <c r="M38" s="50"/>
      <c r="N38" s="457" t="s">
        <v>45</v>
      </c>
      <c r="O38" s="462"/>
      <c r="P38" s="462"/>
      <c r="Q38" s="459">
        <f>$C$32</f>
        <v>1.6199999999999999E-2</v>
      </c>
      <c r="U38" s="49"/>
      <c r="AN38" s="401" t="s">
        <v>414</v>
      </c>
      <c r="AO38" s="409">
        <f>IF('EE.FF Económicos'!$D$54="Soles",AP35,AO35)</f>
        <v>7.9304293042002039E-2</v>
      </c>
      <c r="AP38" s="42"/>
    </row>
    <row r="39" spans="1:42">
      <c r="A39" s="38" t="s">
        <v>50</v>
      </c>
      <c r="B39" s="39" t="s">
        <v>51</v>
      </c>
      <c r="M39" s="52"/>
      <c r="N39" s="457" t="s">
        <v>18</v>
      </c>
      <c r="O39" s="459">
        <f>$F$9</f>
        <v>1.54380952380952E-2</v>
      </c>
      <c r="P39" s="459">
        <f>$F$9</f>
        <v>1.54380952380952E-2</v>
      </c>
      <c r="Q39" s="459">
        <f>$F$9</f>
        <v>1.54380952380952E-2</v>
      </c>
      <c r="AP39" s="42"/>
    </row>
    <row r="40" spans="1:42" ht="15">
      <c r="B40" s="422" t="s">
        <v>416</v>
      </c>
      <c r="C40" s="46">
        <f>C24-C10</f>
        <v>6.7240851295462228E-2</v>
      </c>
      <c r="E40" s="422" t="s">
        <v>416</v>
      </c>
      <c r="F40" s="46">
        <f>F24-C10-F9</f>
        <v>6.6649285575857586E-2</v>
      </c>
      <c r="H40" s="422" t="s">
        <v>416</v>
      </c>
      <c r="I40" s="48">
        <f>ROUND(I24-C10-F9-I10,4)</f>
        <v>0.122</v>
      </c>
      <c r="L40" s="361"/>
      <c r="M40" s="50"/>
      <c r="N40" s="457" t="s">
        <v>20</v>
      </c>
      <c r="O40" s="459">
        <f>$I$10</f>
        <v>5.4619047619048067E-3</v>
      </c>
      <c r="P40" s="459">
        <f>$I$10</f>
        <v>5.4619047619048067E-3</v>
      </c>
      <c r="Q40" s="459">
        <f>$I$10</f>
        <v>5.4619047619048067E-3</v>
      </c>
      <c r="U40" s="49"/>
      <c r="AN40" s="50"/>
      <c r="AO40" s="50"/>
      <c r="AP40" s="50"/>
    </row>
    <row r="41" spans="1:42" ht="15">
      <c r="B41" s="422" t="s">
        <v>417</v>
      </c>
      <c r="C41" s="46">
        <f>C28-C10</f>
        <v>5.7381422635384753E-2</v>
      </c>
      <c r="E41" s="422" t="s">
        <v>417</v>
      </c>
      <c r="F41" s="46">
        <f>F28-C10-F9</f>
        <v>5.7381422635384725E-2</v>
      </c>
      <c r="H41" s="422" t="s">
        <v>417</v>
      </c>
      <c r="I41" s="48">
        <f>ROUND(I28-C10-F9-I10,4)</f>
        <v>5.74E-2</v>
      </c>
      <c r="M41" s="52"/>
      <c r="O41" s="22">
        <f>SUM(O35:O40)</f>
        <v>0.18872989161286652</v>
      </c>
      <c r="P41" s="22">
        <f>SUM(P35:P40)</f>
        <v>0.12408142263538476</v>
      </c>
      <c r="Q41" s="22">
        <f>SUM(Q35:Q40)</f>
        <v>8.2900000000000001E-2</v>
      </c>
      <c r="AN41" s="39"/>
      <c r="AO41" s="39"/>
    </row>
    <row r="42" spans="1:42">
      <c r="L42" s="361"/>
      <c r="M42" s="50"/>
      <c r="Q42" s="466">
        <f>Q41*(1-I20)</f>
        <v>5.844450000000001E-2</v>
      </c>
      <c r="U42" s="49"/>
      <c r="AN42" s="39"/>
      <c r="AO42" s="39"/>
    </row>
    <row r="43" spans="1:42">
      <c r="AN43" s="39"/>
      <c r="AO43" s="39"/>
    </row>
    <row r="44" spans="1:42">
      <c r="H44" s="431" t="s">
        <v>414</v>
      </c>
      <c r="I44" s="395">
        <f>ROUND(IF('Plantilla Usuario'!C4="Soles",J37,I37),4)</f>
        <v>0.1086</v>
      </c>
      <c r="AN44" s="39"/>
      <c r="AO44" s="39"/>
    </row>
    <row r="45" spans="1:42">
      <c r="AN45" s="396" t="s">
        <v>419</v>
      </c>
      <c r="AO45" s="39"/>
    </row>
    <row r="46" spans="1:42">
      <c r="N46" s="452" t="s">
        <v>439</v>
      </c>
      <c r="AN46" s="39"/>
      <c r="AO46" s="39"/>
    </row>
    <row r="47" spans="1:42">
      <c r="B47" s="42" t="s">
        <v>463</v>
      </c>
      <c r="J47" s="42" t="s">
        <v>901</v>
      </c>
      <c r="AN47" s="397" t="s">
        <v>27</v>
      </c>
      <c r="AO47" s="123">
        <f>('EE.FF Económicos'!$H$17+'EE.FF Económicos'!$H$21)/('EE.FF Económicos'!$H$17+'EE.FF Económicos'!$H$21+'M. Integrado'!L39)</f>
        <v>0.67290866980058717</v>
      </c>
      <c r="AP47" s="42"/>
    </row>
    <row r="48" spans="1:42">
      <c r="AN48" s="397" t="s">
        <v>28</v>
      </c>
      <c r="AO48" s="124">
        <f>1-AO47</f>
        <v>0.32709133019941283</v>
      </c>
      <c r="AP48" s="42"/>
    </row>
    <row r="49" spans="2:45">
      <c r="B49" s="508" t="s">
        <v>456</v>
      </c>
      <c r="C49" s="508" t="s">
        <v>457</v>
      </c>
      <c r="D49" s="508" t="s">
        <v>486</v>
      </c>
      <c r="E49" s="508" t="s">
        <v>496</v>
      </c>
      <c r="F49" s="508" t="s">
        <v>497</v>
      </c>
      <c r="H49" s="510"/>
      <c r="I49" s="510"/>
      <c r="J49" s="578" t="s">
        <v>456</v>
      </c>
      <c r="K49" s="579" t="s">
        <v>457</v>
      </c>
      <c r="L49"/>
      <c r="M49" s="42"/>
      <c r="O49" s="359"/>
      <c r="P49" s="39"/>
      <c r="Q49" s="793" t="s">
        <v>428</v>
      </c>
      <c r="R49" s="793"/>
      <c r="S49" s="793"/>
      <c r="T49" s="793"/>
      <c r="U49" s="793"/>
      <c r="V49" s="793"/>
      <c r="W49" s="793"/>
      <c r="X49" s="42"/>
      <c r="Y49" s="794" t="s">
        <v>429</v>
      </c>
      <c r="Z49" s="794"/>
      <c r="AA49" s="794"/>
      <c r="AB49" s="794"/>
      <c r="AC49" s="794"/>
      <c r="AD49" s="794"/>
      <c r="AE49" s="794"/>
      <c r="AF49" s="500"/>
      <c r="AH49" s="783" t="s">
        <v>455</v>
      </c>
      <c r="AI49" s="783"/>
      <c r="AJ49" s="783"/>
      <c r="AK49" s="783"/>
      <c r="AL49" s="783"/>
      <c r="AM49" s="783"/>
      <c r="AN49" s="783"/>
      <c r="AQ49" s="398" t="s">
        <v>29</v>
      </c>
      <c r="AR49" s="125">
        <f>AO47/AO48</f>
        <v>2.0572500940038525</v>
      </c>
      <c r="AS49" s="42"/>
    </row>
    <row r="50" spans="2:45">
      <c r="B50" s="574"/>
      <c r="C50" s="574" t="s">
        <v>428</v>
      </c>
      <c r="D50" s="575" t="s">
        <v>429</v>
      </c>
      <c r="E50" s="575" t="s">
        <v>899</v>
      </c>
      <c r="F50" s="575" t="s">
        <v>900</v>
      </c>
      <c r="H50" s="509"/>
      <c r="I50" s="509"/>
      <c r="J50" s="580" t="s">
        <v>86</v>
      </c>
      <c r="K50" s="581">
        <f>F3</f>
        <v>45657</v>
      </c>
      <c r="L50"/>
      <c r="M50" s="42"/>
      <c r="O50" s="359"/>
      <c r="P50" s="39"/>
      <c r="U50"/>
      <c r="V50"/>
      <c r="X50" s="42"/>
      <c r="Y50" s="39"/>
      <c r="AF50" s="500"/>
      <c r="AH50" s="472"/>
      <c r="AI50" s="92"/>
      <c r="AJ50" s="92"/>
      <c r="AK50" s="92"/>
      <c r="AL50" s="92"/>
      <c r="AM50" s="92"/>
      <c r="AN50" s="92"/>
      <c r="AQ50" s="397" t="s">
        <v>30</v>
      </c>
      <c r="AR50" s="123">
        <f>AO18</f>
        <v>0.29499999999999998</v>
      </c>
      <c r="AS50" s="42"/>
    </row>
    <row r="51" spans="2:45">
      <c r="B51" s="576" t="s">
        <v>433</v>
      </c>
      <c r="C51" s="594">
        <f>C24</f>
        <v>0.11304085129546224</v>
      </c>
      <c r="D51" s="594">
        <f>F24</f>
        <v>0.12788738081395279</v>
      </c>
      <c r="E51" s="594">
        <f>I24</f>
        <v>0.18870000000000001</v>
      </c>
      <c r="F51" s="594">
        <f>J24</f>
        <v>0.20200000000000001</v>
      </c>
      <c r="H51" s="509"/>
      <c r="I51" s="509"/>
      <c r="J51" s="582" t="s">
        <v>458</v>
      </c>
      <c r="K51" s="583" t="str">
        <f>C13</f>
        <v>Bebida alcohólicas</v>
      </c>
      <c r="L51"/>
      <c r="M51" s="42"/>
      <c r="O51" s="359"/>
      <c r="P51" s="39"/>
      <c r="Q51" s="470" t="s">
        <v>440</v>
      </c>
      <c r="R51" s="471">
        <f>W55/5</f>
        <v>4.5819375945540905E-2</v>
      </c>
      <c r="S51" s="92"/>
      <c r="T51" s="472"/>
      <c r="U51" s="92"/>
      <c r="V51" s="92"/>
      <c r="W51" s="92"/>
      <c r="X51" s="42"/>
      <c r="Y51" s="470" t="s">
        <v>440</v>
      </c>
      <c r="Z51" s="471">
        <f>AE55/5</f>
        <v>4.5819375945540905E-2</v>
      </c>
      <c r="AA51" s="92"/>
      <c r="AB51" s="472"/>
      <c r="AC51" s="92"/>
      <c r="AD51" s="92"/>
      <c r="AE51" s="92"/>
      <c r="AF51" s="501"/>
      <c r="AH51" s="470" t="s">
        <v>440</v>
      </c>
      <c r="AI51" s="471">
        <f>AN55/5</f>
        <v>0.31961548454143929</v>
      </c>
      <c r="AJ51" s="92"/>
      <c r="AK51" s="472"/>
      <c r="AL51" s="92"/>
      <c r="AM51" s="92"/>
      <c r="AN51" s="92"/>
      <c r="AQ51" s="398" t="s">
        <v>31</v>
      </c>
      <c r="AR51" s="126">
        <f>$C$27*(1+(1-$AR$50)*$AR$49)</f>
        <v>2.1181983934719342</v>
      </c>
      <c r="AS51" s="42"/>
    </row>
    <row r="52" spans="2:45">
      <c r="B52" s="576" t="s">
        <v>79</v>
      </c>
      <c r="C52" s="594">
        <f>C28</f>
        <v>0.10318142263538475</v>
      </c>
      <c r="D52" s="594">
        <f>F28</f>
        <v>0.11861951787347993</v>
      </c>
      <c r="E52" s="594">
        <f>I28</f>
        <v>0.1241</v>
      </c>
      <c r="F52" s="594">
        <f>J28</f>
        <v>0.13669999999999999</v>
      </c>
      <c r="H52" s="509"/>
      <c r="I52" s="509"/>
      <c r="J52" s="580" t="s">
        <v>459</v>
      </c>
      <c r="K52" s="584" t="str">
        <f>C3</f>
        <v>Bono EE.UU</v>
      </c>
      <c r="L52"/>
      <c r="M52" s="42"/>
      <c r="O52" s="359"/>
      <c r="P52" s="39"/>
      <c r="Q52" s="472"/>
      <c r="R52" s="92"/>
      <c r="S52" s="473"/>
      <c r="T52" s="92"/>
      <c r="U52" s="92"/>
      <c r="V52" s="92"/>
      <c r="W52" s="92"/>
      <c r="X52" s="42"/>
      <c r="Y52" s="472"/>
      <c r="Z52" s="92"/>
      <c r="AA52" s="473"/>
      <c r="AB52" s="92"/>
      <c r="AC52" s="92"/>
      <c r="AD52" s="92"/>
      <c r="AE52" s="92"/>
      <c r="AF52" s="501"/>
      <c r="AH52" s="472"/>
      <c r="AI52" s="92"/>
      <c r="AJ52" s="473"/>
      <c r="AK52" s="92"/>
      <c r="AL52" s="92"/>
      <c r="AM52" s="92"/>
      <c r="AN52" s="92"/>
      <c r="AQ52" s="42"/>
      <c r="AR52" s="42"/>
      <c r="AS52" s="42"/>
    </row>
    <row r="53" spans="2:45">
      <c r="B53" s="576" t="s">
        <v>434</v>
      </c>
      <c r="C53" s="594">
        <f>C33</f>
        <v>6.2E-2</v>
      </c>
      <c r="D53" s="594">
        <f>F33</f>
        <v>7.7438095238095195E-2</v>
      </c>
      <c r="E53" s="594">
        <f>I33</f>
        <v>8.2900000000000001E-2</v>
      </c>
      <c r="F53" s="594">
        <f>J33</f>
        <v>9.5000000000000001E-2</v>
      </c>
      <c r="H53" s="509"/>
      <c r="I53" s="509"/>
      <c r="J53" s="582" t="s">
        <v>460</v>
      </c>
      <c r="K53" s="585">
        <f>C6</f>
        <v>10</v>
      </c>
      <c r="L53"/>
      <c r="M53" s="42"/>
      <c r="O53" s="359"/>
      <c r="P53" s="39"/>
      <c r="Q53" s="474" t="s">
        <v>441</v>
      </c>
      <c r="R53" s="475">
        <v>0</v>
      </c>
      <c r="S53" s="475">
        <f>S55/(1+S55)</f>
        <v>4.381194018720002E-2</v>
      </c>
      <c r="T53" s="475">
        <f>T55/(1+T55)</f>
        <v>8.3946041428387339E-2</v>
      </c>
      <c r="U53" s="475">
        <f>U55/(1+U55)</f>
        <v>0.12084675863898378</v>
      </c>
      <c r="V53" s="475">
        <f>V55/(1+V55)</f>
        <v>0.15488970524356746</v>
      </c>
      <c r="W53" s="475">
        <f>W55/(1+W55)</f>
        <v>0.18639448485009488</v>
      </c>
      <c r="X53" s="42"/>
      <c r="Y53" s="474" t="s">
        <v>441</v>
      </c>
      <c r="Z53" s="475">
        <v>0</v>
      </c>
      <c r="AA53" s="475">
        <f>AA55/(1+AA55)</f>
        <v>4.381194018720002E-2</v>
      </c>
      <c r="AB53" s="475">
        <f>AB55/(1+AB55)</f>
        <v>8.3946041428387339E-2</v>
      </c>
      <c r="AC53" s="475">
        <f>AC55/(1+AC55)</f>
        <v>0.12084675863898378</v>
      </c>
      <c r="AD53" s="475">
        <f>AD55/(1+AD55)</f>
        <v>0.15488970524356746</v>
      </c>
      <c r="AE53" s="475">
        <f>AE55/(1+AE55)</f>
        <v>0.18639448485009488</v>
      </c>
      <c r="AF53" s="502"/>
      <c r="AH53" s="474" t="s">
        <v>441</v>
      </c>
      <c r="AI53" s="475">
        <v>0</v>
      </c>
      <c r="AJ53" s="475">
        <f>AJ55/(1+AJ55)</f>
        <v>0.24220349661363993</v>
      </c>
      <c r="AK53" s="475">
        <f>AK55/(1+AK55)</f>
        <v>0.38995784068215672</v>
      </c>
      <c r="AL53" s="475">
        <f>AL55/(1+AL55)</f>
        <v>0.4894954639503421</v>
      </c>
      <c r="AM53" s="475">
        <f>AM55/(1+AM55)</f>
        <v>0.56110743688567577</v>
      </c>
      <c r="AN53" s="475">
        <f>AN55/(1+AN55)</f>
        <v>0.61509999999999998</v>
      </c>
      <c r="AQ53" s="42"/>
      <c r="AR53" s="399" t="s">
        <v>11</v>
      </c>
      <c r="AS53" s="399" t="s">
        <v>34</v>
      </c>
    </row>
    <row r="54" spans="2:45">
      <c r="B54" s="576" t="s">
        <v>414</v>
      </c>
      <c r="C54" s="594">
        <f>C37</f>
        <v>0.10063800359675777</v>
      </c>
      <c r="D54" s="594">
        <f>F37</f>
        <v>0.11422587222643067</v>
      </c>
      <c r="E54" s="594">
        <f>I37</f>
        <v>0.1086</v>
      </c>
      <c r="F54" s="594">
        <f>J37</f>
        <v>0.121</v>
      </c>
      <c r="H54" s="509"/>
      <c r="I54" s="509"/>
      <c r="J54" s="580" t="s">
        <v>461</v>
      </c>
      <c r="K54" s="584" t="str">
        <f>F6</f>
        <v>Peru</v>
      </c>
      <c r="L54"/>
      <c r="M54" s="42"/>
      <c r="O54" s="359"/>
      <c r="P54" s="39"/>
      <c r="Q54" s="476" t="s">
        <v>442</v>
      </c>
      <c r="R54" s="477">
        <v>1</v>
      </c>
      <c r="S54" s="477">
        <f>1-S53</f>
        <v>0.95618805981279997</v>
      </c>
      <c r="T54" s="477">
        <f>1-T53</f>
        <v>0.91605395857161265</v>
      </c>
      <c r="U54" s="477">
        <f>1-U53</f>
        <v>0.87915324136101625</v>
      </c>
      <c r="V54" s="477">
        <f>1-V53</f>
        <v>0.84511029475643251</v>
      </c>
      <c r="W54" s="477">
        <f>1-W53</f>
        <v>0.81360551514990509</v>
      </c>
      <c r="X54" s="42"/>
      <c r="Y54" s="476" t="s">
        <v>442</v>
      </c>
      <c r="Z54" s="477">
        <v>1</v>
      </c>
      <c r="AA54" s="477">
        <f>1-AA53</f>
        <v>0.95618805981279997</v>
      </c>
      <c r="AB54" s="477">
        <f>1-AB53</f>
        <v>0.91605395857161265</v>
      </c>
      <c r="AC54" s="477">
        <f>1-AC53</f>
        <v>0.87915324136101625</v>
      </c>
      <c r="AD54" s="477">
        <f>1-AD53</f>
        <v>0.84511029475643251</v>
      </c>
      <c r="AE54" s="477">
        <f>1-AE53</f>
        <v>0.81360551514990509</v>
      </c>
      <c r="AF54" s="502"/>
      <c r="AH54" s="503" t="s">
        <v>442</v>
      </c>
      <c r="AI54" s="475">
        <v>1</v>
      </c>
      <c r="AJ54" s="475">
        <f>1-AJ53</f>
        <v>0.75779650338636007</v>
      </c>
      <c r="AK54" s="475">
        <f>1-AK53</f>
        <v>0.61004215931784334</v>
      </c>
      <c r="AL54" s="475">
        <f>1-AL53</f>
        <v>0.51050453604965784</v>
      </c>
      <c r="AM54" s="475">
        <f>1-AM53</f>
        <v>0.43889256311432423</v>
      </c>
      <c r="AN54" s="475">
        <f>1-AN53</f>
        <v>0.38490000000000002</v>
      </c>
      <c r="AQ54" s="398" t="s">
        <v>36</v>
      </c>
      <c r="AR54" s="48">
        <f>$C$10+$AR$51*$C$9+$F$9+$I$10</f>
        <v>0.20730521829844242</v>
      </c>
      <c r="AS54" s="48">
        <f>(1+$AR$54)*(1+$J$7)-1</f>
        <v>0.22082703674338511</v>
      </c>
    </row>
    <row r="55" spans="2:45">
      <c r="B55" s="577" t="s">
        <v>902</v>
      </c>
      <c r="C55" s="594">
        <f>C34</f>
        <v>4.65E-2</v>
      </c>
      <c r="D55" s="594">
        <f>F34</f>
        <v>5.4593857142857118E-2</v>
      </c>
      <c r="E55" s="594">
        <f>I34</f>
        <v>5.8400000000000001E-2</v>
      </c>
      <c r="F55" s="594">
        <f>J34</f>
        <v>6.7000000000000004E-2</v>
      </c>
      <c r="H55" s="509"/>
      <c r="I55" s="509"/>
      <c r="J55" s="582" t="s">
        <v>411</v>
      </c>
      <c r="K55" s="586">
        <f>F7</f>
        <v>1.12E-2</v>
      </c>
      <c r="L55"/>
      <c r="M55" s="42"/>
      <c r="O55" s="359"/>
      <c r="P55" s="39"/>
      <c r="Q55" s="478" t="s">
        <v>29</v>
      </c>
      <c r="R55" s="479">
        <f>S55-$R$51</f>
        <v>0</v>
      </c>
      <c r="S55" s="479">
        <f>T55-$R$51</f>
        <v>4.5819375945540891E-2</v>
      </c>
      <c r="T55" s="479">
        <f>U55-$R$51</f>
        <v>9.1638751891081796E-2</v>
      </c>
      <c r="U55" s="479">
        <f>V55-$R$51</f>
        <v>0.1374581278366227</v>
      </c>
      <c r="V55" s="479">
        <f>W55-$R$51</f>
        <v>0.18327750378216362</v>
      </c>
      <c r="W55" s="479">
        <f>C19</f>
        <v>0.22909687972770454</v>
      </c>
      <c r="X55" s="42"/>
      <c r="Y55" s="478" t="s">
        <v>29</v>
      </c>
      <c r="Z55" s="479">
        <f>AA55-$Z$51</f>
        <v>0</v>
      </c>
      <c r="AA55" s="479">
        <f>AB55-$Z$51</f>
        <v>4.5819375945540891E-2</v>
      </c>
      <c r="AB55" s="479">
        <f>AC55-$Z$51</f>
        <v>9.1638751891081796E-2</v>
      </c>
      <c r="AC55" s="479">
        <f>AD55-$Z$51</f>
        <v>0.1374581278366227</v>
      </c>
      <c r="AD55" s="479">
        <f>AE55-$Z$51</f>
        <v>0.18327750378216362</v>
      </c>
      <c r="AE55" s="479">
        <f>F19</f>
        <v>0.22909687972770454</v>
      </c>
      <c r="AF55" s="504"/>
      <c r="AH55" s="478" t="s">
        <v>29</v>
      </c>
      <c r="AI55" s="479">
        <f>AJ55-$AI$51</f>
        <v>0</v>
      </c>
      <c r="AJ55" s="479">
        <f>AK55-$AI$51</f>
        <v>0.31961548454143929</v>
      </c>
      <c r="AK55" s="479">
        <f>AL55-$AI$51</f>
        <v>0.63923096908287858</v>
      </c>
      <c r="AL55" s="479">
        <f>AM55-$AI$51</f>
        <v>0.95884645362431786</v>
      </c>
      <c r="AM55" s="479">
        <f>AN55-$AI$51</f>
        <v>1.2784619381657572</v>
      </c>
      <c r="AN55" s="479">
        <f>I19</f>
        <v>1.5980774227071965</v>
      </c>
      <c r="AQ55" s="42"/>
      <c r="AR55" s="42"/>
      <c r="AS55" s="53"/>
    </row>
    <row r="56" spans="2:45">
      <c r="B56" s="590"/>
      <c r="C56" s="591"/>
      <c r="D56" s="591"/>
      <c r="E56" s="591"/>
      <c r="F56" s="591"/>
      <c r="H56" s="509"/>
      <c r="I56" s="509"/>
      <c r="J56" s="580" t="s">
        <v>462</v>
      </c>
      <c r="K56" s="587">
        <f>F20</f>
        <v>0.29499999999999998</v>
      </c>
      <c r="L56"/>
      <c r="M56" s="42"/>
      <c r="O56" s="359"/>
      <c r="P56" s="39"/>
      <c r="Q56" s="474" t="s">
        <v>443</v>
      </c>
      <c r="R56" s="480">
        <f>$C$27*(1+(1-$I$20)*R$55)</f>
        <v>0.86444328818166272</v>
      </c>
      <c r="S56" s="480">
        <f>$C$27*(1+(1-$I$20)*S$55)</f>
        <v>0.89236710584504331</v>
      </c>
      <c r="T56" s="480">
        <f>$C$27*(1+(1-$I$20)*T$55)</f>
        <v>0.9202909235084239</v>
      </c>
      <c r="U56" s="480">
        <f>$C$27*(1+(1-$I$20)*U$55)</f>
        <v>0.94821474117180438</v>
      </c>
      <c r="V56" s="480">
        <f>$C$27*(1+(1-$I$20)*V$55)</f>
        <v>0.97613855883518497</v>
      </c>
      <c r="W56" s="480">
        <f>$C$27*(1+(1-$C$20)*W$55)</f>
        <v>1.0129742331996445</v>
      </c>
      <c r="X56" s="42"/>
      <c r="Y56" s="474" t="s">
        <v>443</v>
      </c>
      <c r="Z56" s="480">
        <f t="shared" ref="Z56:AE56" si="0">$C$27*(1+(1-$F$20)*Z$55)</f>
        <v>0.86444328818166272</v>
      </c>
      <c r="AA56" s="480">
        <f t="shared" si="0"/>
        <v>0.89236710584504331</v>
      </c>
      <c r="AB56" s="480">
        <f t="shared" si="0"/>
        <v>0.9202909235084239</v>
      </c>
      <c r="AC56" s="480">
        <f t="shared" si="0"/>
        <v>0.94821474117180438</v>
      </c>
      <c r="AD56" s="480">
        <f t="shared" si="0"/>
        <v>0.97613855883518497</v>
      </c>
      <c r="AE56" s="480">
        <f t="shared" si="0"/>
        <v>1.0040623764985657</v>
      </c>
      <c r="AF56" s="505"/>
      <c r="AH56" s="474" t="s">
        <v>443</v>
      </c>
      <c r="AI56" s="480">
        <f t="shared" ref="AI56:AN56" si="1">$C$27*(1+(1-$I$20)*AI$55)</f>
        <v>0.86444328818166272</v>
      </c>
      <c r="AJ56" s="480">
        <f t="shared" si="1"/>
        <v>1.0592273577712605</v>
      </c>
      <c r="AK56" s="480">
        <f t="shared" si="1"/>
        <v>1.2540114273608585</v>
      </c>
      <c r="AL56" s="480">
        <f t="shared" si="1"/>
        <v>1.4487954969504564</v>
      </c>
      <c r="AM56" s="480">
        <f t="shared" si="1"/>
        <v>1.6435795665400543</v>
      </c>
      <c r="AN56" s="480">
        <f t="shared" si="1"/>
        <v>1.8383636361296523</v>
      </c>
      <c r="AQ56" s="42"/>
      <c r="AR56" s="42"/>
      <c r="AS56" s="42"/>
    </row>
    <row r="57" spans="2:45">
      <c r="B57" s="577"/>
      <c r="C57" s="593" t="s">
        <v>429</v>
      </c>
      <c r="D57" s="593" t="s">
        <v>430</v>
      </c>
      <c r="E57" s="591"/>
      <c r="F57" s="591"/>
      <c r="H57" s="509"/>
      <c r="I57" s="509"/>
      <c r="J57" s="582" t="s">
        <v>349</v>
      </c>
      <c r="K57" s="583" t="str">
        <f>J3</f>
        <v>Dólares</v>
      </c>
      <c r="L57"/>
      <c r="M57" s="42"/>
      <c r="O57" s="359"/>
      <c r="P57" s="39"/>
      <c r="Q57" s="481" t="s">
        <v>433</v>
      </c>
      <c r="R57" s="482">
        <f t="shared" ref="R57:W57" si="2">$C$10+R$56*$C$9</f>
        <v>0.10318142263538475</v>
      </c>
      <c r="S57" s="482">
        <f t="shared" si="2"/>
        <v>0.10503499522347931</v>
      </c>
      <c r="T57" s="482">
        <f t="shared" si="2"/>
        <v>0.10688856781157388</v>
      </c>
      <c r="U57" s="482">
        <f t="shared" si="2"/>
        <v>0.10874214039966845</v>
      </c>
      <c r="V57" s="482">
        <f t="shared" si="2"/>
        <v>0.11059571298776302</v>
      </c>
      <c r="W57" s="482">
        <f t="shared" si="2"/>
        <v>0.11304085129546224</v>
      </c>
      <c r="X57" s="42"/>
      <c r="Y57" s="481" t="s">
        <v>433</v>
      </c>
      <c r="Z57" s="482">
        <f t="shared" ref="Z57:AE57" si="3">$C$10+Z$56*$C$9+$F$9</f>
        <v>0.11861951787347995</v>
      </c>
      <c r="AA57" s="482">
        <f t="shared" si="3"/>
        <v>0.12047309046157451</v>
      </c>
      <c r="AB57" s="482">
        <f t="shared" si="3"/>
        <v>0.12232666304966908</v>
      </c>
      <c r="AC57" s="482">
        <f t="shared" si="3"/>
        <v>0.12418023563776365</v>
      </c>
      <c r="AD57" s="482">
        <f t="shared" si="3"/>
        <v>0.12603380822585822</v>
      </c>
      <c r="AE57" s="482">
        <f t="shared" si="3"/>
        <v>0.12788738081395279</v>
      </c>
      <c r="AF57" s="502"/>
      <c r="AH57" s="481" t="s">
        <v>433</v>
      </c>
      <c r="AI57" s="482">
        <f t="shared" ref="AI57:AN57" si="4">$C$10+AI$56*$C$9+$F$9+$I$10</f>
        <v>0.12408142263538476</v>
      </c>
      <c r="AJ57" s="482">
        <f t="shared" si="4"/>
        <v>0.1370111164308811</v>
      </c>
      <c r="AK57" s="482">
        <f t="shared" si="4"/>
        <v>0.14994081022637745</v>
      </c>
      <c r="AL57" s="482">
        <f t="shared" si="4"/>
        <v>0.16287050402187381</v>
      </c>
      <c r="AM57" s="482">
        <f t="shared" si="4"/>
        <v>0.17580019781737016</v>
      </c>
      <c r="AN57" s="482">
        <f t="shared" si="4"/>
        <v>0.18872989161286652</v>
      </c>
      <c r="AQ57" s="42"/>
      <c r="AR57" s="399" t="s">
        <v>11</v>
      </c>
      <c r="AS57" s="399" t="s">
        <v>34</v>
      </c>
    </row>
    <row r="58" spans="2:45">
      <c r="B58" s="577" t="s">
        <v>903</v>
      </c>
      <c r="C58" s="594">
        <f>F19</f>
        <v>0.22909687972770454</v>
      </c>
      <c r="D58" s="594">
        <f>I19</f>
        <v>1.5980774227071965</v>
      </c>
      <c r="E58" s="591"/>
      <c r="F58" s="591"/>
      <c r="H58" s="509"/>
      <c r="I58" s="509"/>
      <c r="J58" s="580" t="s">
        <v>898</v>
      </c>
      <c r="K58" s="587">
        <f>I3</f>
        <v>8.2900000000000001E-2</v>
      </c>
      <c r="L58"/>
      <c r="M58" s="42"/>
      <c r="O58" s="359"/>
      <c r="P58" s="39"/>
      <c r="Q58" s="483" t="s">
        <v>79</v>
      </c>
      <c r="R58" s="482">
        <f t="shared" ref="R58:W58" si="5">$C$28</f>
        <v>0.10318142263538475</v>
      </c>
      <c r="S58" s="482">
        <f t="shared" si="5"/>
        <v>0.10318142263538475</v>
      </c>
      <c r="T58" s="482">
        <f t="shared" si="5"/>
        <v>0.10318142263538475</v>
      </c>
      <c r="U58" s="482">
        <f t="shared" si="5"/>
        <v>0.10318142263538475</v>
      </c>
      <c r="V58" s="482">
        <f t="shared" si="5"/>
        <v>0.10318142263538475</v>
      </c>
      <c r="W58" s="482">
        <f t="shared" si="5"/>
        <v>0.10318142263538475</v>
      </c>
      <c r="X58" s="42"/>
      <c r="Y58" s="483" t="s">
        <v>79</v>
      </c>
      <c r="Z58" s="482">
        <f t="shared" ref="Z58:AE58" si="6">$C$28+$F$9</f>
        <v>0.11861951787347995</v>
      </c>
      <c r="AA58" s="482">
        <f t="shared" si="6"/>
        <v>0.11861951787347995</v>
      </c>
      <c r="AB58" s="482">
        <f t="shared" si="6"/>
        <v>0.11861951787347995</v>
      </c>
      <c r="AC58" s="482">
        <f t="shared" si="6"/>
        <v>0.11861951787347995</v>
      </c>
      <c r="AD58" s="482">
        <f t="shared" si="6"/>
        <v>0.11861951787347995</v>
      </c>
      <c r="AE58" s="482">
        <f t="shared" si="6"/>
        <v>0.11861951787347995</v>
      </c>
      <c r="AF58" s="506"/>
      <c r="AH58" s="483" t="s">
        <v>79</v>
      </c>
      <c r="AI58" s="482">
        <f>$F$28+$I$10</f>
        <v>0.12408142263538474</v>
      </c>
      <c r="AJ58" s="482">
        <f t="shared" ref="AJ58:AN58" si="7">$F$28+$I$10</f>
        <v>0.12408142263538474</v>
      </c>
      <c r="AK58" s="482">
        <f t="shared" si="7"/>
        <v>0.12408142263538474</v>
      </c>
      <c r="AL58" s="482">
        <f t="shared" si="7"/>
        <v>0.12408142263538474</v>
      </c>
      <c r="AM58" s="482">
        <f t="shared" si="7"/>
        <v>0.12408142263538474</v>
      </c>
      <c r="AN58" s="482">
        <f t="shared" si="7"/>
        <v>0.12408142263538474</v>
      </c>
      <c r="AQ58" s="398" t="s">
        <v>41</v>
      </c>
      <c r="AR58" s="48">
        <f>$F$28+$I$10</f>
        <v>0.12408142263538474</v>
      </c>
      <c r="AS58" s="48">
        <f>(1+$AR$58)*(1+$J$7)-1</f>
        <v>0.13667113456890112</v>
      </c>
    </row>
    <row r="59" spans="2:45">
      <c r="B59" s="577" t="s">
        <v>414</v>
      </c>
      <c r="C59" s="575"/>
      <c r="D59" s="594">
        <f>I44</f>
        <v>0.1086</v>
      </c>
      <c r="E59" s="591"/>
      <c r="F59" s="591"/>
      <c r="H59" s="509"/>
      <c r="I59" s="509"/>
      <c r="J59" s="582" t="s">
        <v>896</v>
      </c>
      <c r="K59" s="586">
        <f>I17</f>
        <v>0.61509999999999998</v>
      </c>
      <c r="L59"/>
      <c r="M59" s="42"/>
      <c r="O59" s="359"/>
      <c r="P59" s="39"/>
      <c r="Q59" s="481" t="s">
        <v>434</v>
      </c>
      <c r="R59" s="484">
        <f>$C$33</f>
        <v>6.2E-2</v>
      </c>
      <c r="S59" s="484">
        <f t="shared" ref="S59:W59" si="8">$C$33</f>
        <v>6.2E-2</v>
      </c>
      <c r="T59" s="484">
        <f t="shared" si="8"/>
        <v>6.2E-2</v>
      </c>
      <c r="U59" s="484">
        <f t="shared" si="8"/>
        <v>6.2E-2</v>
      </c>
      <c r="V59" s="484">
        <f t="shared" si="8"/>
        <v>6.2E-2</v>
      </c>
      <c r="W59" s="484">
        <f t="shared" si="8"/>
        <v>6.2E-2</v>
      </c>
      <c r="X59" s="42"/>
      <c r="Y59" s="481" t="s">
        <v>434</v>
      </c>
      <c r="Z59" s="484">
        <f>$F$33</f>
        <v>7.7438095238095195E-2</v>
      </c>
      <c r="AA59" s="484">
        <f t="shared" ref="AA59:AE59" si="9">$F$33</f>
        <v>7.7438095238095195E-2</v>
      </c>
      <c r="AB59" s="484">
        <f t="shared" si="9"/>
        <v>7.7438095238095195E-2</v>
      </c>
      <c r="AC59" s="484">
        <f t="shared" si="9"/>
        <v>7.7438095238095195E-2</v>
      </c>
      <c r="AD59" s="484">
        <f t="shared" si="9"/>
        <v>7.7438095238095195E-2</v>
      </c>
      <c r="AE59" s="484">
        <f t="shared" si="9"/>
        <v>7.7438095238095195E-2</v>
      </c>
      <c r="AF59" s="502"/>
      <c r="AH59" s="481" t="s">
        <v>434</v>
      </c>
      <c r="AI59" s="484">
        <f>IF($I$7="",$I$8,$I$7)</f>
        <v>0</v>
      </c>
      <c r="AJ59" s="484">
        <f t="shared" ref="AJ59:AN59" si="10">IF($I$7="",$I$8,$I$7)</f>
        <v>0</v>
      </c>
      <c r="AK59" s="484">
        <f t="shared" si="10"/>
        <v>0</v>
      </c>
      <c r="AL59" s="484">
        <f t="shared" si="10"/>
        <v>0</v>
      </c>
      <c r="AM59" s="484">
        <f t="shared" si="10"/>
        <v>0</v>
      </c>
      <c r="AN59" s="484">
        <f t="shared" si="10"/>
        <v>0</v>
      </c>
      <c r="AQ59" s="42"/>
      <c r="AR59" s="42"/>
      <c r="AS59" s="42"/>
    </row>
    <row r="60" spans="2:45">
      <c r="B60" s="590"/>
      <c r="C60" s="592"/>
      <c r="D60" s="592"/>
      <c r="E60" s="591"/>
      <c r="F60" s="591"/>
      <c r="H60" s="509"/>
      <c r="I60" s="509"/>
      <c r="J60" s="588" t="s">
        <v>897</v>
      </c>
      <c r="K60" s="589">
        <f>I18</f>
        <v>0.38490000000000002</v>
      </c>
      <c r="L60"/>
      <c r="M60" s="42"/>
      <c r="O60" s="359"/>
      <c r="P60" s="39"/>
      <c r="Q60" s="485" t="s">
        <v>444</v>
      </c>
      <c r="R60" s="484">
        <f>$C$34</f>
        <v>4.65E-2</v>
      </c>
      <c r="S60" s="484">
        <f t="shared" ref="S60:W60" si="11">$C$34</f>
        <v>4.65E-2</v>
      </c>
      <c r="T60" s="484">
        <f t="shared" si="11"/>
        <v>4.65E-2</v>
      </c>
      <c r="U60" s="484">
        <f t="shared" si="11"/>
        <v>4.65E-2</v>
      </c>
      <c r="V60" s="484">
        <f t="shared" si="11"/>
        <v>4.65E-2</v>
      </c>
      <c r="W60" s="484">
        <f t="shared" si="11"/>
        <v>4.65E-2</v>
      </c>
      <c r="X60" s="42"/>
      <c r="Y60" s="485" t="s">
        <v>444</v>
      </c>
      <c r="Z60" s="484">
        <f>$F$34</f>
        <v>5.4593857142857118E-2</v>
      </c>
      <c r="AA60" s="484">
        <f t="shared" ref="AA60:AE60" si="12">$F$34</f>
        <v>5.4593857142857118E-2</v>
      </c>
      <c r="AB60" s="484">
        <f t="shared" si="12"/>
        <v>5.4593857142857118E-2</v>
      </c>
      <c r="AC60" s="484">
        <f t="shared" si="12"/>
        <v>5.4593857142857118E-2</v>
      </c>
      <c r="AD60" s="484">
        <f t="shared" si="12"/>
        <v>5.4593857142857118E-2</v>
      </c>
      <c r="AE60" s="484">
        <f t="shared" si="12"/>
        <v>5.4593857142857118E-2</v>
      </c>
      <c r="AF60" s="507"/>
      <c r="AH60" s="485" t="s">
        <v>444</v>
      </c>
      <c r="AI60" s="482">
        <f t="shared" ref="AI60:AN60" si="13">$AI$59*(1-$I$20)</f>
        <v>0</v>
      </c>
      <c r="AJ60" s="482">
        <f t="shared" si="13"/>
        <v>0</v>
      </c>
      <c r="AK60" s="482">
        <f t="shared" si="13"/>
        <v>0</v>
      </c>
      <c r="AL60" s="482">
        <f t="shared" si="13"/>
        <v>0</v>
      </c>
      <c r="AM60" s="482">
        <f t="shared" si="13"/>
        <v>0</v>
      </c>
      <c r="AN60" s="482">
        <f t="shared" si="13"/>
        <v>0</v>
      </c>
      <c r="AQ60" s="42"/>
      <c r="AR60" s="42"/>
      <c r="AS60" s="42"/>
    </row>
    <row r="61" spans="2:45">
      <c r="B61" s="577" t="s">
        <v>434</v>
      </c>
      <c r="C61" s="594">
        <f>I3</f>
        <v>8.2900000000000001E-2</v>
      </c>
      <c r="D61" s="592"/>
      <c r="E61" s="591"/>
      <c r="F61" s="591"/>
      <c r="J61" s="580" t="s">
        <v>421</v>
      </c>
      <c r="K61" s="607">
        <f>'Plantilla Usuario'!C5</f>
        <v>847191.73100000003</v>
      </c>
      <c r="L61" s="42"/>
      <c r="M61" s="42"/>
      <c r="O61" s="359"/>
      <c r="P61" s="39"/>
      <c r="Q61" s="485" t="s">
        <v>423</v>
      </c>
      <c r="R61" s="482">
        <f t="shared" ref="R61:W61" si="14">R53*R60+R54*R57</f>
        <v>0.10318142263538475</v>
      </c>
      <c r="S61" s="482">
        <f t="shared" si="14"/>
        <v>0.10247046351389021</v>
      </c>
      <c r="T61" s="482">
        <f t="shared" si="14"/>
        <v>0.10181918659626252</v>
      </c>
      <c r="U61" s="482">
        <f t="shared" si="14"/>
        <v>0.10122037948161598</v>
      </c>
      <c r="V61" s="482">
        <f t="shared" si="14"/>
        <v>0.10066794689571211</v>
      </c>
      <c r="W61" s="482">
        <f t="shared" si="14"/>
        <v>0.10063800359675777</v>
      </c>
      <c r="X61" s="42"/>
      <c r="Y61" s="485" t="s">
        <v>423</v>
      </c>
      <c r="Z61" s="482">
        <f t="shared" ref="Z61:AE61" si="15">Z53*Z60+Z54*Z57</f>
        <v>0.11861951787347995</v>
      </c>
      <c r="AA61" s="482">
        <f t="shared" si="15"/>
        <v>0.11758679343183626</v>
      </c>
      <c r="AB61" s="482">
        <f t="shared" si="15"/>
        <v>0.11664076211895491</v>
      </c>
      <c r="AC61" s="482">
        <f t="shared" si="15"/>
        <v>0.1157709473512287</v>
      </c>
      <c r="AD61" s="482">
        <f t="shared" si="15"/>
        <v>0.11496849525999731</v>
      </c>
      <c r="AE61" s="482">
        <f t="shared" si="15"/>
        <v>0.11422587222643067</v>
      </c>
      <c r="AF61" s="507"/>
      <c r="AH61" s="485" t="s">
        <v>423</v>
      </c>
      <c r="AI61" s="482">
        <f t="shared" ref="AI61:AN61" si="16">AI53*AI60+AI54*AI57</f>
        <v>0.12408142263538476</v>
      </c>
      <c r="AJ61" s="482">
        <f t="shared" si="16"/>
        <v>0.10382654495638316</v>
      </c>
      <c r="AK61" s="482">
        <f t="shared" si="16"/>
        <v>9.1470215640366268E-2</v>
      </c>
      <c r="AL61" s="482">
        <f t="shared" si="16"/>
        <v>8.3146131091860614E-2</v>
      </c>
      <c r="AM61" s="482">
        <f t="shared" si="16"/>
        <v>7.7157399416070818E-2</v>
      </c>
      <c r="AN61" s="482">
        <f t="shared" si="16"/>
        <v>7.2642135281792322E-2</v>
      </c>
      <c r="AQ61" s="42"/>
      <c r="AR61" s="42"/>
      <c r="AS61" s="42"/>
    </row>
    <row r="62" spans="2:45">
      <c r="B62" s="577" t="s">
        <v>349</v>
      </c>
      <c r="C62" s="595" t="str">
        <f>J3</f>
        <v>Dólares</v>
      </c>
      <c r="D62" s="592"/>
      <c r="E62" s="591"/>
      <c r="F62" s="591"/>
      <c r="J62"/>
      <c r="K62" s="42"/>
      <c r="L62" s="42"/>
      <c r="M62" s="42"/>
      <c r="O62" s="359"/>
      <c r="P62" s="39"/>
      <c r="U62"/>
      <c r="V62"/>
      <c r="X62" s="42"/>
      <c r="AQ62" s="42"/>
      <c r="AR62" s="399" t="s">
        <v>11</v>
      </c>
      <c r="AS62" s="399" t="s">
        <v>34</v>
      </c>
    </row>
    <row r="63" spans="2:45" ht="24.6">
      <c r="J63"/>
      <c r="K63" s="42"/>
      <c r="L63" s="42"/>
      <c r="M63" s="42"/>
      <c r="O63" s="359"/>
      <c r="P63" s="39"/>
      <c r="U63"/>
      <c r="V63"/>
      <c r="X63" s="42"/>
      <c r="Y63" s="39"/>
      <c r="AQ63" s="400" t="s">
        <v>16</v>
      </c>
      <c r="AR63" s="48">
        <f>IF($I$7="",$I$8,$I$7)</f>
        <v>0</v>
      </c>
      <c r="AS63" s="48">
        <f>(1+$AR$63)*(1+$J$7)-1</f>
        <v>1.1200000000000099E-2</v>
      </c>
    </row>
    <row r="64" spans="2:45" ht="48.6">
      <c r="J64"/>
      <c r="K64" s="42"/>
      <c r="L64" s="42"/>
      <c r="M64" s="42"/>
      <c r="O64" s="359"/>
      <c r="P64" s="39"/>
      <c r="U64"/>
      <c r="V64"/>
      <c r="X64" s="42"/>
      <c r="Y64" s="39"/>
      <c r="AQ64" s="400" t="s">
        <v>47</v>
      </c>
      <c r="AR64" s="48">
        <f>AR63*(1-$AR$50)</f>
        <v>0</v>
      </c>
      <c r="AS64" s="48">
        <f>$AS$63*(1-$I$20)</f>
        <v>7.8960000000000696E-3</v>
      </c>
    </row>
    <row r="65" spans="2:46">
      <c r="B65" s="516" t="s">
        <v>904</v>
      </c>
      <c r="C65" s="516" t="s">
        <v>456</v>
      </c>
      <c r="D65" s="516" t="s">
        <v>457</v>
      </c>
      <c r="E65" s="516" t="s">
        <v>486</v>
      </c>
      <c r="F65" s="516" t="s">
        <v>496</v>
      </c>
      <c r="G65" s="516" t="s">
        <v>497</v>
      </c>
      <c r="H65"/>
      <c r="J65"/>
      <c r="K65" s="42"/>
      <c r="L65" s="42"/>
      <c r="M65" s="42"/>
      <c r="N65" s="42"/>
      <c r="P65" s="359"/>
      <c r="Q65" s="39"/>
      <c r="U65"/>
      <c r="V65"/>
      <c r="Y65" s="42"/>
      <c r="Z65" s="39"/>
      <c r="AR65" s="42"/>
      <c r="AS65" s="42"/>
      <c r="AT65" s="42"/>
    </row>
    <row r="66" spans="2:46" ht="18" customHeight="1">
      <c r="B66" s="515"/>
      <c r="C66" s="515" t="s">
        <v>466</v>
      </c>
      <c r="D66" s="511"/>
      <c r="E66" s="511"/>
      <c r="F66" s="523"/>
      <c r="G66" s="523"/>
      <c r="H66"/>
      <c r="L66" s="42"/>
      <c r="M66" s="42"/>
      <c r="N66" s="42"/>
      <c r="P66" s="359"/>
      <c r="Q66" s="39"/>
      <c r="U66"/>
      <c r="V66"/>
      <c r="Y66" s="42"/>
      <c r="Z66" s="39"/>
      <c r="AR66" s="42"/>
      <c r="AS66" s="399" t="s">
        <v>11</v>
      </c>
      <c r="AT66" s="399" t="s">
        <v>34</v>
      </c>
    </row>
    <row r="67" spans="2:46" ht="48.6">
      <c r="B67" s="512" t="s">
        <v>905</v>
      </c>
      <c r="C67" s="512" t="s">
        <v>464</v>
      </c>
      <c r="D67" s="513">
        <f>C9</f>
        <v>6.6379626541013814E-2</v>
      </c>
      <c r="E67" s="513"/>
      <c r="F67" s="523"/>
      <c r="G67" s="523"/>
      <c r="H67"/>
      <c r="L67" s="42"/>
      <c r="M67" s="42"/>
      <c r="N67" s="42"/>
      <c r="P67" s="359"/>
      <c r="Q67" s="39"/>
      <c r="U67"/>
      <c r="V67"/>
      <c r="Y67" s="42"/>
      <c r="Z67" s="39"/>
      <c r="AR67" s="400" t="s">
        <v>49</v>
      </c>
      <c r="AS67" s="410">
        <f>$AR$54*$AO$48+$AR$64*$AO$47</f>
        <v>6.7807739610517184E-2</v>
      </c>
      <c r="AT67" s="48">
        <f>(1+$AS$67)*(1+$J$7)-1</f>
        <v>7.9767186294155135E-2</v>
      </c>
    </row>
    <row r="68" spans="2:46">
      <c r="B68" s="512" t="s">
        <v>1071</v>
      </c>
      <c r="C68" s="512" t="s">
        <v>465</v>
      </c>
      <c r="D68" s="513">
        <f>C10</f>
        <v>4.58E-2</v>
      </c>
      <c r="E68" s="513"/>
      <c r="F68" s="523"/>
      <c r="G68" s="523"/>
      <c r="H68"/>
      <c r="L68" s="42"/>
      <c r="M68" s="42"/>
      <c r="N68" s="42"/>
      <c r="P68" s="359"/>
      <c r="Q68" s="39"/>
      <c r="U68"/>
      <c r="V68"/>
      <c r="Y68" s="42"/>
      <c r="Z68" s="39"/>
      <c r="AR68" s="42"/>
      <c r="AS68" s="42"/>
      <c r="AT68" s="42"/>
    </row>
    <row r="69" spans="2:46">
      <c r="B69" s="515"/>
      <c r="C69" s="515" t="s">
        <v>467</v>
      </c>
      <c r="D69" s="511"/>
      <c r="E69" s="523"/>
      <c r="F69" s="523"/>
      <c r="G69" s="523"/>
      <c r="H69"/>
      <c r="L69" s="42"/>
      <c r="M69" s="42"/>
      <c r="N69" s="42"/>
      <c r="P69" s="359"/>
      <c r="Q69" s="39"/>
      <c r="U69"/>
      <c r="V69"/>
      <c r="Y69" s="42"/>
      <c r="Z69" s="39"/>
      <c r="AR69" s="39"/>
      <c r="AS69" s="39"/>
      <c r="AT69" s="42"/>
    </row>
    <row r="70" spans="2:46">
      <c r="B70" s="512" t="s">
        <v>1072</v>
      </c>
      <c r="C70" s="512" t="s">
        <v>472</v>
      </c>
      <c r="D70" s="513">
        <f>+C17</f>
        <v>0.18639448485009491</v>
      </c>
      <c r="E70" s="511"/>
      <c r="F70" s="514"/>
      <c r="G70" s="523"/>
      <c r="H70"/>
      <c r="L70" s="42"/>
      <c r="M70" s="42"/>
      <c r="N70" s="42"/>
      <c r="P70" s="359"/>
      <c r="Q70" s="39"/>
      <c r="U70"/>
      <c r="V70"/>
      <c r="Y70" s="42"/>
      <c r="Z70" s="39"/>
      <c r="AR70" s="401" t="s">
        <v>414</v>
      </c>
      <c r="AS70" s="409">
        <f>IF('EE.FF Económicos'!$D$54="Soles",AT67,AS67)</f>
        <v>7.9767186294155135E-2</v>
      </c>
      <c r="AT70" s="42"/>
    </row>
    <row r="71" spans="2:46">
      <c r="B71" s="512" t="s">
        <v>1073</v>
      </c>
      <c r="C71" s="512" t="s">
        <v>28</v>
      </c>
      <c r="D71" s="513">
        <f>1-D70</f>
        <v>0.81360551514990509</v>
      </c>
      <c r="E71" s="511"/>
      <c r="F71" s="523"/>
      <c r="G71" s="523"/>
      <c r="H71"/>
      <c r="L71"/>
      <c r="M71" s="359"/>
      <c r="N71" s="39"/>
      <c r="U71"/>
      <c r="V71" s="42"/>
      <c r="W71" s="39"/>
    </row>
    <row r="72" spans="2:46">
      <c r="B72" s="514"/>
      <c r="C72" s="514" t="s">
        <v>473</v>
      </c>
      <c r="D72" s="513">
        <f>+C20</f>
        <v>0.25</v>
      </c>
      <c r="E72" s="511"/>
      <c r="F72" s="523"/>
      <c r="G72" s="523"/>
      <c r="H72"/>
      <c r="K72" s="42"/>
      <c r="L72"/>
      <c r="M72" s="359"/>
      <c r="N72" s="39"/>
      <c r="U72"/>
      <c r="V72" s="42"/>
      <c r="W72" s="39"/>
    </row>
    <row r="73" spans="2:46" ht="15" thickBot="1">
      <c r="B73" s="754" t="s">
        <v>486</v>
      </c>
      <c r="C73" s="755" t="s">
        <v>456</v>
      </c>
      <c r="D73" s="730" t="s">
        <v>457</v>
      </c>
      <c r="E73" s="511"/>
      <c r="F73" s="523"/>
      <c r="G73" s="523"/>
      <c r="H73"/>
      <c r="K73" s="42"/>
      <c r="L73"/>
      <c r="M73" s="359"/>
      <c r="N73" s="39"/>
      <c r="U73"/>
      <c r="V73" s="42"/>
      <c r="W73" s="39"/>
    </row>
    <row r="74" spans="2:46" ht="15" thickTop="1">
      <c r="B74" s="732"/>
      <c r="C74" s="756" t="s">
        <v>468</v>
      </c>
      <c r="D74" s="749">
        <f>C16</f>
        <v>0</v>
      </c>
      <c r="E74" s="511"/>
      <c r="F74" s="523"/>
      <c r="G74" s="523"/>
      <c r="H74"/>
      <c r="K74" s="42"/>
      <c r="L74"/>
      <c r="M74" s="359"/>
      <c r="N74" s="39"/>
      <c r="U74"/>
      <c r="V74" s="42"/>
      <c r="W74" s="39"/>
    </row>
    <row r="75" spans="2:46" ht="18" customHeight="1">
      <c r="B75" s="739" t="s">
        <v>1066</v>
      </c>
      <c r="C75" s="752" t="s">
        <v>470</v>
      </c>
      <c r="D75" s="753">
        <f>C21</f>
        <v>1.0129742331996445</v>
      </c>
      <c r="E75" s="511"/>
      <c r="F75" s="523"/>
      <c r="G75" s="523"/>
      <c r="H75"/>
      <c r="K75" s="42"/>
      <c r="L75"/>
      <c r="M75" s="359"/>
      <c r="N75" s="39"/>
      <c r="U75"/>
      <c r="V75" s="42"/>
      <c r="W75" s="39"/>
    </row>
    <row r="76" spans="2:46" ht="18" customHeight="1">
      <c r="B76" s="739" t="s">
        <v>906</v>
      </c>
      <c r="C76" s="757" t="s">
        <v>36</v>
      </c>
      <c r="D76" s="751">
        <f>+C24</f>
        <v>0.11304085129546224</v>
      </c>
      <c r="E76" s="511"/>
      <c r="F76" s="523"/>
      <c r="G76" s="523"/>
      <c r="H76"/>
      <c r="K76" s="42"/>
      <c r="L76"/>
      <c r="M76" s="359"/>
      <c r="N76" s="39"/>
      <c r="U76"/>
      <c r="V76" s="42"/>
      <c r="W76" s="39"/>
    </row>
    <row r="77" spans="2:46" ht="18" customHeight="1" thickBot="1">
      <c r="B77" s="729" t="s">
        <v>486</v>
      </c>
      <c r="C77" s="758" t="s">
        <v>456</v>
      </c>
      <c r="D77" s="730" t="s">
        <v>457</v>
      </c>
      <c r="E77" s="511"/>
      <c r="F77" s="523"/>
      <c r="G77" s="523"/>
      <c r="H77"/>
      <c r="K77" s="42"/>
      <c r="L77"/>
      <c r="M77" s="359"/>
      <c r="N77" s="39"/>
      <c r="U77"/>
      <c r="V77" s="42"/>
      <c r="W77" s="39"/>
    </row>
    <row r="78" spans="2:46" ht="18" customHeight="1" thickTop="1">
      <c r="B78" s="732"/>
      <c r="C78" s="759" t="s">
        <v>469</v>
      </c>
      <c r="D78" s="749">
        <f>C20</f>
        <v>0.25</v>
      </c>
      <c r="E78" s="511"/>
      <c r="F78" s="523"/>
      <c r="G78" s="523"/>
      <c r="H78"/>
      <c r="K78" s="42"/>
      <c r="L78"/>
      <c r="M78" s="359"/>
      <c r="N78" s="39"/>
      <c r="U78"/>
      <c r="V78" s="42"/>
      <c r="W78" s="39"/>
    </row>
    <row r="79" spans="2:46" ht="18" customHeight="1">
      <c r="B79" s="739" t="s">
        <v>907</v>
      </c>
      <c r="C79" s="750" t="s">
        <v>471</v>
      </c>
      <c r="D79" s="753">
        <f>C27</f>
        <v>0.86444328818166272</v>
      </c>
      <c r="E79" s="511"/>
      <c r="F79" s="523"/>
      <c r="G79" s="523"/>
      <c r="H79"/>
      <c r="K79" s="42"/>
      <c r="L79"/>
      <c r="M79" s="359"/>
      <c r="N79" s="39"/>
      <c r="U79"/>
      <c r="V79" s="42"/>
      <c r="W79" s="39"/>
    </row>
    <row r="80" spans="2:46" ht="18" customHeight="1">
      <c r="B80" s="739" t="s">
        <v>1074</v>
      </c>
      <c r="C80" s="757" t="s">
        <v>41</v>
      </c>
      <c r="D80" s="751">
        <f>C28</f>
        <v>0.10318142263538475</v>
      </c>
      <c r="E80" s="511"/>
      <c r="F80" s="523"/>
      <c r="G80" s="523"/>
      <c r="H80"/>
      <c r="K80" s="42"/>
      <c r="L80"/>
      <c r="M80" s="359"/>
      <c r="N80" s="39"/>
      <c r="U80"/>
      <c r="V80" s="42"/>
      <c r="W80" s="39"/>
    </row>
    <row r="81" spans="2:23" ht="18" customHeight="1" thickBot="1">
      <c r="B81" s="729" t="s">
        <v>486</v>
      </c>
      <c r="C81" s="758" t="s">
        <v>456</v>
      </c>
      <c r="D81" s="730" t="s">
        <v>457</v>
      </c>
      <c r="E81" s="511"/>
      <c r="F81" s="523"/>
      <c r="G81" s="523"/>
      <c r="H81"/>
      <c r="K81" s="42"/>
      <c r="L81"/>
      <c r="M81" s="359"/>
      <c r="N81" s="39"/>
      <c r="U81"/>
      <c r="V81" s="42"/>
      <c r="W81" s="39"/>
    </row>
    <row r="82" spans="2:23" ht="18" customHeight="1" thickTop="1">
      <c r="B82" s="737"/>
      <c r="C82" s="756" t="s">
        <v>474</v>
      </c>
      <c r="D82" s="749">
        <f>C24</f>
        <v>0.11304085129546224</v>
      </c>
      <c r="E82" s="511"/>
      <c r="F82" s="523"/>
      <c r="G82" s="523"/>
      <c r="H82"/>
      <c r="K82" s="42"/>
      <c r="L82"/>
      <c r="M82" s="359"/>
      <c r="N82" s="39"/>
      <c r="U82"/>
      <c r="V82" s="42"/>
      <c r="W82" s="39"/>
    </row>
    <row r="83" spans="2:23" ht="18" customHeight="1">
      <c r="B83" s="738" t="s">
        <v>1065</v>
      </c>
      <c r="C83" s="752" t="s">
        <v>475</v>
      </c>
      <c r="D83" s="751">
        <f>C32</f>
        <v>1.6199999999999999E-2</v>
      </c>
      <c r="E83" s="511"/>
      <c r="F83" s="523"/>
      <c r="G83" s="523"/>
      <c r="H83"/>
      <c r="K83" s="42"/>
      <c r="L83"/>
      <c r="M83" s="359"/>
      <c r="N83" s="39"/>
      <c r="U83"/>
      <c r="V83" s="42"/>
      <c r="W83" s="39"/>
    </row>
    <row r="84" spans="2:23" ht="18" customHeight="1">
      <c r="B84" s="739" t="s">
        <v>1075</v>
      </c>
      <c r="C84" s="750" t="s">
        <v>473</v>
      </c>
      <c r="D84" s="751">
        <f>C20</f>
        <v>0.25</v>
      </c>
      <c r="E84" s="511"/>
      <c r="F84" s="523"/>
      <c r="G84" s="523"/>
      <c r="H84"/>
      <c r="K84" s="42"/>
      <c r="L84"/>
      <c r="M84" s="359"/>
      <c r="N84" s="39"/>
      <c r="U84"/>
      <c r="V84" s="42"/>
      <c r="W84" s="39"/>
    </row>
    <row r="85" spans="2:23" ht="18" customHeight="1">
      <c r="B85" s="738" t="s">
        <v>1076</v>
      </c>
      <c r="C85" s="752" t="s">
        <v>476</v>
      </c>
      <c r="D85" s="751">
        <f>C33</f>
        <v>6.2E-2</v>
      </c>
      <c r="E85" s="511"/>
      <c r="F85" s="523"/>
      <c r="G85" s="523"/>
      <c r="H85"/>
      <c r="K85" s="42"/>
      <c r="L85"/>
      <c r="M85" s="359"/>
      <c r="N85" s="39"/>
      <c r="U85"/>
      <c r="V85" s="42"/>
      <c r="W85" s="39"/>
    </row>
    <row r="86" spans="2:23" ht="18" customHeight="1">
      <c r="B86" s="739" t="s">
        <v>1077</v>
      </c>
      <c r="C86" s="757" t="s">
        <v>477</v>
      </c>
      <c r="D86" s="751">
        <f>C34</f>
        <v>4.65E-2</v>
      </c>
      <c r="E86" s="511"/>
      <c r="F86" s="523"/>
      <c r="G86" s="523"/>
      <c r="H86"/>
      <c r="K86" s="42"/>
      <c r="L86"/>
      <c r="M86" s="359"/>
      <c r="N86" s="39"/>
      <c r="U86"/>
      <c r="V86" s="42"/>
      <c r="W86" s="39"/>
    </row>
    <row r="87" spans="2:23" ht="18" customHeight="1" thickBot="1">
      <c r="B87" s="729" t="s">
        <v>486</v>
      </c>
      <c r="C87" s="758" t="s">
        <v>456</v>
      </c>
      <c r="D87" s="730" t="s">
        <v>457</v>
      </c>
      <c r="E87" s="511"/>
      <c r="F87" s="523"/>
      <c r="G87" s="523"/>
      <c r="H87"/>
      <c r="K87" s="42"/>
      <c r="L87"/>
      <c r="M87" s="359"/>
      <c r="N87" s="39"/>
      <c r="U87"/>
      <c r="V87" s="42"/>
      <c r="W87" s="39"/>
    </row>
    <row r="88" spans="2:23" ht="18" customHeight="1" thickTop="1">
      <c r="B88" s="732"/>
      <c r="C88" s="759" t="s">
        <v>478</v>
      </c>
      <c r="D88" s="749">
        <f>C30</f>
        <v>0</v>
      </c>
      <c r="E88" s="511"/>
      <c r="F88" s="523"/>
      <c r="G88" s="523"/>
      <c r="H88"/>
      <c r="K88" s="42"/>
      <c r="L88"/>
      <c r="M88" s="359"/>
      <c r="N88" s="39"/>
      <c r="U88"/>
      <c r="V88" s="42"/>
      <c r="W88" s="39"/>
    </row>
    <row r="89" spans="2:23" ht="18" customHeight="1">
      <c r="B89" s="739" t="s">
        <v>908</v>
      </c>
      <c r="C89" s="750" t="s">
        <v>472</v>
      </c>
      <c r="D89" s="751">
        <f>C17</f>
        <v>0.18639448485009491</v>
      </c>
      <c r="E89" s="511"/>
      <c r="F89" s="523"/>
      <c r="G89" s="523"/>
      <c r="H89"/>
      <c r="K89" s="42"/>
      <c r="L89"/>
      <c r="M89" s="359"/>
      <c r="N89" s="39"/>
      <c r="U89"/>
      <c r="V89" s="42"/>
      <c r="W89" s="39"/>
    </row>
    <row r="90" spans="2:23" ht="18" customHeight="1">
      <c r="B90" s="739" t="s">
        <v>1078</v>
      </c>
      <c r="C90" s="750" t="s">
        <v>28</v>
      </c>
      <c r="D90" s="751">
        <f>C18</f>
        <v>0.81360551514990509</v>
      </c>
      <c r="E90" s="511"/>
      <c r="F90" s="523"/>
      <c r="G90" s="523"/>
      <c r="H90"/>
      <c r="K90" s="42"/>
      <c r="L90"/>
      <c r="M90" s="359"/>
      <c r="N90" s="39"/>
      <c r="U90"/>
      <c r="V90" s="42"/>
      <c r="W90" s="39"/>
    </row>
    <row r="91" spans="2:23" ht="18" customHeight="1">
      <c r="B91" s="739" t="s">
        <v>1079</v>
      </c>
      <c r="C91" s="750" t="s">
        <v>36</v>
      </c>
      <c r="D91" s="751">
        <f>C24</f>
        <v>0.11304085129546224</v>
      </c>
      <c r="E91" s="511"/>
      <c r="F91" s="523"/>
      <c r="G91" s="523"/>
      <c r="H91"/>
      <c r="K91" s="42"/>
      <c r="L91"/>
      <c r="M91" s="359"/>
      <c r="N91" s="39"/>
      <c r="U91"/>
      <c r="V91" s="42"/>
      <c r="W91" s="39"/>
    </row>
    <row r="92" spans="2:23" ht="18" customHeight="1">
      <c r="B92" s="739" t="s">
        <v>1080</v>
      </c>
      <c r="C92" s="750" t="s">
        <v>477</v>
      </c>
      <c r="D92" s="751">
        <f>C34</f>
        <v>4.65E-2</v>
      </c>
      <c r="E92" s="511"/>
      <c r="F92" s="523"/>
      <c r="G92" s="523"/>
      <c r="H92"/>
      <c r="K92" s="42"/>
      <c r="L92"/>
      <c r="M92" s="359"/>
      <c r="N92" s="39"/>
      <c r="U92"/>
      <c r="V92" s="42"/>
      <c r="W92" s="39"/>
    </row>
    <row r="93" spans="2:23" ht="18" customHeight="1">
      <c r="B93" s="739" t="s">
        <v>1081</v>
      </c>
      <c r="C93" s="757" t="s">
        <v>49</v>
      </c>
      <c r="D93" s="751">
        <f>C37</f>
        <v>0.10063800359675777</v>
      </c>
      <c r="E93" s="511"/>
      <c r="F93" s="523"/>
      <c r="G93" s="523"/>
      <c r="H93"/>
      <c r="K93" s="42"/>
      <c r="L93"/>
      <c r="M93" s="359"/>
      <c r="N93" s="39"/>
      <c r="U93"/>
      <c r="V93" s="42"/>
      <c r="W93" s="39"/>
    </row>
    <row r="94" spans="2:23" ht="18" customHeight="1" thickBot="1">
      <c r="B94" s="724" t="s">
        <v>486</v>
      </c>
      <c r="C94" s="760" t="s">
        <v>456</v>
      </c>
      <c r="D94" s="730" t="s">
        <v>457</v>
      </c>
      <c r="E94" s="524"/>
      <c r="F94" s="523"/>
      <c r="G94" s="523"/>
      <c r="H94"/>
      <c r="K94" s="42"/>
      <c r="L94"/>
      <c r="M94" s="359"/>
      <c r="N94" s="39"/>
      <c r="O94" s="452" t="s">
        <v>445</v>
      </c>
      <c r="U94"/>
      <c r="V94" s="42"/>
      <c r="W94" s="39"/>
    </row>
    <row r="95" spans="2:23" ht="18" customHeight="1" thickTop="1">
      <c r="B95" s="737"/>
      <c r="C95" s="761" t="s">
        <v>479</v>
      </c>
      <c r="D95" s="733">
        <f>C37</f>
        <v>0.10063800359675777</v>
      </c>
      <c r="E95" s="517"/>
      <c r="F95" s="523"/>
      <c r="G95" s="523"/>
      <c r="H95"/>
      <c r="K95" s="42"/>
      <c r="L95"/>
      <c r="M95" s="359"/>
      <c r="N95" s="39"/>
      <c r="U95"/>
      <c r="V95" s="42"/>
      <c r="W95" s="39"/>
    </row>
    <row r="96" spans="2:23" ht="18" customHeight="1">
      <c r="B96" s="734" t="s">
        <v>909</v>
      </c>
      <c r="C96" s="735" t="s">
        <v>9</v>
      </c>
      <c r="D96" s="747" t="str">
        <f>F6</f>
        <v>Peru</v>
      </c>
      <c r="E96" s="517"/>
      <c r="F96" s="523"/>
      <c r="G96" s="523"/>
      <c r="H96"/>
      <c r="K96" s="42"/>
      <c r="L96"/>
      <c r="M96" s="359"/>
      <c r="N96" s="39"/>
      <c r="O96" s="486"/>
      <c r="P96" s="487" t="s">
        <v>446</v>
      </c>
      <c r="Q96" s="488" t="s">
        <v>447</v>
      </c>
      <c r="R96" s="489" t="s">
        <v>430</v>
      </c>
      <c r="U96"/>
      <c r="V96" s="42"/>
      <c r="W96" s="39"/>
    </row>
    <row r="97" spans="2:23" ht="18" customHeight="1">
      <c r="B97" s="734" t="s">
        <v>1082</v>
      </c>
      <c r="C97" s="735" t="s">
        <v>15</v>
      </c>
      <c r="D97" s="692">
        <f>F7</f>
        <v>1.12E-2</v>
      </c>
      <c r="E97" s="517"/>
      <c r="F97" s="523"/>
      <c r="G97" s="523"/>
      <c r="H97"/>
      <c r="K97" s="42"/>
      <c r="L97"/>
      <c r="M97" s="359"/>
      <c r="N97" s="39"/>
      <c r="O97" s="457" t="s">
        <v>441</v>
      </c>
      <c r="P97" s="490">
        <f>$C$17</f>
        <v>0.18639448485009491</v>
      </c>
      <c r="Q97" s="490">
        <f>$F$17</f>
        <v>0.18639448485009491</v>
      </c>
      <c r="R97" s="490">
        <f>$I$17</f>
        <v>0.61509999999999998</v>
      </c>
      <c r="U97"/>
      <c r="V97" s="42"/>
      <c r="W97" s="39"/>
    </row>
    <row r="98" spans="2:23" ht="18" customHeight="1">
      <c r="B98" s="734" t="s">
        <v>1083</v>
      </c>
      <c r="C98" s="735" t="s">
        <v>480</v>
      </c>
      <c r="D98" s="692">
        <f>F9</f>
        <v>1.54380952380952E-2</v>
      </c>
      <c r="E98" s="517"/>
      <c r="F98" s="523"/>
      <c r="G98" s="523"/>
      <c r="H98"/>
      <c r="K98" s="42"/>
      <c r="L98"/>
      <c r="M98" s="359"/>
      <c r="N98" s="39"/>
      <c r="O98" s="457" t="s">
        <v>442</v>
      </c>
      <c r="P98" s="490">
        <f>1-P97</f>
        <v>0.81360551514990509</v>
      </c>
      <c r="Q98" s="490">
        <f>1-Q97</f>
        <v>0.81360551514990509</v>
      </c>
      <c r="R98" s="490">
        <f>1-R97</f>
        <v>0.38490000000000002</v>
      </c>
      <c r="U98"/>
      <c r="V98" s="42"/>
      <c r="W98" s="39"/>
    </row>
    <row r="99" spans="2:23" ht="18" customHeight="1">
      <c r="B99" s="736" t="s">
        <v>1084</v>
      </c>
      <c r="C99" s="748" t="s">
        <v>481</v>
      </c>
      <c r="D99" s="522">
        <f>F20</f>
        <v>0.29499999999999998</v>
      </c>
      <c r="E99" s="517"/>
      <c r="F99" s="523"/>
      <c r="G99" s="523"/>
      <c r="H99"/>
      <c r="K99" s="42"/>
      <c r="L99"/>
      <c r="M99" s="359"/>
      <c r="N99" s="39"/>
      <c r="O99" s="467" t="s">
        <v>448</v>
      </c>
      <c r="U99"/>
      <c r="V99" s="42"/>
      <c r="W99" s="39"/>
    </row>
    <row r="100" spans="2:23" ht="18" customHeight="1">
      <c r="B100" s="596"/>
      <c r="C100" s="762" t="s">
        <v>456</v>
      </c>
      <c r="D100" s="743" t="s">
        <v>457</v>
      </c>
      <c r="E100" s="517"/>
      <c r="F100" s="523"/>
      <c r="G100" s="523"/>
      <c r="H100"/>
      <c r="K100" s="42"/>
      <c r="L100"/>
      <c r="M100" s="359"/>
      <c r="N100" s="39"/>
      <c r="O100" s="467"/>
      <c r="U100"/>
      <c r="V100" s="42"/>
      <c r="W100" s="39"/>
    </row>
    <row r="101" spans="2:23" ht="18" customHeight="1">
      <c r="B101" s="515"/>
      <c r="C101" s="763" t="s">
        <v>482</v>
      </c>
      <c r="D101" s="733">
        <f>C43</f>
        <v>0</v>
      </c>
      <c r="E101" s="517"/>
      <c r="F101" s="523"/>
      <c r="G101" s="523"/>
      <c r="H101"/>
      <c r="K101" s="42"/>
      <c r="L101"/>
      <c r="M101" s="359"/>
      <c r="N101" s="39"/>
      <c r="O101" s="467" t="s">
        <v>449</v>
      </c>
      <c r="U101"/>
      <c r="V101" s="42"/>
      <c r="W101" s="39"/>
    </row>
    <row r="102" spans="2:23" ht="18" customHeight="1">
      <c r="B102" s="596" t="s">
        <v>910</v>
      </c>
      <c r="C102" s="735" t="s">
        <v>472</v>
      </c>
      <c r="D102" s="692">
        <f>F17</f>
        <v>0.18639448485009491</v>
      </c>
      <c r="E102" s="517"/>
      <c r="F102" s="523"/>
      <c r="G102" s="523"/>
      <c r="H102"/>
      <c r="K102" s="42"/>
      <c r="L102"/>
      <c r="M102" s="359"/>
      <c r="N102" s="39"/>
      <c r="U102"/>
      <c r="V102" s="42"/>
      <c r="W102" s="39"/>
    </row>
    <row r="103" spans="2:23" ht="18" customHeight="1">
      <c r="B103" s="596" t="s">
        <v>1085</v>
      </c>
      <c r="C103" s="748" t="s">
        <v>28</v>
      </c>
      <c r="D103" s="522">
        <f>F18</f>
        <v>0.81360551514990509</v>
      </c>
      <c r="E103" s="517"/>
      <c r="F103" s="523"/>
      <c r="G103" s="523"/>
      <c r="H103"/>
      <c r="K103" s="42"/>
      <c r="L103"/>
      <c r="M103" s="359"/>
      <c r="N103" s="39"/>
      <c r="U103"/>
      <c r="V103" s="42"/>
      <c r="W103" s="39"/>
    </row>
    <row r="104" spans="2:23" ht="18" customHeight="1" thickBot="1">
      <c r="B104" s="741" t="s">
        <v>486</v>
      </c>
      <c r="C104" s="764" t="s">
        <v>456</v>
      </c>
      <c r="D104" s="742" t="s">
        <v>457</v>
      </c>
      <c r="E104" s="517"/>
      <c r="F104" s="523"/>
      <c r="G104" s="523"/>
      <c r="H104"/>
      <c r="K104" s="42"/>
      <c r="L104"/>
      <c r="M104" s="359"/>
      <c r="N104" s="39"/>
      <c r="U104"/>
      <c r="V104" s="42"/>
      <c r="W104" s="39"/>
    </row>
    <row r="105" spans="2:23" ht="18" customHeight="1" thickTop="1">
      <c r="B105" s="737"/>
      <c r="C105" s="761" t="s">
        <v>483</v>
      </c>
      <c r="D105" s="733">
        <f>C47</f>
        <v>0</v>
      </c>
      <c r="E105" s="517"/>
      <c r="F105" s="523"/>
      <c r="G105" s="523"/>
      <c r="H105"/>
      <c r="K105" s="42"/>
      <c r="L105"/>
      <c r="M105" s="359"/>
      <c r="N105" s="39"/>
      <c r="O105" s="452" t="s">
        <v>450</v>
      </c>
      <c r="U105"/>
      <c r="V105" s="42"/>
      <c r="W105" s="39"/>
    </row>
    <row r="106" spans="2:23" ht="18" customHeight="1">
      <c r="B106" s="734" t="s">
        <v>914</v>
      </c>
      <c r="C106" s="735" t="s">
        <v>464</v>
      </c>
      <c r="D106" s="692">
        <f>C9</f>
        <v>6.6379626541013814E-2</v>
      </c>
      <c r="E106" s="517"/>
      <c r="F106" s="523"/>
      <c r="G106" s="523"/>
      <c r="H106"/>
      <c r="K106" s="42"/>
      <c r="L106"/>
      <c r="M106" s="359"/>
      <c r="N106" s="39"/>
      <c r="U106"/>
      <c r="V106" s="42"/>
      <c r="W106" s="39"/>
    </row>
    <row r="107" spans="2:23" ht="18" customHeight="1">
      <c r="B107" s="734" t="s">
        <v>1086</v>
      </c>
      <c r="C107" s="735" t="s">
        <v>465</v>
      </c>
      <c r="D107" s="692">
        <f>C10</f>
        <v>4.58E-2</v>
      </c>
      <c r="E107" s="517"/>
      <c r="F107" s="523"/>
      <c r="G107" s="523"/>
      <c r="H107"/>
      <c r="K107" s="42"/>
      <c r="L107"/>
      <c r="M107" s="359"/>
      <c r="N107" s="39"/>
      <c r="O107" s="92"/>
      <c r="U107"/>
      <c r="V107" s="42"/>
      <c r="W107" s="39"/>
    </row>
    <row r="108" spans="2:23" ht="18" customHeight="1">
      <c r="B108" s="734" t="s">
        <v>1087</v>
      </c>
      <c r="C108" s="735" t="s">
        <v>480</v>
      </c>
      <c r="D108" s="692">
        <f>D98</f>
        <v>1.54380952380952E-2</v>
      </c>
      <c r="E108" s="517"/>
      <c r="F108" s="523"/>
      <c r="G108" s="523"/>
      <c r="H108"/>
      <c r="K108" s="42"/>
      <c r="L108"/>
      <c r="M108" s="359"/>
      <c r="N108" s="39"/>
      <c r="O108" s="92"/>
      <c r="U108"/>
      <c r="V108" s="42"/>
      <c r="W108" s="39"/>
    </row>
    <row r="109" spans="2:23" ht="18" customHeight="1" thickBot="1">
      <c r="B109" s="741" t="s">
        <v>486</v>
      </c>
      <c r="C109" s="764" t="s">
        <v>456</v>
      </c>
      <c r="D109" s="743" t="s">
        <v>457</v>
      </c>
      <c r="E109" s="693"/>
      <c r="F109" s="523"/>
      <c r="G109" s="523"/>
      <c r="H109"/>
      <c r="K109" s="42"/>
      <c r="L109"/>
      <c r="M109" s="359"/>
      <c r="N109" s="39"/>
      <c r="O109" s="92"/>
      <c r="U109"/>
      <c r="V109" s="42"/>
      <c r="W109" s="39"/>
    </row>
    <row r="110" spans="2:23" ht="18" customHeight="1" thickTop="1">
      <c r="B110" s="737"/>
      <c r="C110" s="761" t="s">
        <v>468</v>
      </c>
      <c r="D110" s="733">
        <f>C52</f>
        <v>0.10318142263538475</v>
      </c>
      <c r="E110" s="693"/>
      <c r="F110" s="523"/>
      <c r="G110" s="523"/>
      <c r="H110"/>
      <c r="K110" s="42"/>
      <c r="L110"/>
      <c r="M110" s="359"/>
      <c r="N110" s="39"/>
      <c r="U110"/>
      <c r="V110" s="42"/>
      <c r="W110" s="39"/>
    </row>
    <row r="111" spans="2:23" ht="18" customHeight="1">
      <c r="B111" s="734" t="s">
        <v>913</v>
      </c>
      <c r="C111" s="735" t="s">
        <v>470</v>
      </c>
      <c r="D111" s="744">
        <f>F21</f>
        <v>1.0040623764985657</v>
      </c>
      <c r="E111" s="693"/>
      <c r="F111" s="523"/>
      <c r="G111" s="523"/>
      <c r="H111"/>
      <c r="K111" s="42"/>
      <c r="L111"/>
      <c r="M111" s="359"/>
      <c r="N111" s="39"/>
      <c r="U111"/>
      <c r="V111" s="42"/>
      <c r="W111" s="39"/>
    </row>
    <row r="112" spans="2:23" ht="18" customHeight="1">
      <c r="B112" s="736" t="s">
        <v>1088</v>
      </c>
      <c r="C112" s="765" t="s">
        <v>36</v>
      </c>
      <c r="D112" s="522">
        <f>F24</f>
        <v>0.12788738081395279</v>
      </c>
      <c r="E112" s="693"/>
      <c r="F112" s="523"/>
      <c r="G112" s="523"/>
      <c r="H112"/>
      <c r="K112" s="42"/>
      <c r="L112"/>
      <c r="M112" s="359"/>
      <c r="N112" s="39"/>
      <c r="U112"/>
      <c r="V112" s="42"/>
      <c r="W112" s="39"/>
    </row>
    <row r="113" spans="2:23" ht="18" customHeight="1">
      <c r="B113" s="596"/>
      <c r="C113" s="766" t="s">
        <v>456</v>
      </c>
      <c r="D113" s="745" t="s">
        <v>457</v>
      </c>
      <c r="E113" s="517"/>
      <c r="F113" s="523"/>
      <c r="G113" s="523"/>
      <c r="H113"/>
      <c r="K113" s="42"/>
      <c r="L113"/>
      <c r="M113" s="359"/>
      <c r="N113" s="39"/>
      <c r="U113"/>
      <c r="V113" s="42"/>
      <c r="W113" s="39"/>
    </row>
    <row r="114" spans="2:23" ht="18" customHeight="1">
      <c r="B114" s="515"/>
      <c r="C114" s="763" t="s">
        <v>469</v>
      </c>
      <c r="D114" s="733">
        <f>C56</f>
        <v>0</v>
      </c>
      <c r="E114" s="517"/>
      <c r="F114" s="523"/>
      <c r="G114" s="523"/>
      <c r="H114"/>
      <c r="K114" s="42"/>
      <c r="L114"/>
      <c r="M114" s="359"/>
      <c r="N114" s="39"/>
      <c r="U114"/>
      <c r="V114" s="42"/>
      <c r="W114" s="39"/>
    </row>
    <row r="115" spans="2:23" ht="18" customHeight="1">
      <c r="B115" s="596" t="s">
        <v>912</v>
      </c>
      <c r="C115" s="735" t="s">
        <v>471</v>
      </c>
      <c r="D115" s="744">
        <f>F27</f>
        <v>0.86444328818166261</v>
      </c>
      <c r="E115" s="517"/>
      <c r="F115" s="523"/>
      <c r="G115" s="523"/>
      <c r="H115"/>
      <c r="K115" s="42"/>
      <c r="L115"/>
      <c r="M115" s="359"/>
      <c r="N115" s="39"/>
      <c r="U115"/>
      <c r="V115" s="42"/>
      <c r="W115" s="39"/>
    </row>
    <row r="116" spans="2:23" ht="18" customHeight="1">
      <c r="B116" s="596" t="s">
        <v>1089</v>
      </c>
      <c r="C116" s="765" t="s">
        <v>41</v>
      </c>
      <c r="D116" s="746">
        <f>F28</f>
        <v>0.11861951787347993</v>
      </c>
      <c r="E116" s="517"/>
      <c r="F116" s="523"/>
      <c r="G116" s="523"/>
      <c r="H116"/>
      <c r="K116" s="42"/>
      <c r="L116"/>
      <c r="M116" s="359"/>
      <c r="N116" s="39"/>
      <c r="U116"/>
      <c r="V116" s="42"/>
      <c r="W116" s="39"/>
    </row>
    <row r="117" spans="2:23" ht="18" customHeight="1" thickBot="1">
      <c r="B117" s="729" t="s">
        <v>486</v>
      </c>
      <c r="C117" s="758" t="s">
        <v>456</v>
      </c>
      <c r="D117" s="731" t="s">
        <v>457</v>
      </c>
      <c r="E117" s="693"/>
      <c r="F117" s="523"/>
      <c r="G117" s="523"/>
      <c r="H117"/>
      <c r="K117" s="42"/>
      <c r="L117"/>
      <c r="M117" s="359"/>
      <c r="N117" s="39"/>
      <c r="U117"/>
      <c r="V117" s="42"/>
      <c r="W117" s="39"/>
    </row>
    <row r="118" spans="2:23" ht="18" customHeight="1" thickTop="1">
      <c r="B118" s="737"/>
      <c r="C118" s="767" t="s">
        <v>474</v>
      </c>
      <c r="D118" s="733">
        <f>C60</f>
        <v>0</v>
      </c>
      <c r="E118" s="693"/>
      <c r="F118" s="523"/>
      <c r="G118" s="523"/>
      <c r="H118"/>
      <c r="K118" s="42"/>
      <c r="L118"/>
      <c r="M118" s="359"/>
      <c r="N118" s="39"/>
      <c r="U118"/>
      <c r="V118" s="42"/>
      <c r="W118" s="39"/>
    </row>
    <row r="119" spans="2:23" ht="18" customHeight="1">
      <c r="B119" s="738" t="s">
        <v>1062</v>
      </c>
      <c r="C119" s="735" t="s">
        <v>487</v>
      </c>
      <c r="D119" s="692">
        <f>C33</f>
        <v>6.2E-2</v>
      </c>
      <c r="E119" s="693"/>
      <c r="F119" s="523"/>
      <c r="G119" s="523"/>
      <c r="H119"/>
      <c r="K119" s="42"/>
      <c r="L119"/>
      <c r="M119" s="359"/>
      <c r="N119" s="39"/>
      <c r="U119"/>
      <c r="V119" s="42"/>
      <c r="W119" s="39"/>
    </row>
    <row r="120" spans="2:23" ht="18" customHeight="1">
      <c r="B120" s="739" t="s">
        <v>1090</v>
      </c>
      <c r="C120" s="735" t="s">
        <v>480</v>
      </c>
      <c r="D120" s="692">
        <f>F9</f>
        <v>1.54380952380952E-2</v>
      </c>
      <c r="E120" s="693"/>
      <c r="F120" s="523"/>
      <c r="G120" s="523"/>
      <c r="H120"/>
      <c r="K120" s="42"/>
      <c r="L120"/>
      <c r="M120" s="359"/>
      <c r="N120" s="39"/>
      <c r="U120"/>
      <c r="V120" s="42"/>
      <c r="W120" s="39"/>
    </row>
    <row r="121" spans="2:23" ht="18" customHeight="1">
      <c r="B121" s="738" t="s">
        <v>1091</v>
      </c>
      <c r="C121" s="735" t="s">
        <v>476</v>
      </c>
      <c r="D121" s="692">
        <f>F33</f>
        <v>7.7438095238095195E-2</v>
      </c>
      <c r="E121" s="693"/>
      <c r="F121" s="523"/>
      <c r="G121" s="523"/>
      <c r="H121"/>
      <c r="K121" s="42"/>
      <c r="L121"/>
      <c r="M121" s="359"/>
      <c r="N121" s="39"/>
      <c r="U121"/>
      <c r="V121" s="42"/>
      <c r="W121" s="39"/>
    </row>
    <row r="122" spans="2:23" ht="18" customHeight="1">
      <c r="B122" s="740" t="s">
        <v>1092</v>
      </c>
      <c r="C122" s="765" t="s">
        <v>477</v>
      </c>
      <c r="D122" s="522">
        <f>F34</f>
        <v>5.4593857142857118E-2</v>
      </c>
      <c r="E122" s="693"/>
      <c r="F122" s="523"/>
      <c r="G122" s="523"/>
      <c r="H122"/>
      <c r="K122" s="42"/>
      <c r="L122"/>
      <c r="M122" s="359"/>
      <c r="N122" s="39"/>
      <c r="U122"/>
      <c r="V122" s="42"/>
      <c r="W122" s="39"/>
    </row>
    <row r="123" spans="2:23" ht="18" customHeight="1" thickBot="1">
      <c r="B123" s="729" t="s">
        <v>486</v>
      </c>
      <c r="C123" s="758" t="s">
        <v>456</v>
      </c>
      <c r="D123" s="731" t="s">
        <v>457</v>
      </c>
      <c r="E123" s="693"/>
      <c r="F123" s="523"/>
      <c r="G123" s="523"/>
      <c r="H123" s="511" t="s">
        <v>456</v>
      </c>
      <c r="I123" s="511" t="s">
        <v>457</v>
      </c>
      <c r="J123" s="511" t="s">
        <v>486</v>
      </c>
      <c r="K123" s="42"/>
      <c r="L123"/>
      <c r="M123" s="359"/>
      <c r="N123" s="39"/>
      <c r="U123"/>
      <c r="V123" s="42"/>
      <c r="W123" s="39"/>
    </row>
    <row r="124" spans="2:23" ht="18" customHeight="1" thickTop="1">
      <c r="B124" s="732"/>
      <c r="C124" s="763" t="s">
        <v>478</v>
      </c>
      <c r="D124" s="733" t="str">
        <f>C66</f>
        <v>Parámetros del cálculo</v>
      </c>
      <c r="E124" s="693"/>
      <c r="F124" s="523"/>
      <c r="G124" s="523"/>
      <c r="H124" s="700"/>
      <c r="I124" s="701" t="s">
        <v>1069</v>
      </c>
      <c r="J124" s="701" t="s">
        <v>1070</v>
      </c>
      <c r="K124" s="42"/>
      <c r="L124"/>
      <c r="M124" s="359"/>
      <c r="N124" s="39"/>
      <c r="U124"/>
      <c r="V124" s="42"/>
      <c r="W124" s="39"/>
    </row>
    <row r="125" spans="2:23" ht="18" customHeight="1">
      <c r="B125" s="734" t="s">
        <v>911</v>
      </c>
      <c r="C125" s="735" t="s">
        <v>472</v>
      </c>
      <c r="D125" s="692">
        <f>F17</f>
        <v>0.18639448485009491</v>
      </c>
      <c r="E125" s="693"/>
      <c r="F125" s="523"/>
      <c r="G125" s="523"/>
      <c r="H125" s="519" t="s">
        <v>478</v>
      </c>
      <c r="I125" s="522"/>
      <c r="K125" s="42"/>
      <c r="L125"/>
      <c r="M125" s="359"/>
      <c r="N125" s="39"/>
      <c r="U125"/>
      <c r="V125" s="42"/>
      <c r="W125" s="39"/>
    </row>
    <row r="126" spans="2:23" ht="18" customHeight="1">
      <c r="B126" s="734" t="s">
        <v>1093</v>
      </c>
      <c r="C126" s="735" t="s">
        <v>28</v>
      </c>
      <c r="D126" s="692">
        <f>F18</f>
        <v>0.81360551514990509</v>
      </c>
      <c r="E126" s="693"/>
      <c r="F126" s="523"/>
      <c r="G126" s="523"/>
      <c r="H126" s="518" t="s">
        <v>472</v>
      </c>
      <c r="I126" s="522">
        <f>C17</f>
        <v>0.18639448485009491</v>
      </c>
      <c r="J126" s="522">
        <f>F17</f>
        <v>0.18639448485009491</v>
      </c>
      <c r="K126" s="42"/>
      <c r="L126"/>
      <c r="M126" s="359"/>
      <c r="N126" s="39"/>
      <c r="U126"/>
      <c r="V126" s="42"/>
      <c r="W126" s="39"/>
    </row>
    <row r="127" spans="2:23" ht="18" customHeight="1">
      <c r="B127" s="734" t="s">
        <v>1094</v>
      </c>
      <c r="C127" s="735" t="s">
        <v>36</v>
      </c>
      <c r="D127" s="692">
        <f>D112</f>
        <v>0.12788738081395279</v>
      </c>
      <c r="E127" s="693"/>
      <c r="F127" s="523"/>
      <c r="G127" s="523"/>
      <c r="H127" s="518" t="s">
        <v>28</v>
      </c>
      <c r="I127" s="522">
        <f>C18</f>
        <v>0.81360551514990509</v>
      </c>
      <c r="J127" s="522">
        <f>F18</f>
        <v>0.81360551514990509</v>
      </c>
      <c r="K127" s="42"/>
      <c r="L127"/>
      <c r="M127" s="359"/>
      <c r="N127" s="39"/>
      <c r="U127"/>
      <c r="V127" s="42"/>
      <c r="W127" s="39"/>
    </row>
    <row r="128" spans="2:23" ht="18" customHeight="1">
      <c r="B128" s="734" t="s">
        <v>1095</v>
      </c>
      <c r="C128" s="735" t="s">
        <v>477</v>
      </c>
      <c r="D128" s="692">
        <f>D122</f>
        <v>5.4593857142857118E-2</v>
      </c>
      <c r="E128" s="693"/>
      <c r="F128" s="523"/>
      <c r="G128" s="523"/>
      <c r="H128" s="518" t="s">
        <v>36</v>
      </c>
      <c r="I128" s="522">
        <f>C24</f>
        <v>0.11304085129546224</v>
      </c>
      <c r="J128" s="522">
        <f>D112</f>
        <v>0.12788738081395279</v>
      </c>
      <c r="K128" s="42"/>
      <c r="L128"/>
      <c r="M128" s="359"/>
      <c r="N128" s="39"/>
      <c r="U128"/>
      <c r="V128" s="42"/>
      <c r="W128" s="39"/>
    </row>
    <row r="129" spans="2:23" ht="18" customHeight="1">
      <c r="B129" s="736" t="s">
        <v>1096</v>
      </c>
      <c r="C129" s="765" t="s">
        <v>49</v>
      </c>
      <c r="D129" s="522">
        <f>F37</f>
        <v>0.11422587222643067</v>
      </c>
      <c r="E129" s="693"/>
      <c r="F129" s="523"/>
      <c r="G129" s="523"/>
      <c r="H129" s="691" t="s">
        <v>477</v>
      </c>
      <c r="I129" s="522">
        <f>C34</f>
        <v>4.65E-2</v>
      </c>
      <c r="J129" s="692">
        <f>D122</f>
        <v>5.4593857142857118E-2</v>
      </c>
      <c r="K129" s="42"/>
      <c r="L129"/>
      <c r="M129" s="359"/>
      <c r="N129" s="39"/>
      <c r="U129"/>
      <c r="V129" s="42"/>
      <c r="W129" s="39"/>
    </row>
    <row r="130" spans="2:23" ht="18" customHeight="1" thickBot="1">
      <c r="B130" s="724" t="s">
        <v>496</v>
      </c>
      <c r="C130" s="760" t="s">
        <v>456</v>
      </c>
      <c r="D130" s="730" t="s">
        <v>457</v>
      </c>
      <c r="E130" s="725" t="s">
        <v>486</v>
      </c>
      <c r="F130" s="523"/>
      <c r="G130" s="523"/>
      <c r="H130" s="694" t="s">
        <v>49</v>
      </c>
      <c r="I130" s="522">
        <f>C37</f>
        <v>0.10063800359675777</v>
      </c>
      <c r="J130" s="522">
        <f>F37</f>
        <v>0.11422587222643067</v>
      </c>
      <c r="K130" s="42"/>
      <c r="L130"/>
      <c r="M130" s="359"/>
      <c r="N130" s="39"/>
      <c r="U130"/>
      <c r="V130" s="42"/>
      <c r="W130" s="39"/>
    </row>
    <row r="131" spans="2:23" ht="18" customHeight="1" thickTop="1">
      <c r="B131" s="726"/>
      <c r="C131" s="768" t="s">
        <v>490</v>
      </c>
      <c r="D131" s="709" t="str">
        <f>C73</f>
        <v>Columna1</v>
      </c>
      <c r="E131" s="710"/>
      <c r="F131" s="523"/>
      <c r="G131" s="523"/>
      <c r="H131"/>
      <c r="K131" s="42"/>
      <c r="L131"/>
      <c r="M131" s="359"/>
      <c r="N131" s="39"/>
      <c r="U131"/>
      <c r="V131" s="42"/>
      <c r="W131" s="39"/>
    </row>
    <row r="132" spans="2:23" ht="18" customHeight="1">
      <c r="B132" s="727" t="s">
        <v>922</v>
      </c>
      <c r="C132" s="768"/>
      <c r="D132" s="709" t="s">
        <v>11</v>
      </c>
      <c r="E132" s="710" t="s">
        <v>34</v>
      </c>
      <c r="F132" s="523"/>
      <c r="G132" s="523"/>
      <c r="H132"/>
      <c r="K132" s="42"/>
      <c r="L132"/>
      <c r="M132" s="359"/>
      <c r="N132" s="39"/>
      <c r="U132"/>
      <c r="V132" s="42"/>
      <c r="W132" s="39"/>
    </row>
    <row r="133" spans="2:23" ht="18" customHeight="1">
      <c r="B133" s="712" t="s">
        <v>1122</v>
      </c>
      <c r="C133" s="711" t="s">
        <v>484</v>
      </c>
      <c r="D133" s="697">
        <f>IF(I7=0,I8,I7)</f>
        <v>8.2900000000000001E-2</v>
      </c>
      <c r="E133" s="696">
        <f>IF(K7=0,K8,K7)</f>
        <v>9.5028480000000082E-2</v>
      </c>
      <c r="F133" s="523"/>
      <c r="G133" s="523"/>
      <c r="H133"/>
      <c r="K133" s="42"/>
      <c r="L133"/>
      <c r="M133" s="359"/>
      <c r="N133" s="39"/>
      <c r="U133"/>
      <c r="V133" s="42"/>
      <c r="W133" s="39"/>
    </row>
    <row r="134" spans="2:23" ht="18" customHeight="1">
      <c r="B134" s="712"/>
      <c r="C134" s="711" t="s">
        <v>488</v>
      </c>
      <c r="D134" s="697">
        <f>F33</f>
        <v>7.7438095238095195E-2</v>
      </c>
      <c r="E134" s="696"/>
      <c r="F134" s="523"/>
      <c r="G134" s="523"/>
      <c r="H134"/>
      <c r="K134" s="42"/>
      <c r="L134"/>
      <c r="M134" s="359"/>
      <c r="N134" s="39"/>
      <c r="O134" s="452" t="s">
        <v>451</v>
      </c>
      <c r="U134"/>
      <c r="V134" s="42"/>
      <c r="W134" s="39"/>
    </row>
    <row r="135" spans="2:23" ht="18" customHeight="1">
      <c r="B135" s="716" t="s">
        <v>921</v>
      </c>
      <c r="C135" s="728" t="s">
        <v>489</v>
      </c>
      <c r="D135" s="695">
        <f>I10</f>
        <v>5.4619047619048067E-3</v>
      </c>
      <c r="E135" s="525"/>
      <c r="F135" s="523"/>
      <c r="G135" s="523"/>
      <c r="H135"/>
      <c r="K135" s="42"/>
      <c r="L135"/>
      <c r="M135" s="359"/>
      <c r="N135" s="39"/>
      <c r="U135"/>
      <c r="V135" s="42"/>
      <c r="W135" s="39"/>
    </row>
    <row r="136" spans="2:23" ht="18" customHeight="1">
      <c r="B136" s="702" t="s">
        <v>496</v>
      </c>
      <c r="C136" s="769" t="s">
        <v>456</v>
      </c>
      <c r="D136" s="702" t="s">
        <v>457</v>
      </c>
      <c r="E136" s="703" t="s">
        <v>486</v>
      </c>
      <c r="F136" s="523"/>
      <c r="G136" s="523"/>
      <c r="H136"/>
      <c r="K136" s="42"/>
      <c r="L136"/>
      <c r="M136" s="359"/>
      <c r="N136" s="39" t="s">
        <v>496</v>
      </c>
      <c r="O136" t="s">
        <v>456</v>
      </c>
      <c r="P136" t="s">
        <v>457</v>
      </c>
      <c r="Q136" t="s">
        <v>486</v>
      </c>
      <c r="U136"/>
      <c r="V136" s="42"/>
      <c r="W136" s="39"/>
    </row>
    <row r="137" spans="2:23" ht="18" customHeight="1">
      <c r="B137" s="704"/>
      <c r="C137" s="768" t="s">
        <v>485</v>
      </c>
      <c r="D137" s="706" t="str">
        <f>C79</f>
        <v>Beta Desapalancado (Boa)</v>
      </c>
      <c r="E137" s="707"/>
      <c r="F137" s="523"/>
      <c r="G137" s="523"/>
      <c r="H137"/>
      <c r="K137" s="42"/>
      <c r="L137"/>
      <c r="M137" s="359"/>
      <c r="N137" s="39"/>
      <c r="O137" s="467"/>
      <c r="P137" s="487" t="s">
        <v>446</v>
      </c>
      <c r="Q137" s="488" t="s">
        <v>447</v>
      </c>
      <c r="U137"/>
      <c r="V137" s="42"/>
      <c r="W137" s="39"/>
    </row>
    <row r="138" spans="2:23" ht="18" customHeight="1">
      <c r="B138" s="708"/>
      <c r="C138" s="768"/>
      <c r="D138" s="709" t="s">
        <v>11</v>
      </c>
      <c r="E138" s="710" t="s">
        <v>34</v>
      </c>
      <c r="F138" s="523"/>
      <c r="G138" s="523"/>
      <c r="H138"/>
      <c r="K138" s="42"/>
      <c r="L138"/>
      <c r="M138" s="359"/>
      <c r="N138" s="779" t="s">
        <v>1131</v>
      </c>
      <c r="O138" s="491" t="s">
        <v>433</v>
      </c>
      <c r="P138" s="459">
        <f>C24</f>
        <v>0.11304085129546224</v>
      </c>
      <c r="Q138" s="459">
        <f>F24</f>
        <v>0.12788738081395279</v>
      </c>
      <c r="U138"/>
      <c r="V138" s="42"/>
      <c r="W138" s="39"/>
    </row>
    <row r="139" spans="2:23" ht="18" customHeight="1">
      <c r="B139" s="712" t="s">
        <v>917</v>
      </c>
      <c r="C139" s="711" t="s">
        <v>491</v>
      </c>
      <c r="D139" s="697">
        <f>I17</f>
        <v>0.61509999999999998</v>
      </c>
      <c r="E139" s="707"/>
      <c r="F139" s="523"/>
      <c r="G139" s="523"/>
      <c r="H139"/>
      <c r="K139" s="42"/>
      <c r="L139"/>
      <c r="M139" s="359"/>
      <c r="N139" s="779" t="s">
        <v>1132</v>
      </c>
      <c r="O139" s="491" t="s">
        <v>79</v>
      </c>
      <c r="P139" s="459">
        <f>C28</f>
        <v>0.10318142263538475</v>
      </c>
      <c r="Q139" s="459">
        <f>F28</f>
        <v>0.11861951787347993</v>
      </c>
      <c r="U139"/>
      <c r="V139" s="42"/>
      <c r="W139" s="39"/>
    </row>
    <row r="140" spans="2:23" ht="18" customHeight="1">
      <c r="B140" s="712" t="s">
        <v>1125</v>
      </c>
      <c r="C140" s="711" t="s">
        <v>492</v>
      </c>
      <c r="D140" s="697">
        <f>I18</f>
        <v>0.38490000000000002</v>
      </c>
      <c r="E140" s="707"/>
      <c r="F140" s="523"/>
      <c r="G140" s="523"/>
      <c r="H140"/>
      <c r="K140" s="42"/>
      <c r="L140"/>
      <c r="M140" s="359"/>
      <c r="N140" s="779" t="s">
        <v>1133</v>
      </c>
      <c r="O140" s="492" t="s">
        <v>444</v>
      </c>
      <c r="P140" s="459">
        <f>C34</f>
        <v>4.65E-2</v>
      </c>
      <c r="Q140" s="459">
        <f>F34</f>
        <v>5.4593857142857118E-2</v>
      </c>
      <c r="U140"/>
      <c r="V140" s="42"/>
      <c r="W140" s="39"/>
    </row>
    <row r="141" spans="2:23" ht="18" customHeight="1">
      <c r="B141" s="708"/>
      <c r="C141" s="768" t="s">
        <v>493</v>
      </c>
      <c r="D141" s="706" t="str">
        <f>C83</f>
        <v>Spread de la Deuda</v>
      </c>
      <c r="E141" s="707"/>
      <c r="F141" s="523"/>
      <c r="G141" s="523"/>
      <c r="H141"/>
      <c r="K141" s="42"/>
      <c r="L141"/>
      <c r="M141" s="359"/>
      <c r="N141" s="779" t="s">
        <v>1134</v>
      </c>
      <c r="O141" s="698" t="s">
        <v>423</v>
      </c>
      <c r="P141" s="699">
        <f>C37</f>
        <v>0.10063800359675777</v>
      </c>
      <c r="Q141" s="699">
        <f>F37</f>
        <v>0.11422587222643067</v>
      </c>
      <c r="U141"/>
      <c r="V141" s="42"/>
      <c r="W141" s="39"/>
    </row>
    <row r="142" spans="2:23" ht="18" customHeight="1">
      <c r="B142" s="712" t="s">
        <v>920</v>
      </c>
      <c r="C142" s="713" t="s">
        <v>470</v>
      </c>
      <c r="D142" s="714">
        <f>I21</f>
        <v>1.8383636361296523</v>
      </c>
      <c r="E142" s="715"/>
      <c r="F142" s="523"/>
      <c r="G142" s="523"/>
      <c r="H142"/>
      <c r="K142" s="42"/>
      <c r="L142"/>
      <c r="M142" s="359"/>
      <c r="N142" s="39"/>
      <c r="O142" s="520"/>
      <c r="P142" s="464"/>
      <c r="Q142" s="464"/>
      <c r="U142"/>
      <c r="V142" s="42"/>
      <c r="W142" s="39"/>
    </row>
    <row r="143" spans="2:23" ht="18" customHeight="1">
      <c r="B143" s="716" t="s">
        <v>1126</v>
      </c>
      <c r="C143" s="770" t="s">
        <v>36</v>
      </c>
      <c r="D143" s="695">
        <f>I24</f>
        <v>0.18870000000000001</v>
      </c>
      <c r="E143" s="525">
        <f>J24</f>
        <v>0.20200000000000001</v>
      </c>
      <c r="F143" s="523"/>
      <c r="G143" s="523"/>
      <c r="H143"/>
      <c r="K143" s="42"/>
      <c r="L143"/>
      <c r="M143" s="359"/>
      <c r="N143" s="39"/>
      <c r="O143" s="520"/>
      <c r="P143" s="464"/>
      <c r="Q143" s="464"/>
      <c r="U143"/>
      <c r="V143" s="42"/>
      <c r="W143" s="39"/>
    </row>
    <row r="144" spans="2:23" ht="18" customHeight="1">
      <c r="B144" s="702" t="s">
        <v>496</v>
      </c>
      <c r="C144" s="769" t="s">
        <v>456</v>
      </c>
      <c r="D144" s="702" t="s">
        <v>457</v>
      </c>
      <c r="E144" s="703" t="s">
        <v>486</v>
      </c>
      <c r="F144" s="523"/>
      <c r="G144" s="523"/>
      <c r="H144"/>
      <c r="K144" s="42"/>
      <c r="L144"/>
      <c r="M144" s="359"/>
      <c r="N144" s="39"/>
      <c r="U144"/>
      <c r="V144" s="42"/>
      <c r="W144" s="39"/>
    </row>
    <row r="145" spans="2:23" ht="18" customHeight="1">
      <c r="B145" s="705"/>
      <c r="C145" s="771" t="s">
        <v>469</v>
      </c>
      <c r="D145" s="706" t="str">
        <f>C87</f>
        <v>Columna1</v>
      </c>
      <c r="E145" s="707"/>
      <c r="F145" s="523"/>
      <c r="G145" s="523"/>
      <c r="H145"/>
      <c r="K145" s="42"/>
      <c r="L145"/>
      <c r="M145" s="359"/>
      <c r="N145" s="39"/>
      <c r="U145"/>
      <c r="V145" s="42"/>
      <c r="W145" s="39"/>
    </row>
    <row r="146" spans="2:23" ht="18" customHeight="1">
      <c r="B146" s="719"/>
      <c r="C146" s="771"/>
      <c r="D146" s="709" t="s">
        <v>11</v>
      </c>
      <c r="E146" s="710" t="s">
        <v>34</v>
      </c>
      <c r="F146" s="523"/>
      <c r="G146" s="523"/>
      <c r="H146"/>
      <c r="K146" s="42"/>
      <c r="L146"/>
      <c r="M146" s="359"/>
      <c r="N146" s="39"/>
      <c r="U146"/>
      <c r="V146" s="42"/>
      <c r="W146" s="39"/>
    </row>
    <row r="147" spans="2:23" ht="18" customHeight="1">
      <c r="B147" s="720" t="s">
        <v>919</v>
      </c>
      <c r="C147" s="713" t="s">
        <v>494</v>
      </c>
      <c r="D147" s="697">
        <f>F28</f>
        <v>0.11861951787347993</v>
      </c>
      <c r="E147" s="707"/>
      <c r="F147" s="523"/>
      <c r="G147" s="523"/>
      <c r="H147"/>
      <c r="K147" s="42"/>
      <c r="L147"/>
      <c r="M147" s="359"/>
      <c r="N147" s="39"/>
      <c r="U147"/>
      <c r="V147" s="42"/>
      <c r="W147" s="39"/>
    </row>
    <row r="148" spans="2:23" ht="18" customHeight="1">
      <c r="B148" s="720" t="s">
        <v>1127</v>
      </c>
      <c r="C148" s="713" t="s">
        <v>489</v>
      </c>
      <c r="D148" s="697">
        <f>I10</f>
        <v>5.4619047619048067E-3</v>
      </c>
      <c r="E148" s="707"/>
      <c r="F148" s="523"/>
      <c r="G148" s="523"/>
      <c r="H148"/>
      <c r="K148" s="42"/>
      <c r="L148"/>
      <c r="M148" s="359"/>
      <c r="N148" s="39"/>
      <c r="U148"/>
      <c r="V148" s="42"/>
      <c r="W148" s="39"/>
    </row>
    <row r="149" spans="2:23" ht="18" customHeight="1">
      <c r="B149" s="721" t="s">
        <v>1128</v>
      </c>
      <c r="C149" s="772" t="s">
        <v>41</v>
      </c>
      <c r="D149" s="722">
        <f>I28</f>
        <v>0.1241</v>
      </c>
      <c r="E149" s="723">
        <f>J28</f>
        <v>0.13669999999999999</v>
      </c>
      <c r="F149" s="523"/>
      <c r="G149" s="523"/>
      <c r="H149"/>
      <c r="K149" s="42"/>
      <c r="L149"/>
      <c r="M149" s="359"/>
      <c r="N149" s="39"/>
      <c r="U149"/>
      <c r="V149" s="42"/>
      <c r="W149" s="39"/>
    </row>
    <row r="150" spans="2:23" ht="18" customHeight="1">
      <c r="B150" s="717" t="s">
        <v>496</v>
      </c>
      <c r="C150" s="713" t="s">
        <v>456</v>
      </c>
      <c r="D150" s="702" t="s">
        <v>457</v>
      </c>
      <c r="E150" s="718" t="s">
        <v>486</v>
      </c>
      <c r="F150" s="523"/>
      <c r="G150" s="523"/>
      <c r="H150"/>
      <c r="K150" s="42"/>
      <c r="L150"/>
      <c r="M150" s="359"/>
      <c r="N150" s="39"/>
      <c r="U150"/>
      <c r="V150" s="42"/>
      <c r="W150" s="39"/>
    </row>
    <row r="151" spans="2:23" ht="18" customHeight="1">
      <c r="B151" s="705"/>
      <c r="C151" s="771" t="s">
        <v>474</v>
      </c>
      <c r="D151" s="706" t="str">
        <f>C93</f>
        <v>Costo Promedio Ponderado de Capital (CPPC)</v>
      </c>
      <c r="E151" s="707"/>
      <c r="F151" s="523"/>
      <c r="G151" s="523"/>
      <c r="H151"/>
      <c r="K151" s="42"/>
      <c r="L151"/>
      <c r="M151" s="359"/>
      <c r="N151" s="39"/>
      <c r="U151"/>
      <c r="V151" s="42"/>
      <c r="W151" s="39"/>
    </row>
    <row r="152" spans="2:23" ht="18" customHeight="1">
      <c r="B152" s="719"/>
      <c r="C152" s="771"/>
      <c r="D152" s="709" t="s">
        <v>11</v>
      </c>
      <c r="E152" s="710" t="s">
        <v>34</v>
      </c>
      <c r="F152" s="523"/>
      <c r="G152" s="523"/>
      <c r="H152"/>
      <c r="K152" s="42"/>
      <c r="L152"/>
      <c r="M152" s="359"/>
      <c r="N152" s="39"/>
      <c r="U152"/>
      <c r="V152" s="42"/>
      <c r="W152" s="39"/>
    </row>
    <row r="153" spans="2:23" ht="18" customHeight="1">
      <c r="B153" s="720" t="s">
        <v>1123</v>
      </c>
      <c r="C153" s="713" t="s">
        <v>476</v>
      </c>
      <c r="D153" s="697">
        <f>I33</f>
        <v>8.2900000000000001E-2</v>
      </c>
      <c r="E153" s="696">
        <f>J33</f>
        <v>9.5000000000000001E-2</v>
      </c>
      <c r="F153" s="523"/>
      <c r="G153" s="523"/>
      <c r="H153"/>
      <c r="K153" s="42"/>
      <c r="L153"/>
      <c r="M153" s="359"/>
      <c r="N153" s="39"/>
      <c r="U153"/>
      <c r="V153" s="42"/>
      <c r="W153" s="39"/>
    </row>
    <row r="154" spans="2:23" ht="18" customHeight="1">
      <c r="B154" s="721" t="s">
        <v>918</v>
      </c>
      <c r="C154" s="772" t="s">
        <v>477</v>
      </c>
      <c r="D154" s="695">
        <f>I34</f>
        <v>5.8400000000000001E-2</v>
      </c>
      <c r="E154" s="525">
        <f>J34</f>
        <v>6.7000000000000004E-2</v>
      </c>
      <c r="F154" s="523"/>
      <c r="G154" s="523"/>
      <c r="H154"/>
      <c r="K154" s="42"/>
      <c r="L154"/>
      <c r="M154" s="359"/>
      <c r="N154" s="39"/>
      <c r="U154"/>
      <c r="V154" s="42"/>
      <c r="W154" s="39"/>
    </row>
    <row r="155" spans="2:23" ht="18" customHeight="1">
      <c r="B155" s="702" t="s">
        <v>496</v>
      </c>
      <c r="C155" s="769" t="s">
        <v>456</v>
      </c>
      <c r="D155" s="702" t="s">
        <v>457</v>
      </c>
      <c r="E155" s="702" t="s">
        <v>486</v>
      </c>
      <c r="F155" s="523"/>
      <c r="G155" s="523"/>
      <c r="H155"/>
      <c r="K155" s="42"/>
      <c r="L155"/>
      <c r="M155" s="359"/>
      <c r="N155" s="39"/>
      <c r="U155"/>
      <c r="V155" s="42"/>
      <c r="W155" s="39"/>
    </row>
    <row r="156" spans="2:23" ht="18" customHeight="1">
      <c r="B156" s="704"/>
      <c r="C156" s="768" t="s">
        <v>478</v>
      </c>
      <c r="D156" s="706" t="s">
        <v>11</v>
      </c>
      <c r="E156" s="707" t="s">
        <v>407</v>
      </c>
      <c r="F156" s="523"/>
      <c r="G156" s="523"/>
      <c r="H156"/>
      <c r="K156" s="42"/>
      <c r="L156"/>
      <c r="M156" s="359"/>
      <c r="N156" s="39"/>
      <c r="U156"/>
      <c r="V156" s="42"/>
      <c r="W156" s="39"/>
    </row>
    <row r="157" spans="2:23" ht="18" customHeight="1">
      <c r="B157" s="712" t="s">
        <v>916</v>
      </c>
      <c r="C157" s="711" t="s">
        <v>472</v>
      </c>
      <c r="D157" s="697">
        <f>D139</f>
        <v>0.61509999999999998</v>
      </c>
      <c r="E157" s="707"/>
      <c r="F157" s="523"/>
      <c r="G157" s="523"/>
      <c r="H157"/>
      <c r="K157" s="42"/>
      <c r="L157"/>
      <c r="M157" s="359"/>
      <c r="N157" s="39"/>
      <c r="U157"/>
      <c r="V157" s="42"/>
      <c r="W157" s="39"/>
    </row>
    <row r="158" spans="2:23" ht="18" customHeight="1">
      <c r="B158" s="712" t="s">
        <v>916</v>
      </c>
      <c r="C158" s="711" t="s">
        <v>28</v>
      </c>
      <c r="D158" s="697">
        <f>D140</f>
        <v>0.38490000000000002</v>
      </c>
      <c r="E158" s="707"/>
      <c r="F158" s="523"/>
      <c r="G158" s="523"/>
      <c r="H158"/>
      <c r="K158" s="42"/>
      <c r="L158"/>
      <c r="M158" s="359"/>
      <c r="N158" s="39"/>
      <c r="U158"/>
      <c r="V158" s="42"/>
      <c r="W158" s="39"/>
    </row>
    <row r="159" spans="2:23" ht="18" customHeight="1">
      <c r="B159" s="712" t="s">
        <v>916</v>
      </c>
      <c r="C159" s="711" t="s">
        <v>36</v>
      </c>
      <c r="D159" s="697">
        <f>D143</f>
        <v>0.18870000000000001</v>
      </c>
      <c r="E159" s="696">
        <f>+J24</f>
        <v>0.20200000000000001</v>
      </c>
      <c r="F159" s="523"/>
      <c r="G159" s="523"/>
      <c r="H159"/>
      <c r="K159" s="42"/>
      <c r="L159"/>
      <c r="M159" s="359"/>
      <c r="N159" s="39"/>
      <c r="U159"/>
      <c r="V159" s="42"/>
      <c r="W159" s="39"/>
    </row>
    <row r="160" spans="2:23" ht="18" customHeight="1">
      <c r="B160" s="712" t="s">
        <v>916</v>
      </c>
      <c r="C160" s="711" t="s">
        <v>477</v>
      </c>
      <c r="D160" s="697">
        <f>D154</f>
        <v>5.8400000000000001E-2</v>
      </c>
      <c r="E160" s="696">
        <f>+J34</f>
        <v>6.7000000000000004E-2</v>
      </c>
      <c r="F160" s="523"/>
      <c r="G160" s="523"/>
      <c r="H160"/>
      <c r="K160" s="42"/>
      <c r="L160"/>
      <c r="M160" s="359"/>
      <c r="N160" s="39"/>
      <c r="U160"/>
      <c r="V160" s="42"/>
      <c r="W160" s="39"/>
    </row>
    <row r="161" spans="2:23" ht="18" customHeight="1">
      <c r="B161" s="712" t="s">
        <v>916</v>
      </c>
      <c r="C161" s="773" t="s">
        <v>49</v>
      </c>
      <c r="D161" s="697">
        <f>I37</f>
        <v>0.1086</v>
      </c>
      <c r="E161" s="525">
        <f>J37</f>
        <v>0.121</v>
      </c>
      <c r="F161" s="523"/>
      <c r="G161" s="523"/>
      <c r="H161"/>
      <c r="K161" s="42"/>
      <c r="L161"/>
      <c r="M161" s="359"/>
      <c r="N161" s="39"/>
      <c r="U161"/>
      <c r="V161" s="42"/>
      <c r="W161" s="39"/>
    </row>
    <row r="162" spans="2:23" ht="18" customHeight="1">
      <c r="B162" s="523"/>
      <c r="C162" s="526"/>
      <c r="D162" s="707" t="str">
        <f>C104</f>
        <v>Columna1</v>
      </c>
      <c r="E162" s="527"/>
      <c r="F162" s="523"/>
      <c r="G162" s="523"/>
      <c r="H162"/>
      <c r="K162" s="42"/>
      <c r="L162"/>
      <c r="M162" s="359"/>
      <c r="N162" s="39"/>
      <c r="U162"/>
      <c r="V162" s="42"/>
      <c r="W162" s="39"/>
    </row>
    <row r="163" spans="2:23">
      <c r="B163" s="597" t="s">
        <v>1108</v>
      </c>
      <c r="C163" s="774"/>
      <c r="D163" s="775" t="s">
        <v>428</v>
      </c>
      <c r="E163" s="775" t="s">
        <v>429</v>
      </c>
      <c r="F163" s="514"/>
      <c r="G163" s="514"/>
      <c r="H163"/>
      <c r="K163" s="42"/>
      <c r="L163"/>
      <c r="M163" s="359"/>
      <c r="N163" s="39"/>
      <c r="U163"/>
      <c r="V163" s="42"/>
      <c r="W163" s="39"/>
    </row>
    <row r="164" spans="2:23" ht="18" customHeight="1">
      <c r="B164" s="598" t="s">
        <v>1104</v>
      </c>
      <c r="C164" s="521" t="s">
        <v>36</v>
      </c>
      <c r="D164" s="528">
        <f>D76</f>
        <v>0.11304085129546224</v>
      </c>
      <c r="E164" s="528">
        <f>D112</f>
        <v>0.12788738081395279</v>
      </c>
      <c r="F164" s="514"/>
      <c r="G164" s="514"/>
      <c r="H164"/>
      <c r="K164" s="42"/>
      <c r="L164"/>
      <c r="M164" s="359"/>
      <c r="N164" s="39"/>
      <c r="U164"/>
      <c r="V164" s="42"/>
      <c r="W164" s="39"/>
    </row>
    <row r="165" spans="2:23" ht="18" customHeight="1">
      <c r="B165" s="598" t="s">
        <v>1105</v>
      </c>
      <c r="C165" s="521" t="s">
        <v>41</v>
      </c>
      <c r="D165" s="528">
        <f>D80</f>
        <v>0.10318142263538475</v>
      </c>
      <c r="E165" s="528">
        <f>D116</f>
        <v>0.11861951787347993</v>
      </c>
      <c r="F165" s="514"/>
      <c r="G165" s="514"/>
      <c r="H165"/>
      <c r="K165" s="42"/>
      <c r="L165"/>
      <c r="M165" s="359"/>
      <c r="N165" s="39"/>
      <c r="U165"/>
      <c r="V165" s="42"/>
      <c r="W165" s="39"/>
    </row>
    <row r="166" spans="2:23" ht="18" customHeight="1">
      <c r="B166" s="598" t="s">
        <v>1106</v>
      </c>
      <c r="C166" s="521" t="s">
        <v>477</v>
      </c>
      <c r="D166" s="528">
        <f>D86</f>
        <v>4.65E-2</v>
      </c>
      <c r="E166" s="528">
        <f>D122</f>
        <v>5.4593857142857118E-2</v>
      </c>
      <c r="F166" s="514"/>
      <c r="G166" s="514"/>
      <c r="H166"/>
      <c r="K166" s="42"/>
      <c r="L166"/>
      <c r="M166" s="359"/>
      <c r="N166" s="39"/>
      <c r="U166"/>
      <c r="V166" s="42"/>
      <c r="W166" s="39"/>
    </row>
    <row r="167" spans="2:23" ht="18" customHeight="1">
      <c r="B167" s="598" t="s">
        <v>1107</v>
      </c>
      <c r="C167" s="521" t="s">
        <v>49</v>
      </c>
      <c r="D167" s="528">
        <f>D93</f>
        <v>0.10063800359675777</v>
      </c>
      <c r="E167" s="528">
        <f>D129</f>
        <v>0.11422587222643067</v>
      </c>
      <c r="F167" s="514"/>
      <c r="G167" s="514"/>
      <c r="H167"/>
      <c r="K167" s="42"/>
      <c r="L167"/>
      <c r="M167" s="359"/>
      <c r="N167" s="39"/>
      <c r="U167"/>
      <c r="V167" s="42"/>
      <c r="W167" s="39"/>
    </row>
    <row r="168" spans="2:23" ht="18" customHeight="1">
      <c r="B168" s="514"/>
      <c r="C168" s="514"/>
      <c r="D168" s="511" t="str">
        <f t="shared" ref="D168:D169" si="17">C110</f>
        <v>Parámetros del Costo de Capital Financiero</v>
      </c>
      <c r="E168" s="514"/>
      <c r="F168" s="514"/>
      <c r="G168" s="514"/>
      <c r="K168" s="42"/>
      <c r="N168" s="452" t="s">
        <v>452</v>
      </c>
    </row>
    <row r="169" spans="2:23" ht="18" customHeight="1">
      <c r="B169" s="514"/>
      <c r="C169" s="514"/>
      <c r="D169" s="511" t="str">
        <f t="shared" si="17"/>
        <v>Beta Apalancado (Be)</v>
      </c>
      <c r="E169" s="514"/>
      <c r="F169" s="514"/>
      <c r="G169" s="514"/>
    </row>
    <row r="170" spans="2:23" ht="18" customHeight="1">
      <c r="B170" s="597" t="s">
        <v>915</v>
      </c>
      <c r="C170" s="774"/>
      <c r="D170" s="775" t="s">
        <v>429</v>
      </c>
      <c r="E170" s="775"/>
      <c r="F170" s="514"/>
      <c r="G170" s="514"/>
    </row>
    <row r="171" spans="2:23" ht="37.950000000000003" customHeight="1">
      <c r="B171" s="598" t="s">
        <v>1101</v>
      </c>
      <c r="C171" s="521" t="s">
        <v>36</v>
      </c>
      <c r="D171" s="528">
        <f>D112</f>
        <v>0.12788738081395279</v>
      </c>
      <c r="E171" s="514"/>
      <c r="F171" s="514"/>
      <c r="G171" s="514"/>
      <c r="N171" s="467"/>
      <c r="O171" s="493" t="s">
        <v>446</v>
      </c>
      <c r="P171" s="494" t="s">
        <v>447</v>
      </c>
      <c r="Q171" s="495" t="s">
        <v>453</v>
      </c>
      <c r="R171" s="496" t="s">
        <v>454</v>
      </c>
    </row>
    <row r="172" spans="2:23" ht="18" customHeight="1">
      <c r="B172" s="598" t="s">
        <v>1102</v>
      </c>
      <c r="C172" s="521" t="s">
        <v>41</v>
      </c>
      <c r="D172" s="528">
        <f>D116</f>
        <v>0.11861951787347993</v>
      </c>
      <c r="E172" s="514"/>
      <c r="F172" s="514"/>
      <c r="G172" s="514"/>
      <c r="N172" s="497" t="s">
        <v>433</v>
      </c>
      <c r="O172" s="459">
        <f t="shared" ref="O172:P174" si="18">P138</f>
        <v>0.11304085129546224</v>
      </c>
      <c r="P172" s="459">
        <f t="shared" si="18"/>
        <v>0.12788738081395279</v>
      </c>
      <c r="Q172" s="459">
        <f>I24</f>
        <v>0.18870000000000001</v>
      </c>
      <c r="R172" s="459">
        <f>J24</f>
        <v>0.20200000000000001</v>
      </c>
    </row>
    <row r="173" spans="2:23" ht="18" customHeight="1">
      <c r="B173" s="598" t="s">
        <v>1103</v>
      </c>
      <c r="C173" s="521" t="s">
        <v>477</v>
      </c>
      <c r="D173" s="528">
        <f>D122</f>
        <v>5.4593857142857118E-2</v>
      </c>
      <c r="E173" s="514"/>
      <c r="F173" s="514"/>
      <c r="G173" s="514"/>
      <c r="N173" s="497" t="s">
        <v>79</v>
      </c>
      <c r="O173" s="459">
        <f t="shared" si="18"/>
        <v>0.10318142263538475</v>
      </c>
      <c r="P173" s="459">
        <f t="shared" si="18"/>
        <v>0.11861951787347993</v>
      </c>
      <c r="Q173" s="459">
        <f>I28</f>
        <v>0.1241</v>
      </c>
      <c r="R173" s="459">
        <f>J28</f>
        <v>0.13669999999999999</v>
      </c>
    </row>
    <row r="174" spans="2:23" ht="18" customHeight="1">
      <c r="B174" s="598" t="s">
        <v>1130</v>
      </c>
      <c r="C174" s="776" t="s">
        <v>49</v>
      </c>
      <c r="D174" s="777">
        <f>D129</f>
        <v>0.11422587222643067</v>
      </c>
      <c r="E174" s="514"/>
      <c r="F174" s="514"/>
      <c r="G174" s="514"/>
      <c r="N174" s="498" t="s">
        <v>444</v>
      </c>
      <c r="O174" s="459">
        <f t="shared" si="18"/>
        <v>4.65E-2</v>
      </c>
      <c r="P174" s="459">
        <f t="shared" si="18"/>
        <v>5.4593857142857118E-2</v>
      </c>
      <c r="Q174" s="459">
        <f>I34</f>
        <v>5.8400000000000001E-2</v>
      </c>
      <c r="R174" s="459">
        <f>J34</f>
        <v>6.7000000000000004E-2</v>
      </c>
    </row>
    <row r="175" spans="2:23" ht="18" customHeight="1">
      <c r="B175" s="597" t="s">
        <v>1108</v>
      </c>
      <c r="C175" s="774"/>
      <c r="D175" s="775" t="s">
        <v>495</v>
      </c>
      <c r="E175" s="514"/>
      <c r="F175" s="514"/>
      <c r="G175" s="514"/>
      <c r="N175" s="498"/>
      <c r="O175" s="459"/>
      <c r="P175" s="459"/>
      <c r="Q175" s="459"/>
      <c r="R175" s="459"/>
    </row>
    <row r="176" spans="2:23" ht="18" customHeight="1">
      <c r="B176" s="598" t="s">
        <v>1113</v>
      </c>
      <c r="C176" s="521" t="s">
        <v>36</v>
      </c>
      <c r="D176" s="528">
        <f>D143</f>
        <v>0.18870000000000001</v>
      </c>
      <c r="E176" s="514"/>
      <c r="F176" s="514"/>
      <c r="G176" s="514"/>
      <c r="N176" s="498" t="s">
        <v>423</v>
      </c>
      <c r="O176" s="459">
        <f t="shared" ref="O176:P176" si="19">P141</f>
        <v>0.10063800359675777</v>
      </c>
      <c r="P176" s="459">
        <f t="shared" si="19"/>
        <v>0.11422587222643067</v>
      </c>
      <c r="Q176" s="459">
        <f>I37</f>
        <v>0.1086</v>
      </c>
      <c r="R176" s="459">
        <f>J37</f>
        <v>0.121</v>
      </c>
    </row>
    <row r="177" spans="2:7" ht="18" customHeight="1">
      <c r="B177" s="598" t="s">
        <v>1114</v>
      </c>
      <c r="C177" s="521" t="s">
        <v>41</v>
      </c>
      <c r="D177" s="528">
        <f>D149</f>
        <v>0.1241</v>
      </c>
      <c r="E177" s="514"/>
      <c r="F177" s="514"/>
      <c r="G177" s="514"/>
    </row>
    <row r="178" spans="2:7" ht="18" customHeight="1">
      <c r="B178" s="598" t="s">
        <v>1115</v>
      </c>
      <c r="C178" s="521" t="s">
        <v>477</v>
      </c>
      <c r="D178" s="528">
        <f>D154</f>
        <v>5.8400000000000001E-2</v>
      </c>
      <c r="E178" s="514"/>
      <c r="F178" s="514"/>
      <c r="G178" s="514"/>
    </row>
    <row r="179" spans="2:7" ht="18" customHeight="1">
      <c r="B179" s="598" t="s">
        <v>1116</v>
      </c>
      <c r="C179" s="776" t="s">
        <v>49</v>
      </c>
      <c r="D179" s="528">
        <f>D161</f>
        <v>0.1086</v>
      </c>
      <c r="E179" s="514"/>
      <c r="F179" s="514"/>
      <c r="G179" s="514"/>
    </row>
    <row r="180" spans="2:7" ht="18" customHeight="1">
      <c r="B180" s="598" t="s">
        <v>1124</v>
      </c>
      <c r="C180" s="776" t="str">
        <f>+C133</f>
        <v>Costo de Deuda de su Empresa</v>
      </c>
      <c r="D180" s="528">
        <f>+D133</f>
        <v>8.2900000000000001E-2</v>
      </c>
      <c r="E180" s="514"/>
      <c r="F180" s="514"/>
      <c r="G180" s="514"/>
    </row>
    <row r="181" spans="2:7" ht="18" customHeight="1">
      <c r="B181" s="597" t="s">
        <v>1117</v>
      </c>
      <c r="C181" s="774"/>
      <c r="D181" s="775" t="s">
        <v>498</v>
      </c>
      <c r="E181" s="514"/>
      <c r="F181" s="514"/>
      <c r="G181" s="514"/>
    </row>
    <row r="182" spans="2:7" ht="18" customHeight="1">
      <c r="B182" s="598" t="s">
        <v>1118</v>
      </c>
      <c r="C182" s="521" t="s">
        <v>36</v>
      </c>
      <c r="D182" s="528">
        <f>E143</f>
        <v>0.20200000000000001</v>
      </c>
      <c r="E182" s="514"/>
      <c r="F182" s="514"/>
      <c r="G182" s="514"/>
    </row>
    <row r="183" spans="2:7" ht="18" customHeight="1">
      <c r="B183" s="598" t="s">
        <v>1119</v>
      </c>
      <c r="C183" s="521" t="s">
        <v>41</v>
      </c>
      <c r="D183" s="528">
        <f>E149</f>
        <v>0.13669999999999999</v>
      </c>
      <c r="E183" s="514"/>
      <c r="F183" s="514"/>
      <c r="G183" s="514"/>
    </row>
    <row r="184" spans="2:7" ht="18" customHeight="1">
      <c r="B184" s="598" t="s">
        <v>1120</v>
      </c>
      <c r="C184" s="521" t="s">
        <v>477</v>
      </c>
      <c r="D184" s="528">
        <f>E154</f>
        <v>6.7000000000000004E-2</v>
      </c>
      <c r="E184" s="514"/>
      <c r="F184" s="514"/>
      <c r="G184" s="514"/>
    </row>
    <row r="185" spans="2:7" ht="18" customHeight="1">
      <c r="B185" s="598" t="s">
        <v>1121</v>
      </c>
      <c r="C185" s="776" t="s">
        <v>49</v>
      </c>
      <c r="D185" s="528">
        <f>E161</f>
        <v>0.121</v>
      </c>
      <c r="E185" s="514"/>
      <c r="F185" s="514"/>
      <c r="G185" s="514"/>
    </row>
    <row r="186" spans="2:7" ht="18" customHeight="1">
      <c r="B186" s="598" t="s">
        <v>1129</v>
      </c>
      <c r="C186" s="776" t="s">
        <v>484</v>
      </c>
      <c r="D186" s="777">
        <f>+E133</f>
        <v>9.5028480000000082E-2</v>
      </c>
      <c r="E186" s="514"/>
      <c r="F186" s="514"/>
      <c r="G186" s="514"/>
    </row>
    <row r="187" spans="2:7" ht="18" customHeight="1"/>
    <row r="188" spans="2:7" ht="18" customHeight="1"/>
    <row r="189" spans="2:7" ht="18" customHeight="1"/>
    <row r="190" spans="2:7" ht="18" customHeight="1"/>
    <row r="191" spans="2:7" ht="18" customHeight="1"/>
    <row r="192" spans="2:7" ht="18" customHeight="1"/>
    <row r="193" ht="18" customHeight="1"/>
  </sheetData>
  <sheetProtection formatCells="0" formatColumns="0" formatRows="0" insertColumns="0" insertRows="0" insertHyperlinks="0" deleteColumns="0" deleteRows="0" sort="0" autoFilter="0" pivotTables="0"/>
  <mergeCells count="6">
    <mergeCell ref="AH49:AN49"/>
    <mergeCell ref="N13:Q13"/>
    <mergeCell ref="N23:Q23"/>
    <mergeCell ref="N33:Q33"/>
    <mergeCell ref="Q49:W49"/>
    <mergeCell ref="Y49:AE49"/>
  </mergeCells>
  <phoneticPr fontId="120" type="noConversion"/>
  <dataValidations disablePrompts="1" count="1">
    <dataValidation type="list" allowBlank="1" showInputMessage="1" showErrorMessage="1" sqref="E3" xr:uid="{EA992187-5130-4B6D-8F4B-FE8E83AA767B}">
      <formula1>#REF!</formula1>
    </dataValidation>
  </dataValidations>
  <pageMargins left="0.7" right="0.7" top="0.75" bottom="0.75" header="0.3" footer="0.3"/>
  <pageSetup orientation="portrait" r:id="rId1"/>
  <ignoredErrors>
    <ignoredError sqref="D72" calculatedColumn="1"/>
  </ignoredErrors>
  <drawing r:id="rId2"/>
  <legacyDrawing r:id="rId3"/>
  <tableParts count="5"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8C87ACC-3C54-424F-B905-D45512A8494E}">
          <x14:formula1>
            <xm:f>'Rf Ajustado'!$A$14:$A$25</xm:f>
          </x14:formula1>
          <xm:sqref>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67C4-2926-46DD-B0F6-13FAEEA85DA2}">
  <sheetPr codeName="Hoja9">
    <tabColor theme="7" tint="0.79998168889431442"/>
  </sheetPr>
  <dimension ref="A1:AF138"/>
  <sheetViews>
    <sheetView showGridLines="0" zoomScale="70" zoomScaleNormal="70" workbookViewId="0">
      <selection activeCell="F29" sqref="F29"/>
    </sheetView>
  </sheetViews>
  <sheetFormatPr baseColWidth="10" defaultRowHeight="14.4"/>
  <cols>
    <col min="1" max="1" width="31.88671875" bestFit="1" customWidth="1"/>
    <col min="31" max="31" width="15.33203125" bestFit="1" customWidth="1"/>
  </cols>
  <sheetData>
    <row r="1" spans="1:31">
      <c r="B1" s="113">
        <v>2021</v>
      </c>
      <c r="C1" s="113">
        <v>2021</v>
      </c>
      <c r="D1" s="113">
        <v>2021</v>
      </c>
      <c r="E1" s="113">
        <v>2021</v>
      </c>
      <c r="F1" s="113">
        <v>2021</v>
      </c>
      <c r="G1" s="113">
        <v>2021</v>
      </c>
      <c r="H1" s="113">
        <v>2022</v>
      </c>
      <c r="I1" s="113">
        <v>2022</v>
      </c>
      <c r="J1" s="113">
        <v>2022</v>
      </c>
      <c r="K1" s="113">
        <v>2022</v>
      </c>
      <c r="L1" s="113">
        <v>2022</v>
      </c>
      <c r="M1" s="113">
        <v>2022</v>
      </c>
      <c r="N1" s="113">
        <v>2023</v>
      </c>
      <c r="O1" s="113">
        <v>2023</v>
      </c>
      <c r="P1" s="113">
        <v>2023</v>
      </c>
      <c r="Q1" s="113">
        <v>2023</v>
      </c>
      <c r="R1" s="113">
        <v>2023</v>
      </c>
      <c r="S1" s="113">
        <v>2023</v>
      </c>
      <c r="T1" s="113">
        <v>2024</v>
      </c>
      <c r="U1" s="113">
        <v>2024</v>
      </c>
      <c r="V1" s="113">
        <v>2024</v>
      </c>
      <c r="W1" s="113">
        <v>2024</v>
      </c>
      <c r="X1" s="113">
        <v>2024</v>
      </c>
      <c r="Y1" s="113">
        <v>2024</v>
      </c>
      <c r="Z1">
        <v>2025</v>
      </c>
      <c r="AA1">
        <v>2025</v>
      </c>
      <c r="AB1">
        <v>2025</v>
      </c>
      <c r="AC1">
        <v>2025</v>
      </c>
      <c r="AD1">
        <v>2025</v>
      </c>
      <c r="AE1" s="113">
        <v>2025</v>
      </c>
    </row>
    <row r="2" spans="1:31" ht="22.8">
      <c r="A2" s="24" t="s">
        <v>73</v>
      </c>
      <c r="B2" s="542" t="s">
        <v>77</v>
      </c>
      <c r="C2" s="542" t="s">
        <v>75</v>
      </c>
      <c r="D2" s="543" t="s">
        <v>78</v>
      </c>
      <c r="E2" s="542" t="s">
        <v>74</v>
      </c>
      <c r="F2" s="542" t="s">
        <v>76</v>
      </c>
      <c r="G2" s="668" t="s">
        <v>1064</v>
      </c>
      <c r="H2" s="540" t="s">
        <v>77</v>
      </c>
      <c r="I2" s="540" t="s">
        <v>75</v>
      </c>
      <c r="J2" s="541" t="s">
        <v>78</v>
      </c>
      <c r="K2" s="540" t="s">
        <v>74</v>
      </c>
      <c r="L2" s="540" t="s">
        <v>76</v>
      </c>
      <c r="M2" s="668" t="s">
        <v>1063</v>
      </c>
      <c r="N2" s="608" t="s">
        <v>77</v>
      </c>
      <c r="O2" s="608" t="s">
        <v>75</v>
      </c>
      <c r="P2" s="609" t="s">
        <v>78</v>
      </c>
      <c r="Q2" s="608" t="s">
        <v>74</v>
      </c>
      <c r="R2" s="608" t="s">
        <v>76</v>
      </c>
      <c r="S2" s="668" t="s">
        <v>1064</v>
      </c>
      <c r="T2" s="610" t="s">
        <v>77</v>
      </c>
      <c r="U2" s="610" t="s">
        <v>75</v>
      </c>
      <c r="V2" s="611" t="s">
        <v>78</v>
      </c>
      <c r="W2" s="611" t="s">
        <v>74</v>
      </c>
      <c r="X2" s="610" t="s">
        <v>76</v>
      </c>
      <c r="Y2" s="668" t="s">
        <v>1064</v>
      </c>
      <c r="Z2" s="542" t="s">
        <v>77</v>
      </c>
      <c r="AA2" s="542" t="s">
        <v>75</v>
      </c>
      <c r="AB2" s="543" t="s">
        <v>78</v>
      </c>
      <c r="AC2" s="542" t="s">
        <v>74</v>
      </c>
      <c r="AD2" s="542" t="s">
        <v>76</v>
      </c>
      <c r="AE2" s="668" t="s">
        <v>1064</v>
      </c>
    </row>
    <row r="3" spans="1:31" ht="15.6">
      <c r="A3" s="86" t="s">
        <v>955</v>
      </c>
      <c r="B3" s="88">
        <v>0.33979075084743515</v>
      </c>
      <c r="C3" s="88">
        <v>0.66020924915256485</v>
      </c>
      <c r="D3" s="88">
        <v>0.27</v>
      </c>
      <c r="E3" s="87">
        <v>1.3404215229301832</v>
      </c>
      <c r="F3" s="88">
        <v>0.56696815123612743</v>
      </c>
      <c r="G3" s="669">
        <v>2.0680000000000004E-2</v>
      </c>
      <c r="H3" s="88">
        <v>0.33979075084743515</v>
      </c>
      <c r="I3" s="88">
        <v>0.66020924915256485</v>
      </c>
      <c r="J3" s="88">
        <v>0.27</v>
      </c>
      <c r="K3" s="87">
        <v>1.3404215229301832</v>
      </c>
      <c r="L3" s="88">
        <v>0.56696815123612743</v>
      </c>
      <c r="M3" s="669">
        <v>2.0680000000000004E-2</v>
      </c>
      <c r="N3" s="88">
        <v>0.31029224250137588</v>
      </c>
      <c r="O3" s="88">
        <v>0.68970775749862412</v>
      </c>
      <c r="P3" s="88">
        <v>0.25000000000000011</v>
      </c>
      <c r="Q3" s="87">
        <v>1.6317380595347237</v>
      </c>
      <c r="R3" s="88">
        <v>0.52722114455333013</v>
      </c>
      <c r="S3" s="669">
        <v>2.0000000000000004E-2</v>
      </c>
      <c r="T3" s="618">
        <v>0.25241808479709582</v>
      </c>
      <c r="U3" s="618">
        <v>0.74758191520290418</v>
      </c>
      <c r="V3" s="621">
        <v>0.25000000000000011</v>
      </c>
      <c r="W3" s="622">
        <v>1.3723256229214125</v>
      </c>
      <c r="X3" s="618">
        <v>0.56414425301504312</v>
      </c>
      <c r="Y3" s="669">
        <v>1.4724000000000001E-2</v>
      </c>
      <c r="Z3" s="667">
        <v>0.20758669213753544</v>
      </c>
      <c r="AA3" s="674">
        <v>0.79241330786246456</v>
      </c>
      <c r="AB3" s="669">
        <v>0.25</v>
      </c>
      <c r="AC3" s="681">
        <v>1.3372940529999999</v>
      </c>
      <c r="AD3" s="674">
        <v>0.67185666700000002</v>
      </c>
      <c r="AE3" s="669">
        <v>1.8300000000000004E-2</v>
      </c>
    </row>
    <row r="4" spans="1:31" ht="15.6">
      <c r="A4" s="89" t="s">
        <v>956</v>
      </c>
      <c r="B4" s="88">
        <v>0.22750949927180275</v>
      </c>
      <c r="C4" s="88">
        <v>0.77249050072819725</v>
      </c>
      <c r="D4" s="88">
        <v>0.27</v>
      </c>
      <c r="E4" s="87">
        <v>1.2810483683110934</v>
      </c>
      <c r="F4" s="88">
        <v>0.38232192400001008</v>
      </c>
      <c r="G4" s="670">
        <v>1.6500000000000001E-2</v>
      </c>
      <c r="H4" s="88">
        <v>0.22750949927180275</v>
      </c>
      <c r="I4" s="88">
        <v>0.77249050072819725</v>
      </c>
      <c r="J4" s="88">
        <v>0.27</v>
      </c>
      <c r="K4" s="87">
        <v>1.2810483683110934</v>
      </c>
      <c r="L4" s="88">
        <v>0.38232192400001008</v>
      </c>
      <c r="M4" s="670">
        <v>1.6500000000000001E-2</v>
      </c>
      <c r="N4" s="88">
        <v>0.20670883607151092</v>
      </c>
      <c r="O4" s="88">
        <v>0.79329116392848908</v>
      </c>
      <c r="P4" s="88">
        <v>0.25</v>
      </c>
      <c r="Q4" s="87">
        <v>1.4141822802591859</v>
      </c>
      <c r="R4" s="88">
        <v>0.3755554495377183</v>
      </c>
      <c r="S4" s="670">
        <v>1.6199999999999999E-2</v>
      </c>
      <c r="T4" s="618">
        <v>0.20291777620162876</v>
      </c>
      <c r="U4" s="618">
        <v>0.79708222379837124</v>
      </c>
      <c r="V4" s="621">
        <v>0.24999999999999989</v>
      </c>
      <c r="W4" s="622">
        <v>1.0764050153356324</v>
      </c>
      <c r="X4" s="618">
        <v>0.36402149671230677</v>
      </c>
      <c r="Y4" s="670">
        <v>1.2054999999999996E-2</v>
      </c>
      <c r="Z4" s="678">
        <v>0.1856245518869335</v>
      </c>
      <c r="AA4" s="675">
        <v>0.8143754481130665</v>
      </c>
      <c r="AB4" s="670">
        <v>0.25000000000000011</v>
      </c>
      <c r="AC4" s="682">
        <v>0.90155312799999998</v>
      </c>
      <c r="AD4" s="675">
        <v>0.42742400899999999</v>
      </c>
      <c r="AE4" s="670">
        <v>9.5000000000000015E-3</v>
      </c>
    </row>
    <row r="5" spans="1:31">
      <c r="A5" s="86" t="s">
        <v>957</v>
      </c>
      <c r="B5" s="88">
        <v>0.6052599213627764</v>
      </c>
      <c r="C5" s="88">
        <v>0.3947400786372236</v>
      </c>
      <c r="D5" s="88">
        <v>0.27</v>
      </c>
      <c r="E5" s="87">
        <v>1.5829076060557847</v>
      </c>
      <c r="F5" s="88">
        <v>0.40193094320645517</v>
      </c>
      <c r="G5" s="669">
        <v>2.0680000000000004E-2</v>
      </c>
      <c r="H5" s="88">
        <v>0.6052599213627764</v>
      </c>
      <c r="I5" s="88">
        <v>0.3947400786372236</v>
      </c>
      <c r="J5" s="88">
        <v>0.27</v>
      </c>
      <c r="K5" s="87">
        <v>1.5829076060557847</v>
      </c>
      <c r="L5" s="88">
        <v>0.40193094320645517</v>
      </c>
      <c r="M5" s="669">
        <v>2.0680000000000004E-2</v>
      </c>
      <c r="N5" s="88">
        <v>0.65075795959710081</v>
      </c>
      <c r="O5" s="88">
        <v>0.34924204040289919</v>
      </c>
      <c r="P5" s="88">
        <v>0.25</v>
      </c>
      <c r="Q5" s="87">
        <v>1.4159650876966507</v>
      </c>
      <c r="R5" s="88">
        <v>0.37727498727802966</v>
      </c>
      <c r="S5" s="669">
        <v>1.6199999999999999E-2</v>
      </c>
      <c r="T5" s="87">
        <v>0.61854039037606257</v>
      </c>
      <c r="U5" s="87">
        <v>0.38145960962393743</v>
      </c>
      <c r="V5" s="87">
        <v>0.24999999999999989</v>
      </c>
      <c r="W5" s="87">
        <v>1.2668401714816373</v>
      </c>
      <c r="X5" s="87">
        <v>0.44650998921901031</v>
      </c>
      <c r="Y5" s="669">
        <v>1.2054999999999996E-2</v>
      </c>
      <c r="Z5" s="667">
        <v>0.5165022574610012</v>
      </c>
      <c r="AA5" s="674">
        <v>0.4834977425389988</v>
      </c>
      <c r="AB5" s="669">
        <v>0.25</v>
      </c>
      <c r="AC5" s="681">
        <v>1.2360067379999999</v>
      </c>
      <c r="AD5" s="674">
        <v>0.65271638600000004</v>
      </c>
      <c r="AE5" s="669">
        <v>1.8300000000000004E-2</v>
      </c>
    </row>
    <row r="6" spans="1:31">
      <c r="A6" s="89" t="s">
        <v>958</v>
      </c>
      <c r="B6" s="88">
        <v>0.24009984482321389</v>
      </c>
      <c r="C6" s="88">
        <v>0.75990015517678611</v>
      </c>
      <c r="D6" s="88">
        <v>0.27</v>
      </c>
      <c r="E6" s="87">
        <v>1.2265825725549797</v>
      </c>
      <c r="F6" s="88">
        <v>0.43487047041029003</v>
      </c>
      <c r="G6" s="670">
        <v>2.0680000000000004E-2</v>
      </c>
      <c r="H6" s="88">
        <v>0.24009984482321389</v>
      </c>
      <c r="I6" s="88">
        <v>0.75990015517678611</v>
      </c>
      <c r="J6" s="88">
        <v>0.27</v>
      </c>
      <c r="K6" s="87">
        <v>1.2265825725549797</v>
      </c>
      <c r="L6" s="88">
        <v>0.43487047041029003</v>
      </c>
      <c r="M6" s="670">
        <v>2.0680000000000004E-2</v>
      </c>
      <c r="N6" s="88">
        <v>0.34024906959820889</v>
      </c>
      <c r="O6" s="88">
        <v>0.65975093040179111</v>
      </c>
      <c r="P6" s="88">
        <v>0.25</v>
      </c>
      <c r="Q6" s="87">
        <v>1.3246974025641622</v>
      </c>
      <c r="R6" s="88">
        <v>0.38508746928890447</v>
      </c>
      <c r="S6" s="670">
        <v>1.6199999999999999E-2</v>
      </c>
      <c r="T6" s="87">
        <v>0.3277875013609528</v>
      </c>
      <c r="U6" s="87">
        <v>0.6722124986390472</v>
      </c>
      <c r="V6" s="87">
        <v>0.24999999999999989</v>
      </c>
      <c r="W6" s="87">
        <v>1.1946998769689117</v>
      </c>
      <c r="X6" s="87">
        <v>0.37035509904588476</v>
      </c>
      <c r="Y6" s="670">
        <v>1.2054999999999996E-2</v>
      </c>
      <c r="Z6" s="678">
        <v>0.31454440216295954</v>
      </c>
      <c r="AA6" s="675">
        <v>0.68545559783704046</v>
      </c>
      <c r="AB6" s="670">
        <v>0.25000000000000011</v>
      </c>
      <c r="AC6" s="682">
        <v>0.99056804600000004</v>
      </c>
      <c r="AD6" s="675">
        <v>0.50926388199999995</v>
      </c>
      <c r="AE6" s="670">
        <v>1.2000000000000004E-2</v>
      </c>
    </row>
    <row r="7" spans="1:31">
      <c r="A7" s="86" t="s">
        <v>959</v>
      </c>
      <c r="B7" s="88">
        <v>0.16570496371337884</v>
      </c>
      <c r="C7" s="88">
        <v>0.83429503628662116</v>
      </c>
      <c r="D7" s="88">
        <v>0.27</v>
      </c>
      <c r="E7" s="87">
        <v>1.129306321775833</v>
      </c>
      <c r="F7" s="88">
        <v>0.54776880027636599</v>
      </c>
      <c r="G7" s="669">
        <v>2.0680000000000004E-2</v>
      </c>
      <c r="H7" s="88">
        <v>0.16570496371337884</v>
      </c>
      <c r="I7" s="88">
        <v>0.83429503628662116</v>
      </c>
      <c r="J7" s="88">
        <v>0.27</v>
      </c>
      <c r="K7" s="87">
        <v>1.129306321775833</v>
      </c>
      <c r="L7" s="88">
        <v>0.54776880027636599</v>
      </c>
      <c r="M7" s="669">
        <v>2.0680000000000004E-2</v>
      </c>
      <c r="N7" s="88">
        <v>0.33418107062895108</v>
      </c>
      <c r="O7" s="88">
        <v>0.66581892937104892</v>
      </c>
      <c r="P7" s="88">
        <v>0.25000000000000011</v>
      </c>
      <c r="Q7" s="87">
        <v>1.5405976750533805</v>
      </c>
      <c r="R7" s="88">
        <v>0.52614124875248369</v>
      </c>
      <c r="S7" s="669">
        <v>2.0000000000000004E-2</v>
      </c>
      <c r="T7" s="87">
        <v>0.23675434053330369</v>
      </c>
      <c r="U7" s="87">
        <v>0.76324565946669631</v>
      </c>
      <c r="V7" s="87">
        <v>0.25000000000000011</v>
      </c>
      <c r="W7" s="87">
        <v>1.5223779065768546</v>
      </c>
      <c r="X7" s="87">
        <v>0.59698514250325996</v>
      </c>
      <c r="Y7" s="669">
        <v>1.4724000000000001E-2</v>
      </c>
      <c r="Z7" s="667">
        <v>0.18297970555959275</v>
      </c>
      <c r="AA7" s="674">
        <v>0.81702029444040725</v>
      </c>
      <c r="AB7" s="669">
        <v>0.25</v>
      </c>
      <c r="AC7" s="681">
        <v>1.6154126449999999</v>
      </c>
      <c r="AD7" s="674">
        <v>0.77591112299999998</v>
      </c>
      <c r="AE7" s="669">
        <v>1.8300000000000004E-2</v>
      </c>
    </row>
    <row r="8" spans="1:31">
      <c r="A8" s="89" t="s">
        <v>960</v>
      </c>
      <c r="B8" s="88">
        <v>0.24056373190497871</v>
      </c>
      <c r="C8" s="88">
        <v>0.75943626809502129</v>
      </c>
      <c r="D8" s="88">
        <v>0.27</v>
      </c>
      <c r="E8" s="87">
        <v>1.3980688847319374</v>
      </c>
      <c r="F8" s="88">
        <v>0.37140419964616195</v>
      </c>
      <c r="G8" s="670">
        <v>2.0680000000000004E-2</v>
      </c>
      <c r="H8" s="88">
        <v>0.24056373190497871</v>
      </c>
      <c r="I8" s="88">
        <v>0.75943626809502129</v>
      </c>
      <c r="J8" s="88">
        <v>0.27</v>
      </c>
      <c r="K8" s="87">
        <v>1.3980688847319374</v>
      </c>
      <c r="L8" s="88">
        <v>0.37140419964616195</v>
      </c>
      <c r="M8" s="670">
        <v>1.6500000000000001E-2</v>
      </c>
      <c r="N8" s="88">
        <v>0.29901008239034443</v>
      </c>
      <c r="O8" s="88">
        <v>0.70098991760965557</v>
      </c>
      <c r="P8" s="88">
        <v>0.25</v>
      </c>
      <c r="Q8" s="87">
        <v>1.4739918130238336</v>
      </c>
      <c r="R8" s="88">
        <v>0.39519394771296495</v>
      </c>
      <c r="S8" s="670">
        <v>1.6199999999999999E-2</v>
      </c>
      <c r="T8" s="87">
        <v>0.27766271587270186</v>
      </c>
      <c r="U8" s="87">
        <v>0.72233728412729814</v>
      </c>
      <c r="V8" s="87">
        <v>0.24999999999999989</v>
      </c>
      <c r="W8" s="87">
        <v>1.3444265903808044</v>
      </c>
      <c r="X8" s="87">
        <v>0.37071964001600449</v>
      </c>
      <c r="Y8" s="670">
        <v>1.2054999999999996E-2</v>
      </c>
      <c r="Z8" s="678">
        <v>0.32356185494134126</v>
      </c>
      <c r="AA8" s="675">
        <v>0.67643814505865874</v>
      </c>
      <c r="AB8" s="670">
        <v>0.25000000000000011</v>
      </c>
      <c r="AC8" s="682">
        <v>1.2251237829999999</v>
      </c>
      <c r="AD8" s="675">
        <v>0.52623748699999995</v>
      </c>
      <c r="AE8" s="670">
        <v>1.2000000000000004E-2</v>
      </c>
    </row>
    <row r="9" spans="1:31">
      <c r="A9" s="86" t="s">
        <v>961</v>
      </c>
      <c r="B9" s="88">
        <v>0.17638569922054992</v>
      </c>
      <c r="C9" s="88">
        <v>0.82361430077945008</v>
      </c>
      <c r="D9" s="88">
        <v>0.27</v>
      </c>
      <c r="E9" s="87">
        <v>0.81936464501292028</v>
      </c>
      <c r="F9" s="88">
        <v>0.37865995834360078</v>
      </c>
      <c r="G9" s="669">
        <v>1.6500000000000001E-2</v>
      </c>
      <c r="H9" s="88">
        <v>0.17638569922054992</v>
      </c>
      <c r="I9" s="88">
        <v>0.82361430077945008</v>
      </c>
      <c r="J9" s="88">
        <v>0.27</v>
      </c>
      <c r="K9" s="87">
        <v>0.81936464501292028</v>
      </c>
      <c r="L9" s="88">
        <v>0.37865995834360078</v>
      </c>
      <c r="M9" s="669">
        <v>1.6500000000000001E-2</v>
      </c>
      <c r="N9" s="88">
        <v>0.18639448485009491</v>
      </c>
      <c r="O9" s="88">
        <v>0.81360551514990509</v>
      </c>
      <c r="P9" s="88">
        <v>0.25</v>
      </c>
      <c r="Q9" s="87">
        <v>1.0129742331996445</v>
      </c>
      <c r="R9" s="88">
        <v>0.49874676442989341</v>
      </c>
      <c r="S9" s="669">
        <v>1.6199999999999999E-2</v>
      </c>
      <c r="T9" s="87">
        <v>0.19656022020066688</v>
      </c>
      <c r="U9" s="87">
        <v>0.80343977979933312</v>
      </c>
      <c r="V9" s="87">
        <v>0.24999999999999989</v>
      </c>
      <c r="W9" s="87">
        <v>1.1318349126688121</v>
      </c>
      <c r="X9" s="87">
        <v>0.4970414041193621</v>
      </c>
      <c r="Y9" s="685">
        <v>1.2054999999999996E-2</v>
      </c>
      <c r="Z9" s="667">
        <v>0.23351097343727722</v>
      </c>
      <c r="AA9" s="674">
        <v>0.76648902656272278</v>
      </c>
      <c r="AB9" s="669">
        <v>0.25000000000000011</v>
      </c>
      <c r="AC9" s="681">
        <v>0.610297863</v>
      </c>
      <c r="AD9" s="674">
        <v>0.63076375600000001</v>
      </c>
      <c r="AE9" s="669">
        <v>1.2000000000000004E-2</v>
      </c>
    </row>
    <row r="10" spans="1:31">
      <c r="A10" s="89" t="s">
        <v>962</v>
      </c>
      <c r="B10" s="88">
        <v>0.14271344348026316</v>
      </c>
      <c r="C10" s="88">
        <v>0.85728655651973684</v>
      </c>
      <c r="D10" s="88">
        <v>0.27</v>
      </c>
      <c r="E10" s="87">
        <v>1.215686535925268</v>
      </c>
      <c r="F10" s="88">
        <v>0.4826538885579737</v>
      </c>
      <c r="G10" s="670">
        <v>2.0680000000000004E-2</v>
      </c>
      <c r="H10" s="88">
        <v>0.14271344348026316</v>
      </c>
      <c r="I10" s="88">
        <v>0.85728655651973684</v>
      </c>
      <c r="J10" s="88">
        <v>0.27</v>
      </c>
      <c r="K10" s="87">
        <v>1.215686535925268</v>
      </c>
      <c r="L10" s="88">
        <v>0.4826538885579737</v>
      </c>
      <c r="M10" s="670">
        <v>2.0680000000000004E-2</v>
      </c>
      <c r="N10" s="88">
        <v>0.13246439822297762</v>
      </c>
      <c r="O10" s="88">
        <v>0.86753560177702238</v>
      </c>
      <c r="P10" s="88">
        <v>0.25</v>
      </c>
      <c r="Q10" s="87">
        <v>1.3034433070435496</v>
      </c>
      <c r="R10" s="88">
        <v>0.41717146856964005</v>
      </c>
      <c r="S10" s="670">
        <v>1.6199999999999999E-2</v>
      </c>
      <c r="T10" s="87">
        <v>0.14615787524295454</v>
      </c>
      <c r="U10" s="87">
        <v>0.85384212475704546</v>
      </c>
      <c r="V10" s="87">
        <v>0.24999999999999989</v>
      </c>
      <c r="W10" s="87">
        <v>0.76414587542458534</v>
      </c>
      <c r="X10" s="87">
        <v>0.42961071148670704</v>
      </c>
      <c r="Y10" s="670">
        <v>1.2054999999999996E-2</v>
      </c>
      <c r="Z10" s="678">
        <v>0.16479514715168564</v>
      </c>
      <c r="AA10" s="675">
        <v>0.83520485284831436</v>
      </c>
      <c r="AB10" s="670">
        <v>0.25000000000000011</v>
      </c>
      <c r="AC10" s="682">
        <v>0.56776610100000002</v>
      </c>
      <c r="AD10" s="675">
        <v>0.47670267799999999</v>
      </c>
      <c r="AE10" s="670">
        <v>1.2000000000000004E-2</v>
      </c>
    </row>
    <row r="11" spans="1:31">
      <c r="A11" s="86" t="s">
        <v>963</v>
      </c>
      <c r="B11" s="88">
        <v>0.53879275926239534</v>
      </c>
      <c r="C11" s="88">
        <v>0.46120724073760466</v>
      </c>
      <c r="D11" s="88">
        <v>0.27</v>
      </c>
      <c r="E11" s="87">
        <v>1.3520952869467548</v>
      </c>
      <c r="F11" s="88">
        <v>0.48769409629655158</v>
      </c>
      <c r="G11" s="669">
        <v>2.0680000000000004E-2</v>
      </c>
      <c r="H11" s="88">
        <v>0.53879275926239534</v>
      </c>
      <c r="I11" s="88">
        <v>0.46120724073760466</v>
      </c>
      <c r="J11" s="88">
        <v>0.27</v>
      </c>
      <c r="K11" s="87">
        <v>1.3520952869467548</v>
      </c>
      <c r="L11" s="88">
        <v>0.48769409629655158</v>
      </c>
      <c r="M11" s="669">
        <v>2.0680000000000004E-2</v>
      </c>
      <c r="N11" s="88">
        <v>0.59486626883899241</v>
      </c>
      <c r="O11" s="88">
        <v>0.40513373116100759</v>
      </c>
      <c r="P11" s="88">
        <v>0.25</v>
      </c>
      <c r="Q11" s="87">
        <v>1.3220586425472229</v>
      </c>
      <c r="R11" s="88">
        <v>0.468984145587513</v>
      </c>
      <c r="S11" s="669">
        <v>1.6199999999999999E-2</v>
      </c>
      <c r="T11" s="87">
        <v>0.63820798682921376</v>
      </c>
      <c r="U11" s="87">
        <v>0.36179201317078624</v>
      </c>
      <c r="V11" s="87">
        <v>0.24999999999999989</v>
      </c>
      <c r="W11" s="87">
        <v>1.0609243999049403</v>
      </c>
      <c r="X11" s="87">
        <v>0.38457133667076027</v>
      </c>
      <c r="Y11" s="669">
        <v>1.2054999999999996E-2</v>
      </c>
      <c r="Z11" s="667">
        <v>0.59929947491538105</v>
      </c>
      <c r="AA11" s="674">
        <v>0.40070052508461895</v>
      </c>
      <c r="AB11" s="669">
        <v>0.25000000000000011</v>
      </c>
      <c r="AC11" s="681">
        <v>0.91752363299999995</v>
      </c>
      <c r="AD11" s="674">
        <v>0.52595168000000003</v>
      </c>
      <c r="AE11" s="669">
        <v>1.2000000000000004E-2</v>
      </c>
    </row>
    <row r="12" spans="1:31">
      <c r="A12" s="89" t="s">
        <v>964</v>
      </c>
      <c r="B12" s="88">
        <v>0.64599682229673805</v>
      </c>
      <c r="C12" s="88">
        <v>0.35400317770326195</v>
      </c>
      <c r="D12" s="88">
        <v>0.27</v>
      </c>
      <c r="E12" s="87">
        <v>1.1749812758826836</v>
      </c>
      <c r="F12" s="88">
        <v>0.31739360898024499</v>
      </c>
      <c r="G12" s="670">
        <v>1.6500000000000001E-2</v>
      </c>
      <c r="H12" s="88">
        <v>0.64599682229673805</v>
      </c>
      <c r="I12" s="88">
        <v>0.35400317770326195</v>
      </c>
      <c r="J12" s="88">
        <v>0.27</v>
      </c>
      <c r="K12" s="87">
        <v>1.1749812758826836</v>
      </c>
      <c r="L12" s="88">
        <v>0.31739360898024499</v>
      </c>
      <c r="M12" s="670">
        <v>1.6500000000000001E-2</v>
      </c>
      <c r="N12" s="88">
        <v>0.66787153511038466</v>
      </c>
      <c r="O12" s="88">
        <v>0.33212846488961534</v>
      </c>
      <c r="P12" s="88">
        <v>0.25</v>
      </c>
      <c r="Q12" s="87">
        <v>1.2048082896180194</v>
      </c>
      <c r="R12" s="88">
        <v>0.27996249256243011</v>
      </c>
      <c r="S12" s="670">
        <v>1.6199999999999999E-2</v>
      </c>
      <c r="T12" s="87">
        <v>0.69330765887708945</v>
      </c>
      <c r="U12" s="87">
        <v>0.30669234112291055</v>
      </c>
      <c r="V12" s="87">
        <v>0.24999999999999989</v>
      </c>
      <c r="W12" s="87">
        <v>1.120326193984736</v>
      </c>
      <c r="X12" s="87">
        <v>0.25213732428210645</v>
      </c>
      <c r="Y12" s="670">
        <v>1.2054999999999996E-2</v>
      </c>
      <c r="Z12" s="678">
        <v>0.65106514891653355</v>
      </c>
      <c r="AA12" s="675">
        <v>0.34893485108346645</v>
      </c>
      <c r="AB12" s="670">
        <v>0.25000000000000011</v>
      </c>
      <c r="AC12" s="682">
        <v>0.95226740499999996</v>
      </c>
      <c r="AD12" s="675">
        <v>0.40490891200000001</v>
      </c>
      <c r="AE12" s="670">
        <v>9.5000000000000015E-3</v>
      </c>
    </row>
    <row r="13" spans="1:31">
      <c r="A13" s="86" t="s">
        <v>965</v>
      </c>
      <c r="B13" s="88">
        <v>0.15787201839638798</v>
      </c>
      <c r="C13" s="88">
        <v>0.84212798160361202</v>
      </c>
      <c r="D13" s="88">
        <v>0.27</v>
      </c>
      <c r="E13" s="87">
        <v>1.1871342649276129</v>
      </c>
      <c r="F13" s="88">
        <v>0.3453500897694991</v>
      </c>
      <c r="G13" s="669">
        <v>1.6500000000000001E-2</v>
      </c>
      <c r="H13" s="88">
        <v>0.15787201839638798</v>
      </c>
      <c r="I13" s="88">
        <v>0.84212798160361202</v>
      </c>
      <c r="J13" s="88">
        <v>0.27</v>
      </c>
      <c r="K13" s="87">
        <v>1.1871342649276129</v>
      </c>
      <c r="L13" s="88">
        <v>0.3453500897694991</v>
      </c>
      <c r="M13" s="669">
        <v>1.6500000000000001E-2</v>
      </c>
      <c r="N13" s="88">
        <v>0.2243625152024018</v>
      </c>
      <c r="O13" s="88">
        <v>0.7756374847975982</v>
      </c>
      <c r="P13" s="88">
        <v>0.25</v>
      </c>
      <c r="Q13" s="87">
        <v>1.277280094823728</v>
      </c>
      <c r="R13" s="88">
        <v>0.29189913847162119</v>
      </c>
      <c r="S13" s="669">
        <v>1.6199999999999999E-2</v>
      </c>
      <c r="T13" s="87">
        <v>0.15361123144803446</v>
      </c>
      <c r="U13" s="87">
        <v>0.84638876855196554</v>
      </c>
      <c r="V13" s="87">
        <v>0.24999999999999989</v>
      </c>
      <c r="W13" s="87">
        <v>1.3177985305249351</v>
      </c>
      <c r="X13" s="87">
        <v>0.28715879840268466</v>
      </c>
      <c r="Y13" s="669">
        <v>1.2054999999999996E-2</v>
      </c>
      <c r="Z13" s="667">
        <v>0.15947307956364898</v>
      </c>
      <c r="AA13" s="674">
        <v>0.84052692043635102</v>
      </c>
      <c r="AB13" s="669">
        <v>0.25000000000000011</v>
      </c>
      <c r="AC13" s="681">
        <v>1.3598827170000001</v>
      </c>
      <c r="AD13" s="674">
        <v>0.34747492800000002</v>
      </c>
      <c r="AE13" s="669">
        <v>9.5000000000000015E-3</v>
      </c>
    </row>
    <row r="14" spans="1:31">
      <c r="A14" s="89" t="s">
        <v>966</v>
      </c>
      <c r="B14" s="88">
        <v>0.18294499348775206</v>
      </c>
      <c r="C14" s="88">
        <v>0.81705500651224794</v>
      </c>
      <c r="D14" s="88">
        <v>0.27</v>
      </c>
      <c r="E14" s="87">
        <v>1.0891943033566154</v>
      </c>
      <c r="F14" s="88">
        <v>0.41173436630184901</v>
      </c>
      <c r="G14" s="670">
        <v>2.0680000000000004E-2</v>
      </c>
      <c r="H14" s="88">
        <v>0.18294499348775206</v>
      </c>
      <c r="I14" s="88">
        <v>0.81705500651224794</v>
      </c>
      <c r="J14" s="88">
        <v>0.27</v>
      </c>
      <c r="K14" s="87">
        <v>1.0891943033566154</v>
      </c>
      <c r="L14" s="88">
        <v>0.41173436630184901</v>
      </c>
      <c r="M14" s="670">
        <v>2.0680000000000004E-2</v>
      </c>
      <c r="N14" s="88">
        <v>0.21552515508878378</v>
      </c>
      <c r="O14" s="88">
        <v>0.78447484491121622</v>
      </c>
      <c r="P14" s="88">
        <v>0.25</v>
      </c>
      <c r="Q14" s="87">
        <v>1.1709200204529924</v>
      </c>
      <c r="R14" s="88">
        <v>0.45782493709706812</v>
      </c>
      <c r="S14" s="670">
        <v>1.6199999999999999E-2</v>
      </c>
      <c r="T14" s="87">
        <v>0.15210606535531057</v>
      </c>
      <c r="U14" s="87">
        <v>0.84789393464468943</v>
      </c>
      <c r="V14" s="87">
        <v>0.24999999999999989</v>
      </c>
      <c r="W14" s="87">
        <v>1.0221017216409709</v>
      </c>
      <c r="X14" s="87">
        <v>0.41290054994468384</v>
      </c>
      <c r="Y14" s="670">
        <v>1.2054999999999996E-2</v>
      </c>
      <c r="Z14" s="678">
        <v>0.14369515909210706</v>
      </c>
      <c r="AA14" s="675">
        <v>0.85630484090789294</v>
      </c>
      <c r="AB14" s="670">
        <v>0.25000000000000011</v>
      </c>
      <c r="AC14" s="682">
        <v>1.0038499599999999</v>
      </c>
      <c r="AD14" s="675">
        <v>0.453932055</v>
      </c>
      <c r="AE14" s="670">
        <v>1.2000000000000004E-2</v>
      </c>
    </row>
    <row r="15" spans="1:31">
      <c r="A15" s="86" t="s">
        <v>967</v>
      </c>
      <c r="B15" s="88">
        <v>0.37544985904031958</v>
      </c>
      <c r="C15" s="88">
        <v>0.62455014095968042</v>
      </c>
      <c r="D15" s="88">
        <v>0.27</v>
      </c>
      <c r="E15" s="87">
        <v>0.93412874253081224</v>
      </c>
      <c r="F15" s="88">
        <v>0.20073197351870248</v>
      </c>
      <c r="G15" s="669">
        <v>1.6500000000000001E-2</v>
      </c>
      <c r="H15" s="88">
        <v>0.37544985904031958</v>
      </c>
      <c r="I15" s="88">
        <v>0.62455014095968042</v>
      </c>
      <c r="J15" s="88">
        <v>0.27</v>
      </c>
      <c r="K15" s="87">
        <v>0.93412874253081224</v>
      </c>
      <c r="L15" s="88">
        <v>0.20073197351870248</v>
      </c>
      <c r="M15" s="669">
        <v>9.9000000000000008E-3</v>
      </c>
      <c r="N15" s="88">
        <v>0.51752783876705177</v>
      </c>
      <c r="O15" s="88">
        <v>0.48247216123294823</v>
      </c>
      <c r="P15" s="88">
        <v>0.25</v>
      </c>
      <c r="Q15" s="87">
        <v>1.2551641961018303</v>
      </c>
      <c r="R15" s="88">
        <v>0.25406917505650006</v>
      </c>
      <c r="S15" s="669">
        <v>1.6199999999999999E-2</v>
      </c>
      <c r="T15" s="87">
        <v>0.50426003463258229</v>
      </c>
      <c r="U15" s="87">
        <v>0.49573996536741771</v>
      </c>
      <c r="V15" s="87">
        <v>0.24999999999999989</v>
      </c>
      <c r="W15" s="87">
        <v>1.2767983158980267</v>
      </c>
      <c r="X15" s="87">
        <v>0.3300530419558696</v>
      </c>
      <c r="Y15" s="669">
        <v>1.2054999999999996E-2</v>
      </c>
      <c r="Z15" s="667">
        <v>0.55821493937236766</v>
      </c>
      <c r="AA15" s="674">
        <v>0.44178506062763234</v>
      </c>
      <c r="AB15" s="669">
        <v>0.25000000000000011</v>
      </c>
      <c r="AC15" s="681">
        <v>0.960510745</v>
      </c>
      <c r="AD15" s="674">
        <v>0.49732784200000002</v>
      </c>
      <c r="AE15" s="669">
        <v>1.2000000000000004E-2</v>
      </c>
    </row>
    <row r="16" spans="1:31">
      <c r="A16" s="89" t="s">
        <v>968</v>
      </c>
      <c r="B16" s="88">
        <v>0.30918659624352085</v>
      </c>
      <c r="C16" s="88">
        <v>0.69081340375647915</v>
      </c>
      <c r="D16" s="88">
        <v>0.27</v>
      </c>
      <c r="E16" s="87">
        <v>1.1624244348249126</v>
      </c>
      <c r="F16" s="88">
        <v>0.4501887768770812</v>
      </c>
      <c r="G16" s="670">
        <v>2.0680000000000004E-2</v>
      </c>
      <c r="H16" s="88">
        <v>0.30918659624352085</v>
      </c>
      <c r="I16" s="88">
        <v>0.69081340375647915</v>
      </c>
      <c r="J16" s="88">
        <v>0.27</v>
      </c>
      <c r="K16" s="87">
        <v>1.1624244348249126</v>
      </c>
      <c r="L16" s="88">
        <v>0.4501887768770812</v>
      </c>
      <c r="M16" s="670">
        <v>2.0680000000000004E-2</v>
      </c>
      <c r="N16" s="88">
        <v>0.32569374593561318</v>
      </c>
      <c r="O16" s="88">
        <v>0.67430625406438682</v>
      </c>
      <c r="P16" s="88">
        <v>0.25</v>
      </c>
      <c r="Q16" s="87">
        <v>1.2471014770997904</v>
      </c>
      <c r="R16" s="88">
        <v>0.46579004421759862</v>
      </c>
      <c r="S16" s="670">
        <v>1.6199999999999999E-2</v>
      </c>
      <c r="T16" s="87">
        <v>0.31354657676699071</v>
      </c>
      <c r="U16" s="87">
        <v>0.68645342323300929</v>
      </c>
      <c r="V16" s="87">
        <v>0.24999999999999989</v>
      </c>
      <c r="W16" s="87">
        <v>1.096267077331708</v>
      </c>
      <c r="X16" s="87">
        <v>0.38924523542650602</v>
      </c>
      <c r="Y16" s="670">
        <v>1.2054999999999996E-2</v>
      </c>
      <c r="Z16" s="678">
        <v>0.36810087599643493</v>
      </c>
      <c r="AA16" s="675">
        <v>0.63189912400356507</v>
      </c>
      <c r="AB16" s="670">
        <v>0.25000000000000011</v>
      </c>
      <c r="AC16" s="682">
        <v>1.1476869220000001</v>
      </c>
      <c r="AD16" s="675">
        <v>0.500216196</v>
      </c>
      <c r="AE16" s="670">
        <v>1.2000000000000004E-2</v>
      </c>
    </row>
    <row r="17" spans="1:31">
      <c r="A17" s="86" t="s">
        <v>969</v>
      </c>
      <c r="B17" s="88">
        <v>0.32156484408921215</v>
      </c>
      <c r="C17" s="88">
        <v>0.67843515591078785</v>
      </c>
      <c r="D17" s="88">
        <v>0.27</v>
      </c>
      <c r="E17" s="87">
        <v>1.5028204045767186</v>
      </c>
      <c r="F17" s="88">
        <v>0.37291591458524248</v>
      </c>
      <c r="G17" s="669">
        <v>1.6500000000000001E-2</v>
      </c>
      <c r="H17" s="88">
        <v>0.32156484408921215</v>
      </c>
      <c r="I17" s="88">
        <v>0.67843515591078785</v>
      </c>
      <c r="J17" s="88">
        <v>0.27</v>
      </c>
      <c r="K17" s="87">
        <v>1.5028204045767186</v>
      </c>
      <c r="L17" s="88">
        <v>0.37291591458524248</v>
      </c>
      <c r="M17" s="669">
        <v>1.6500000000000001E-2</v>
      </c>
      <c r="N17" s="88">
        <v>0.36805699288839211</v>
      </c>
      <c r="O17" s="88">
        <v>0.63194300711160789</v>
      </c>
      <c r="P17" s="88">
        <v>0.25</v>
      </c>
      <c r="Q17" s="87">
        <v>1.4125912305600932</v>
      </c>
      <c r="R17" s="88">
        <v>0.39493176140036279</v>
      </c>
      <c r="S17" s="669">
        <v>1.6199999999999999E-2</v>
      </c>
      <c r="T17" s="87">
        <v>0.41012862019663632</v>
      </c>
      <c r="U17" s="87">
        <v>0.58987137980336368</v>
      </c>
      <c r="V17" s="87">
        <v>0.24999999999999989</v>
      </c>
      <c r="W17" s="87">
        <v>1.1332797311390761</v>
      </c>
      <c r="X17" s="87">
        <v>0.37242278384437877</v>
      </c>
      <c r="Y17" s="669">
        <v>1.2054999999999996E-2</v>
      </c>
      <c r="Z17" s="667">
        <v>0.53078499492481368</v>
      </c>
      <c r="AA17" s="674">
        <v>0.46921500507518632</v>
      </c>
      <c r="AB17" s="669">
        <v>0.25000000000000011</v>
      </c>
      <c r="AC17" s="681">
        <v>0.99413866200000001</v>
      </c>
      <c r="AD17" s="674">
        <v>0.46970419400000002</v>
      </c>
      <c r="AE17" s="669">
        <v>1.2000000000000004E-2</v>
      </c>
    </row>
    <row r="18" spans="1:31">
      <c r="A18" s="89" t="s">
        <v>970</v>
      </c>
      <c r="B18" s="88">
        <v>0.16295575914951277</v>
      </c>
      <c r="C18" s="88">
        <v>0.83704424085048723</v>
      </c>
      <c r="D18" s="88">
        <v>0.27</v>
      </c>
      <c r="E18" s="87">
        <v>1.1027466358300211</v>
      </c>
      <c r="F18" s="88">
        <v>0.40723720919299955</v>
      </c>
      <c r="G18" s="670">
        <v>1.6500000000000001E-2</v>
      </c>
      <c r="H18" s="88">
        <v>0.16295575914951277</v>
      </c>
      <c r="I18" s="88">
        <v>0.83704424085048723</v>
      </c>
      <c r="J18" s="88">
        <v>0.27</v>
      </c>
      <c r="K18" s="87">
        <v>1.1027466358300211</v>
      </c>
      <c r="L18" s="88">
        <v>0.40723720919299955</v>
      </c>
      <c r="M18" s="670">
        <v>2.0680000000000004E-2</v>
      </c>
      <c r="N18" s="88">
        <v>0.2150973328840895</v>
      </c>
      <c r="O18" s="88">
        <v>0.7849026671159105</v>
      </c>
      <c r="P18" s="88">
        <v>0.25</v>
      </c>
      <c r="Q18" s="87">
        <v>1.2772947079305697</v>
      </c>
      <c r="R18" s="88">
        <v>0.42320469092143559</v>
      </c>
      <c r="S18" s="670">
        <v>1.6199999999999999E-2</v>
      </c>
      <c r="T18" s="87">
        <v>0.21148852013848729</v>
      </c>
      <c r="U18" s="87">
        <v>0.78851147986151271</v>
      </c>
      <c r="V18" s="87">
        <v>0.24999999999999989</v>
      </c>
      <c r="W18" s="87">
        <v>1.0873832852797658</v>
      </c>
      <c r="X18" s="87">
        <v>0.36600539277751015</v>
      </c>
      <c r="Y18" s="670">
        <v>1.2054999999999996E-2</v>
      </c>
      <c r="Z18" s="678">
        <v>0.21336957255391775</v>
      </c>
      <c r="AA18" s="675">
        <v>0.78663042744608225</v>
      </c>
      <c r="AB18" s="670">
        <v>0.25000000000000011</v>
      </c>
      <c r="AC18" s="682">
        <v>0.92154890700000003</v>
      </c>
      <c r="AD18" s="675">
        <v>0.48149355100000002</v>
      </c>
      <c r="AE18" s="670">
        <v>1.2000000000000004E-2</v>
      </c>
    </row>
    <row r="19" spans="1:31">
      <c r="A19" s="384" t="s">
        <v>971</v>
      </c>
      <c r="B19" s="88">
        <v>0.2940274589066163</v>
      </c>
      <c r="C19" s="88">
        <v>0.7059725410933837</v>
      </c>
      <c r="D19" s="88">
        <v>0.27</v>
      </c>
      <c r="E19" s="87">
        <v>0.91562861731458423</v>
      </c>
      <c r="F19" s="88">
        <v>0.58569716334995692</v>
      </c>
      <c r="G19" s="669">
        <v>2.0680000000000004E-2</v>
      </c>
      <c r="H19" s="88">
        <v>0.2940274589066163</v>
      </c>
      <c r="I19" s="88">
        <v>0.7059725410933837</v>
      </c>
      <c r="J19" s="88">
        <v>0.27</v>
      </c>
      <c r="K19" s="87">
        <v>0.91562861731458423</v>
      </c>
      <c r="L19" s="88">
        <v>0.58569716334995692</v>
      </c>
      <c r="M19" s="669">
        <v>2.0680000000000004E-2</v>
      </c>
      <c r="N19" s="88">
        <v>0.17836697027388981</v>
      </c>
      <c r="O19" s="88">
        <v>0.82163302972611019</v>
      </c>
      <c r="P19" s="88">
        <v>0.25000000000000011</v>
      </c>
      <c r="Q19" s="87">
        <v>1.4521788818808701</v>
      </c>
      <c r="R19" s="88">
        <v>0.61956739404999339</v>
      </c>
      <c r="S19" s="669">
        <v>2.0000000000000004E-2</v>
      </c>
      <c r="T19" s="87">
        <v>0.18396815851589854</v>
      </c>
      <c r="U19" s="87">
        <v>0.81603184148410146</v>
      </c>
      <c r="V19" s="87">
        <v>0.25000000000000011</v>
      </c>
      <c r="W19" s="87">
        <v>1.2707580825145446</v>
      </c>
      <c r="X19" s="87">
        <v>0.55692259899700314</v>
      </c>
      <c r="Y19" s="669">
        <v>1.4724000000000001E-2</v>
      </c>
      <c r="Z19" s="667">
        <v>8.6500147949945871E-2</v>
      </c>
      <c r="AA19" s="674">
        <v>0.91349985205005413</v>
      </c>
      <c r="AB19" s="669">
        <v>0.25000000000000011</v>
      </c>
      <c r="AC19" s="681">
        <v>1.1820629970000001</v>
      </c>
      <c r="AD19" s="674">
        <v>0.53778222899999994</v>
      </c>
      <c r="AE19" s="669">
        <v>1.2000000000000004E-2</v>
      </c>
    </row>
    <row r="20" spans="1:31">
      <c r="A20" s="89" t="s">
        <v>972</v>
      </c>
      <c r="B20" s="88">
        <v>0.21223039185456338</v>
      </c>
      <c r="C20" s="88">
        <v>0.78776960814543662</v>
      </c>
      <c r="D20" s="88">
        <v>0.27</v>
      </c>
      <c r="E20" s="87">
        <v>1.1988227196575996</v>
      </c>
      <c r="F20" s="88">
        <v>0.48442476717078692</v>
      </c>
      <c r="G20" s="670">
        <v>2.0680000000000004E-2</v>
      </c>
      <c r="H20" s="88">
        <v>0.21223039185456338</v>
      </c>
      <c r="I20" s="88">
        <v>0.78776960814543662</v>
      </c>
      <c r="J20" s="88">
        <v>0.27</v>
      </c>
      <c r="K20" s="87">
        <v>1.1988227196575996</v>
      </c>
      <c r="L20" s="88">
        <v>0.48442476717078692</v>
      </c>
      <c r="M20" s="670">
        <v>2.0680000000000004E-2</v>
      </c>
      <c r="N20" s="88">
        <v>0.24564199162920453</v>
      </c>
      <c r="O20" s="88">
        <v>0.75435800837079547</v>
      </c>
      <c r="P20" s="88">
        <v>0.25</v>
      </c>
      <c r="Q20" s="87">
        <v>1.1713869322889647</v>
      </c>
      <c r="R20" s="88">
        <v>0.47775300169020696</v>
      </c>
      <c r="S20" s="670">
        <v>1.6199999999999999E-2</v>
      </c>
      <c r="T20" s="87">
        <v>0.22566035729965528</v>
      </c>
      <c r="U20" s="87">
        <v>0.77433964270034472</v>
      </c>
      <c r="V20" s="87">
        <v>0.24999999999999989</v>
      </c>
      <c r="W20" s="87">
        <v>0.99732353782806837</v>
      </c>
      <c r="X20" s="87">
        <v>0.49612772702274627</v>
      </c>
      <c r="Y20" s="670">
        <v>1.2054999999999996E-2</v>
      </c>
      <c r="Z20" s="678">
        <v>0.2084227141190923</v>
      </c>
      <c r="AA20" s="675">
        <v>0.7915772858809077</v>
      </c>
      <c r="AB20" s="670">
        <v>0.25000000000000011</v>
      </c>
      <c r="AC20" s="682">
        <v>1.234460621</v>
      </c>
      <c r="AD20" s="675">
        <v>0.44396278700000003</v>
      </c>
      <c r="AE20" s="670">
        <v>9.5000000000000015E-3</v>
      </c>
    </row>
    <row r="21" spans="1:31">
      <c r="A21" s="86" t="s">
        <v>973</v>
      </c>
      <c r="B21" s="88">
        <v>7.0429273759932132E-2</v>
      </c>
      <c r="C21" s="88">
        <v>0.92957072624006787</v>
      </c>
      <c r="D21" s="88">
        <v>0.27</v>
      </c>
      <c r="E21" s="87">
        <v>1.2867471319469845</v>
      </c>
      <c r="F21" s="88">
        <v>0.51273763968373698</v>
      </c>
      <c r="G21" s="669">
        <v>2.0680000000000004E-2</v>
      </c>
      <c r="H21" s="88">
        <v>7.0429273759932132E-2</v>
      </c>
      <c r="I21" s="88">
        <v>0.92957072624006787</v>
      </c>
      <c r="J21" s="88">
        <v>0.27</v>
      </c>
      <c r="K21" s="87">
        <v>1.2867471319469845</v>
      </c>
      <c r="L21" s="88">
        <v>0.51273763968373698</v>
      </c>
      <c r="M21" s="669">
        <v>2.0680000000000004E-2</v>
      </c>
      <c r="N21" s="88">
        <v>8.694726327018576E-2</v>
      </c>
      <c r="O21" s="88">
        <v>0.91305273672981424</v>
      </c>
      <c r="P21" s="88">
        <v>0.25</v>
      </c>
      <c r="Q21" s="87">
        <v>1.2910863648381774</v>
      </c>
      <c r="R21" s="88">
        <v>0.48725444355956743</v>
      </c>
      <c r="S21" s="669">
        <v>1.6199999999999999E-2</v>
      </c>
      <c r="T21" s="87">
        <v>5.7417446747048739E-2</v>
      </c>
      <c r="U21" s="87">
        <v>0.94258255325295126</v>
      </c>
      <c r="V21" s="87">
        <v>0.24999999999999989</v>
      </c>
      <c r="W21" s="87">
        <v>1.1329223650294353</v>
      </c>
      <c r="X21" s="87">
        <v>0.38898164531276785</v>
      </c>
      <c r="Y21" s="669">
        <v>1.2054999999999996E-2</v>
      </c>
      <c r="Z21" s="667">
        <v>4.5958192552513433E-2</v>
      </c>
      <c r="AA21" s="674">
        <v>0.95404180744748657</v>
      </c>
      <c r="AB21" s="669">
        <v>0.25000000000000011</v>
      </c>
      <c r="AC21" s="681">
        <v>1.1422456459999999</v>
      </c>
      <c r="AD21" s="674">
        <v>0.52621968100000005</v>
      </c>
      <c r="AE21" s="669">
        <v>1.2000000000000004E-2</v>
      </c>
    </row>
    <row r="22" spans="1:31">
      <c r="A22" s="89" t="s">
        <v>974</v>
      </c>
      <c r="B22" s="88">
        <v>0.21839418375642838</v>
      </c>
      <c r="C22" s="88">
        <v>0.78160581624357162</v>
      </c>
      <c r="D22" s="88">
        <v>0.27</v>
      </c>
      <c r="E22" s="87">
        <v>1.1085751411224292</v>
      </c>
      <c r="F22" s="88">
        <v>0.40006447227811393</v>
      </c>
      <c r="G22" s="670">
        <v>1.6500000000000001E-2</v>
      </c>
      <c r="H22" s="88">
        <v>0.21839418375642838</v>
      </c>
      <c r="I22" s="88">
        <v>0.78160581624357162</v>
      </c>
      <c r="J22" s="88">
        <v>0.27</v>
      </c>
      <c r="K22" s="87">
        <v>1.1085751411224292</v>
      </c>
      <c r="L22" s="88">
        <v>0.40006447227811393</v>
      </c>
      <c r="M22" s="670">
        <v>2.0680000000000004E-2</v>
      </c>
      <c r="N22" s="88">
        <v>0.23151570788836295</v>
      </c>
      <c r="O22" s="88">
        <v>0.76848429211163705</v>
      </c>
      <c r="P22" s="88">
        <v>0.25</v>
      </c>
      <c r="Q22" s="87">
        <v>1.2643960028602219</v>
      </c>
      <c r="R22" s="88">
        <v>0.35111645283882109</v>
      </c>
      <c r="S22" s="670">
        <v>1.6199999999999999E-2</v>
      </c>
      <c r="T22" s="87">
        <v>0.19808486343548004</v>
      </c>
      <c r="U22" s="87">
        <v>0.80191513656451996</v>
      </c>
      <c r="V22" s="87">
        <v>0.24999999999999989</v>
      </c>
      <c r="W22" s="87">
        <v>1.1279620532844743</v>
      </c>
      <c r="X22" s="87">
        <v>0.37831296869001413</v>
      </c>
      <c r="Y22" s="670">
        <v>1.2054999999999996E-2</v>
      </c>
      <c r="Z22" s="678">
        <v>0.17739375240336841</v>
      </c>
      <c r="AA22" s="675">
        <v>0.82260624759663159</v>
      </c>
      <c r="AB22" s="670">
        <v>0.25000000000000011</v>
      </c>
      <c r="AC22" s="682">
        <v>1.2936372249999999</v>
      </c>
      <c r="AD22" s="675">
        <v>0.47524838800000002</v>
      </c>
      <c r="AE22" s="670">
        <v>1.2000000000000004E-2</v>
      </c>
    </row>
    <row r="23" spans="1:31">
      <c r="A23" s="86" t="s">
        <v>975</v>
      </c>
      <c r="B23" s="88">
        <v>0.18447898233232274</v>
      </c>
      <c r="C23" s="88">
        <v>0.81552101766767726</v>
      </c>
      <c r="D23" s="88">
        <v>0.27</v>
      </c>
      <c r="E23" s="87">
        <v>0.75438848401831449</v>
      </c>
      <c r="F23" s="88">
        <v>0.30110983992728102</v>
      </c>
      <c r="G23" s="669">
        <v>1.6500000000000001E-2</v>
      </c>
      <c r="H23" s="88">
        <v>0.18447898233232274</v>
      </c>
      <c r="I23" s="88">
        <v>0.81552101766767726</v>
      </c>
      <c r="J23" s="88">
        <v>0.27</v>
      </c>
      <c r="K23" s="87">
        <v>0.75438848401831449</v>
      </c>
      <c r="L23" s="88">
        <v>0.30110983992728102</v>
      </c>
      <c r="M23" s="669">
        <v>1.6500000000000001E-2</v>
      </c>
      <c r="N23" s="88">
        <v>0.17516637526737888</v>
      </c>
      <c r="O23" s="88">
        <v>0.82483362473262112</v>
      </c>
      <c r="P23" s="88">
        <v>0.25000000000000011</v>
      </c>
      <c r="Q23" s="87">
        <v>1.0382284747790869</v>
      </c>
      <c r="R23" s="88">
        <v>0.57844438730746484</v>
      </c>
      <c r="S23" s="669">
        <v>2.0000000000000004E-2</v>
      </c>
      <c r="T23" s="87">
        <v>0.16074207855891287</v>
      </c>
      <c r="U23" s="87">
        <v>0.83925792144108713</v>
      </c>
      <c r="V23" s="87">
        <v>0.25000000000000011</v>
      </c>
      <c r="W23" s="87">
        <v>1.1948544445210565</v>
      </c>
      <c r="X23" s="87">
        <v>0.5225050340018127</v>
      </c>
      <c r="Y23" s="669">
        <v>1.4724000000000001E-2</v>
      </c>
      <c r="Z23" s="667">
        <v>0.1385985331703391</v>
      </c>
      <c r="AA23" s="674">
        <v>0.8614014668296609</v>
      </c>
      <c r="AB23" s="669">
        <v>0.25000000000000011</v>
      </c>
      <c r="AC23" s="681">
        <v>1.089996424</v>
      </c>
      <c r="AD23" s="674">
        <v>0.59349660699999995</v>
      </c>
      <c r="AE23" s="669">
        <v>1.2000000000000004E-2</v>
      </c>
    </row>
    <row r="24" spans="1:31">
      <c r="A24" s="89" t="s">
        <v>976</v>
      </c>
      <c r="B24" s="88">
        <v>0.13269339738553132</v>
      </c>
      <c r="C24" s="88">
        <v>0.86730660261446868</v>
      </c>
      <c r="D24" s="88">
        <v>0.27</v>
      </c>
      <c r="E24" s="87">
        <v>0.99294902726016787</v>
      </c>
      <c r="F24" s="88">
        <v>0.5079855471721394</v>
      </c>
      <c r="G24" s="670">
        <v>2.0680000000000004E-2</v>
      </c>
      <c r="H24" s="88">
        <v>0.13269339738553132</v>
      </c>
      <c r="I24" s="88">
        <v>0.86730660261446868</v>
      </c>
      <c r="J24" s="88">
        <v>0.27</v>
      </c>
      <c r="K24" s="87">
        <v>0.99294902726016787</v>
      </c>
      <c r="L24" s="88">
        <v>0.5079855471721394</v>
      </c>
      <c r="M24" s="670">
        <v>2.0680000000000004E-2</v>
      </c>
      <c r="N24" s="88">
        <v>0.13285422647907652</v>
      </c>
      <c r="O24" s="88">
        <v>0.86714577352092348</v>
      </c>
      <c r="P24" s="88">
        <v>0.25000000000000011</v>
      </c>
      <c r="Q24" s="87">
        <v>1.2417422800706084</v>
      </c>
      <c r="R24" s="88">
        <v>0.58414093308210857</v>
      </c>
      <c r="S24" s="670">
        <v>2.0000000000000004E-2</v>
      </c>
      <c r="T24" s="87">
        <v>0.14082267604024334</v>
      </c>
      <c r="U24" s="87">
        <v>0.85917732395975666</v>
      </c>
      <c r="V24" s="87">
        <v>0.25000000000000011</v>
      </c>
      <c r="W24" s="87">
        <v>1.1233547439492362</v>
      </c>
      <c r="X24" s="87">
        <v>0.6198094773831897</v>
      </c>
      <c r="Y24" s="670">
        <v>1.4724000000000001E-2</v>
      </c>
      <c r="Z24" s="678">
        <v>0.14598060381331135</v>
      </c>
      <c r="AA24" s="675">
        <v>0.85401939618668865</v>
      </c>
      <c r="AB24" s="670">
        <v>0.25</v>
      </c>
      <c r="AC24" s="682">
        <v>1.2519481130000001</v>
      </c>
      <c r="AD24" s="675">
        <v>0.86827811700000002</v>
      </c>
      <c r="AE24" s="670">
        <v>3.0000000000000006E-2</v>
      </c>
    </row>
    <row r="25" spans="1:31">
      <c r="A25" s="86" t="s">
        <v>977</v>
      </c>
      <c r="B25" s="88">
        <v>0.12808851158804524</v>
      </c>
      <c r="C25" s="88">
        <v>0.87191148841195476</v>
      </c>
      <c r="D25" s="88">
        <v>0.27</v>
      </c>
      <c r="E25" s="87">
        <v>1.0762958947157115</v>
      </c>
      <c r="F25" s="88">
        <v>0.56166469538744046</v>
      </c>
      <c r="G25" s="669">
        <v>2.0680000000000004E-2</v>
      </c>
      <c r="H25" s="88">
        <v>0.12808851158804524</v>
      </c>
      <c r="I25" s="88">
        <v>0.87191148841195476</v>
      </c>
      <c r="J25" s="88">
        <v>0.27</v>
      </c>
      <c r="K25" s="87">
        <v>1.0762958947157115</v>
      </c>
      <c r="L25" s="88">
        <v>0.56166469538744046</v>
      </c>
      <c r="M25" s="669">
        <v>2.0680000000000004E-2</v>
      </c>
      <c r="N25" s="88">
        <v>0.11983897594961612</v>
      </c>
      <c r="O25" s="88">
        <v>0.88016102405038388</v>
      </c>
      <c r="P25" s="88">
        <v>0.25000000000000011</v>
      </c>
      <c r="Q25" s="87">
        <v>1.2680061555196915</v>
      </c>
      <c r="R25" s="88">
        <v>0.64883553950451733</v>
      </c>
      <c r="S25" s="669">
        <v>2.0000000000000004E-2</v>
      </c>
      <c r="T25" s="87">
        <v>0.13828827500212326</v>
      </c>
      <c r="U25" s="87">
        <v>0.86171172499787674</v>
      </c>
      <c r="V25" s="87">
        <v>0.25000000000000011</v>
      </c>
      <c r="W25" s="87">
        <v>1.0269619624933468</v>
      </c>
      <c r="X25" s="87">
        <v>0.6530341383257241</v>
      </c>
      <c r="Y25" s="669">
        <v>2.2079000000000001E-2</v>
      </c>
      <c r="Z25" s="667">
        <v>0.14449996998715742</v>
      </c>
      <c r="AA25" s="674">
        <v>0.85550003001284258</v>
      </c>
      <c r="AB25" s="669">
        <v>0.25</v>
      </c>
      <c r="AC25" s="681">
        <v>1.073797133</v>
      </c>
      <c r="AD25" s="674">
        <v>0.80048453600000002</v>
      </c>
      <c r="AE25" s="669">
        <v>3.0000000000000006E-2</v>
      </c>
    </row>
    <row r="26" spans="1:31">
      <c r="A26" s="89" t="s">
        <v>978</v>
      </c>
      <c r="B26" s="88">
        <v>0.20447798731214573</v>
      </c>
      <c r="C26" s="88">
        <v>0.79552201268785427</v>
      </c>
      <c r="D26" s="88">
        <v>0.27</v>
      </c>
      <c r="E26" s="87">
        <v>1.126079034173197</v>
      </c>
      <c r="F26" s="88">
        <v>0.41501556570085196</v>
      </c>
      <c r="G26" s="670">
        <v>2.0680000000000004E-2</v>
      </c>
      <c r="H26" s="88">
        <v>0.20447798731214573</v>
      </c>
      <c r="I26" s="88">
        <v>0.79552201268785427</v>
      </c>
      <c r="J26" s="88">
        <v>0.27</v>
      </c>
      <c r="K26" s="87">
        <v>1.126079034173197</v>
      </c>
      <c r="L26" s="88">
        <v>0.41501556570085196</v>
      </c>
      <c r="M26" s="670">
        <v>2.0680000000000004E-2</v>
      </c>
      <c r="N26" s="88">
        <v>0.23436430724796886</v>
      </c>
      <c r="O26" s="88">
        <v>0.76563569275203114</v>
      </c>
      <c r="P26" s="88">
        <v>0.25</v>
      </c>
      <c r="Q26" s="87">
        <v>1.1008288893194806</v>
      </c>
      <c r="R26" s="88">
        <v>0.41812601855058806</v>
      </c>
      <c r="S26" s="670">
        <v>1.6199999999999999E-2</v>
      </c>
      <c r="T26" s="87">
        <v>0.1638310978698545</v>
      </c>
      <c r="U26" s="87">
        <v>0.8361689021301455</v>
      </c>
      <c r="V26" s="87">
        <v>0.24999999999999989</v>
      </c>
      <c r="W26" s="87">
        <v>1.2251855531141391</v>
      </c>
      <c r="X26" s="87">
        <v>0.43781301036597053</v>
      </c>
      <c r="Y26" s="670">
        <v>1.2054999999999996E-2</v>
      </c>
      <c r="Z26" s="678">
        <v>0.16279107677962734</v>
      </c>
      <c r="AA26" s="675">
        <v>0.83720892322037266</v>
      </c>
      <c r="AB26" s="670">
        <v>0.25000000000000011</v>
      </c>
      <c r="AC26" s="682">
        <v>0.98317227600000001</v>
      </c>
      <c r="AD26" s="675">
        <v>0.55822687100000001</v>
      </c>
      <c r="AE26" s="670">
        <v>1.2000000000000004E-2</v>
      </c>
    </row>
    <row r="27" spans="1:31">
      <c r="A27" s="384" t="s">
        <v>979</v>
      </c>
      <c r="B27" s="88">
        <v>0.12042591406402681</v>
      </c>
      <c r="C27" s="88">
        <v>0.87957408593597319</v>
      </c>
      <c r="D27" s="88">
        <v>0.27</v>
      </c>
      <c r="E27" s="87">
        <v>1.2454054723858043</v>
      </c>
      <c r="F27" s="88">
        <v>0.57659079263901347</v>
      </c>
      <c r="G27" s="669">
        <v>2.0680000000000004E-2</v>
      </c>
      <c r="H27" s="88">
        <v>0.12042591406402681</v>
      </c>
      <c r="I27" s="88">
        <v>0.87957408593597319</v>
      </c>
      <c r="J27" s="88">
        <v>0.27</v>
      </c>
      <c r="K27" s="87">
        <v>1.2454054723858043</v>
      </c>
      <c r="L27" s="88">
        <v>0.57659079263901347</v>
      </c>
      <c r="M27" s="669">
        <v>2.0680000000000004E-2</v>
      </c>
      <c r="N27" s="88">
        <v>0.183792716401175</v>
      </c>
      <c r="O27" s="88">
        <v>0.816207283598825</v>
      </c>
      <c r="P27" s="88">
        <v>0.25000000000000011</v>
      </c>
      <c r="Q27" s="87">
        <v>1.5896686619511227</v>
      </c>
      <c r="R27" s="88">
        <v>0.58554859436634488</v>
      </c>
      <c r="S27" s="669">
        <v>2.0000000000000004E-2</v>
      </c>
      <c r="T27" s="87">
        <v>0.17619594793469251</v>
      </c>
      <c r="U27" s="87">
        <v>0.82380405206530749</v>
      </c>
      <c r="V27" s="87">
        <v>0.25000000000000011</v>
      </c>
      <c r="W27" s="87">
        <v>1.2410543592858396</v>
      </c>
      <c r="X27" s="87">
        <v>0.54423898938240323</v>
      </c>
      <c r="Y27" s="669">
        <v>1.4724000000000001E-2</v>
      </c>
      <c r="Z27" s="667">
        <v>0.12925340321647449</v>
      </c>
      <c r="AA27" s="674">
        <v>0.87074659678352551</v>
      </c>
      <c r="AB27" s="669">
        <v>0.25</v>
      </c>
      <c r="AC27" s="681">
        <v>1.2697510590000001</v>
      </c>
      <c r="AD27" s="674">
        <v>0.72115670200000004</v>
      </c>
      <c r="AE27" s="669">
        <v>1.8300000000000004E-2</v>
      </c>
    </row>
    <row r="28" spans="1:31">
      <c r="A28" s="89" t="s">
        <v>980</v>
      </c>
      <c r="B28" s="88">
        <v>7.0769640955830826E-2</v>
      </c>
      <c r="C28" s="88">
        <v>0.92923035904416917</v>
      </c>
      <c r="D28" s="88">
        <v>0.27</v>
      </c>
      <c r="E28" s="87">
        <v>0.97597157996844286</v>
      </c>
      <c r="F28" s="88">
        <v>0.52537778573309879</v>
      </c>
      <c r="G28" s="670">
        <v>2.0680000000000004E-2</v>
      </c>
      <c r="H28" s="88">
        <v>7.0769640955830826E-2</v>
      </c>
      <c r="I28" s="88">
        <v>0.92923035904416917</v>
      </c>
      <c r="J28" s="88">
        <v>0.27</v>
      </c>
      <c r="K28" s="87">
        <v>0.97597157996844286</v>
      </c>
      <c r="L28" s="88">
        <v>0.52537778573309879</v>
      </c>
      <c r="M28" s="670">
        <v>2.0680000000000004E-2</v>
      </c>
      <c r="N28" s="88">
        <v>0.14129490331068806</v>
      </c>
      <c r="O28" s="88">
        <v>0.85870509668931194</v>
      </c>
      <c r="P28" s="88">
        <v>0.25</v>
      </c>
      <c r="Q28" s="87">
        <v>1.5389191240889379</v>
      </c>
      <c r="R28" s="88">
        <v>0.39564713245016608</v>
      </c>
      <c r="S28" s="670">
        <v>1.6199999999999999E-2</v>
      </c>
      <c r="T28" s="87">
        <v>0.15486981955971801</v>
      </c>
      <c r="U28" s="87">
        <v>0.84513018044028199</v>
      </c>
      <c r="V28" s="87">
        <v>0.24999999999999989</v>
      </c>
      <c r="W28" s="87">
        <v>1.2951787766557901</v>
      </c>
      <c r="X28" s="87">
        <v>0.39424154982087117</v>
      </c>
      <c r="Y28" s="670">
        <v>1.2054999999999996E-2</v>
      </c>
      <c r="Z28" s="678">
        <v>0.11745374424986432</v>
      </c>
      <c r="AA28" s="675">
        <v>0.88254625575013568</v>
      </c>
      <c r="AB28" s="670">
        <v>0.25</v>
      </c>
      <c r="AC28" s="682">
        <v>0.91963520099999996</v>
      </c>
      <c r="AD28" s="675">
        <v>0.73198977099999996</v>
      </c>
      <c r="AE28" s="670">
        <v>1.8300000000000004E-2</v>
      </c>
    </row>
    <row r="29" spans="1:31">
      <c r="A29" s="86" t="s">
        <v>981</v>
      </c>
      <c r="B29" s="88">
        <v>0.11308584662139187</v>
      </c>
      <c r="C29" s="88">
        <v>0.88691415337860813</v>
      </c>
      <c r="D29" s="88">
        <v>0.27</v>
      </c>
      <c r="E29" s="87">
        <v>1.0852813664904801</v>
      </c>
      <c r="F29" s="88">
        <v>0.43445536743726587</v>
      </c>
      <c r="G29" s="669">
        <v>2.0680000000000004E-2</v>
      </c>
      <c r="H29" s="88">
        <v>0.11308584662139187</v>
      </c>
      <c r="I29" s="88">
        <v>0.88691415337860813</v>
      </c>
      <c r="J29" s="88">
        <v>0.27</v>
      </c>
      <c r="K29" s="87">
        <v>1.0852813664904801</v>
      </c>
      <c r="L29" s="88">
        <v>0.43445536743726587</v>
      </c>
      <c r="M29" s="669">
        <v>2.0680000000000004E-2</v>
      </c>
      <c r="N29" s="88">
        <v>0.15835752834031203</v>
      </c>
      <c r="O29" s="88">
        <v>0.84164247165968797</v>
      </c>
      <c r="P29" s="88">
        <v>0.25</v>
      </c>
      <c r="Q29" s="87">
        <v>1.2012527647557136</v>
      </c>
      <c r="R29" s="88">
        <v>0.449375866701406</v>
      </c>
      <c r="S29" s="669">
        <v>1.6199999999999999E-2</v>
      </c>
      <c r="T29" s="87">
        <v>0.14673840734826449</v>
      </c>
      <c r="U29" s="87">
        <v>0.85326159265173551</v>
      </c>
      <c r="V29" s="87">
        <v>0.24999999999999989</v>
      </c>
      <c r="W29" s="87">
        <v>0.93395459906726541</v>
      </c>
      <c r="X29" s="87">
        <v>0.42942643620556031</v>
      </c>
      <c r="Y29" s="669">
        <v>1.2054999999999996E-2</v>
      </c>
      <c r="Z29" s="667">
        <v>0.12603196762300251</v>
      </c>
      <c r="AA29" s="674">
        <v>0.87396803237699749</v>
      </c>
      <c r="AB29" s="669">
        <v>0.25000000000000011</v>
      </c>
      <c r="AC29" s="681">
        <v>1.058231623</v>
      </c>
      <c r="AD29" s="674">
        <v>0.61608559799999996</v>
      </c>
      <c r="AE29" s="669">
        <v>1.2000000000000004E-2</v>
      </c>
    </row>
    <row r="30" spans="1:31">
      <c r="A30" s="89" t="s">
        <v>982</v>
      </c>
      <c r="B30" s="88">
        <v>0.20377752312783592</v>
      </c>
      <c r="C30" s="88">
        <v>0.79622247687216408</v>
      </c>
      <c r="D30" s="88">
        <v>0.27</v>
      </c>
      <c r="E30" s="87">
        <v>1.0580888104396409</v>
      </c>
      <c r="F30" s="88">
        <v>0.36356045751846738</v>
      </c>
      <c r="G30" s="670">
        <v>2.0680000000000004E-2</v>
      </c>
      <c r="H30" s="88">
        <v>0.20377752312783592</v>
      </c>
      <c r="I30" s="88">
        <v>0.79622247687216408</v>
      </c>
      <c r="J30" s="88">
        <v>0.27</v>
      </c>
      <c r="K30" s="87">
        <v>1.0580888104396409</v>
      </c>
      <c r="L30" s="88">
        <v>0.36356045751846738</v>
      </c>
      <c r="M30" s="670">
        <v>1.6500000000000001E-2</v>
      </c>
      <c r="N30" s="88">
        <v>0.240076343019611</v>
      </c>
      <c r="O30" s="88">
        <v>0.759923656980389</v>
      </c>
      <c r="P30" s="88">
        <v>0.25</v>
      </c>
      <c r="Q30" s="87">
        <v>1.1967640138319908</v>
      </c>
      <c r="R30" s="88">
        <v>0.35166848143953711</v>
      </c>
      <c r="S30" s="670">
        <v>1.6199999999999999E-2</v>
      </c>
      <c r="T30" s="87">
        <v>0.20763646217020959</v>
      </c>
      <c r="U30" s="87">
        <v>0.79236353782979041</v>
      </c>
      <c r="V30" s="87">
        <v>0.24999999999999989</v>
      </c>
      <c r="W30" s="87">
        <v>0.96064394549084864</v>
      </c>
      <c r="X30" s="87">
        <v>0.3368374054652199</v>
      </c>
      <c r="Y30" s="670">
        <v>1.2054999999999996E-2</v>
      </c>
      <c r="Z30" s="678">
        <v>0.15199105524120338</v>
      </c>
      <c r="AA30" s="675">
        <v>0.84800894475879662</v>
      </c>
      <c r="AB30" s="670">
        <v>0.25000000000000011</v>
      </c>
      <c r="AC30" s="682">
        <v>0.98791529099999997</v>
      </c>
      <c r="AD30" s="675">
        <v>0.47331965999999998</v>
      </c>
      <c r="AE30" s="670">
        <v>1.2000000000000004E-2</v>
      </c>
    </row>
    <row r="31" spans="1:31">
      <c r="A31" s="86" t="s">
        <v>983</v>
      </c>
      <c r="B31" s="88">
        <v>0.13219508579706585</v>
      </c>
      <c r="C31" s="88">
        <v>0.86780491420293415</v>
      </c>
      <c r="D31" s="88">
        <v>0.27</v>
      </c>
      <c r="E31" s="87">
        <v>1.0122823301704778</v>
      </c>
      <c r="F31" s="88">
        <v>0.59629361364356803</v>
      </c>
      <c r="G31" s="669">
        <v>3.1625E-2</v>
      </c>
      <c r="H31" s="88">
        <v>0.13219508579706585</v>
      </c>
      <c r="I31" s="88">
        <v>0.86780491420293415</v>
      </c>
      <c r="J31" s="88">
        <v>0.27</v>
      </c>
      <c r="K31" s="87">
        <v>1.0122823301704778</v>
      </c>
      <c r="L31" s="88">
        <v>0.59629361364356803</v>
      </c>
      <c r="M31" s="669">
        <v>2.0680000000000004E-2</v>
      </c>
      <c r="N31" s="88">
        <v>0.24970269532215983</v>
      </c>
      <c r="O31" s="88">
        <v>0.75029730467784017</v>
      </c>
      <c r="P31" s="88">
        <v>0.25000000000000011</v>
      </c>
      <c r="Q31" s="87">
        <v>1.4497950169593838</v>
      </c>
      <c r="R31" s="88">
        <v>0.578095571351251</v>
      </c>
      <c r="S31" s="669">
        <v>2.0000000000000004E-2</v>
      </c>
      <c r="T31" s="87">
        <v>0.22327359258810398</v>
      </c>
      <c r="U31" s="87">
        <v>0.77672640741189602</v>
      </c>
      <c r="V31" s="87">
        <v>0.25000000000000011</v>
      </c>
      <c r="W31" s="87">
        <v>0.99455942915170392</v>
      </c>
      <c r="X31" s="87">
        <v>0.61185830172417144</v>
      </c>
      <c r="Y31" s="669">
        <v>1.4724000000000001E-2</v>
      </c>
      <c r="Z31" s="667">
        <v>0.16899576961106288</v>
      </c>
      <c r="AA31" s="674">
        <v>0.83100423038893712</v>
      </c>
      <c r="AB31" s="669">
        <v>0.25000000000000011</v>
      </c>
      <c r="AC31" s="681">
        <v>1.040909254</v>
      </c>
      <c r="AD31" s="674">
        <v>0.62697912300000003</v>
      </c>
      <c r="AE31" s="669">
        <v>1.2000000000000004E-2</v>
      </c>
    </row>
    <row r="32" spans="1:31">
      <c r="A32" s="89" t="s">
        <v>984</v>
      </c>
      <c r="B32" s="88">
        <v>0.17263081283185133</v>
      </c>
      <c r="C32" s="88">
        <v>0.82736918716814867</v>
      </c>
      <c r="D32" s="88">
        <v>0.27</v>
      </c>
      <c r="E32" s="87">
        <v>1.2403337750925647</v>
      </c>
      <c r="F32" s="88">
        <v>0.4301364050735858</v>
      </c>
      <c r="G32" s="670">
        <v>2.0680000000000004E-2</v>
      </c>
      <c r="H32" s="88">
        <v>0.17263081283185133</v>
      </c>
      <c r="I32" s="88">
        <v>0.82736918716814867</v>
      </c>
      <c r="J32" s="88">
        <v>0.27</v>
      </c>
      <c r="K32" s="87">
        <v>1.2403337750925647</v>
      </c>
      <c r="L32" s="88">
        <v>0.4301364050735858</v>
      </c>
      <c r="M32" s="670">
        <v>2.0680000000000004E-2</v>
      </c>
      <c r="N32" s="88">
        <v>0.20341883913216274</v>
      </c>
      <c r="O32" s="88">
        <v>0.79658116086783726</v>
      </c>
      <c r="P32" s="88">
        <v>0.25</v>
      </c>
      <c r="Q32" s="87">
        <v>1.0153454106826958</v>
      </c>
      <c r="R32" s="88">
        <v>0.48087346767746236</v>
      </c>
      <c r="S32" s="670">
        <v>1.6199999999999999E-2</v>
      </c>
      <c r="T32" s="87">
        <v>0.1799690317643583</v>
      </c>
      <c r="U32" s="87">
        <v>0.8200309682356417</v>
      </c>
      <c r="V32" s="87">
        <v>0.24999999999999989</v>
      </c>
      <c r="W32" s="87">
        <v>0.90699903446977015</v>
      </c>
      <c r="X32" s="87">
        <v>0.4606641855124769</v>
      </c>
      <c r="Y32" s="670">
        <v>1.2054999999999996E-2</v>
      </c>
      <c r="Z32" s="678">
        <v>0.16194219947983723</v>
      </c>
      <c r="AA32" s="675">
        <v>0.83805780052016277</v>
      </c>
      <c r="AB32" s="670">
        <v>0.25000000000000011</v>
      </c>
      <c r="AC32" s="682">
        <v>0.92047027100000001</v>
      </c>
      <c r="AD32" s="675">
        <v>0.54475821899999999</v>
      </c>
      <c r="AE32" s="670">
        <v>1.2000000000000004E-2</v>
      </c>
    </row>
    <row r="33" spans="1:31">
      <c r="A33" s="86" t="s">
        <v>985</v>
      </c>
      <c r="B33" s="88">
        <v>0.26910917921156408</v>
      </c>
      <c r="C33" s="88">
        <v>0.73089082078843592</v>
      </c>
      <c r="D33" s="88">
        <v>0.27</v>
      </c>
      <c r="E33" s="87">
        <v>1.0303173351336656</v>
      </c>
      <c r="F33" s="88">
        <v>0.46445615850244931</v>
      </c>
      <c r="G33" s="669">
        <v>2.0680000000000004E-2</v>
      </c>
      <c r="H33" s="88">
        <v>0.26910917921156408</v>
      </c>
      <c r="I33" s="88">
        <v>0.73089082078843592</v>
      </c>
      <c r="J33" s="88">
        <v>0.27</v>
      </c>
      <c r="K33" s="87">
        <v>1.0303173351336656</v>
      </c>
      <c r="L33" s="88">
        <v>0.46445615850244931</v>
      </c>
      <c r="M33" s="669">
        <v>2.0680000000000004E-2</v>
      </c>
      <c r="N33" s="88">
        <v>0.25298812315410513</v>
      </c>
      <c r="O33" s="88">
        <v>0.74701187684589487</v>
      </c>
      <c r="P33" s="88">
        <v>0.25000000000000011</v>
      </c>
      <c r="Q33" s="87">
        <v>1.1403135761675725</v>
      </c>
      <c r="R33" s="88">
        <v>0.54426709586173694</v>
      </c>
      <c r="S33" s="669">
        <v>2.0000000000000004E-2</v>
      </c>
      <c r="T33" s="87">
        <v>0.31178335075736729</v>
      </c>
      <c r="U33" s="87">
        <v>0.68821664924263271</v>
      </c>
      <c r="V33" s="87">
        <v>0.25000000000000011</v>
      </c>
      <c r="W33" s="87">
        <v>0.99162450807266023</v>
      </c>
      <c r="X33" s="87">
        <v>0.54139722238781107</v>
      </c>
      <c r="Y33" s="669">
        <v>1.4724000000000001E-2</v>
      </c>
      <c r="Z33" s="667">
        <v>0.34780955664976021</v>
      </c>
      <c r="AA33" s="674">
        <v>0.65219044335023979</v>
      </c>
      <c r="AB33" s="669">
        <v>0.25</v>
      </c>
      <c r="AC33" s="681">
        <v>0.98238815599999996</v>
      </c>
      <c r="AD33" s="674">
        <v>0.69591326099999995</v>
      </c>
      <c r="AE33" s="669">
        <v>1.8300000000000004E-2</v>
      </c>
    </row>
    <row r="34" spans="1:31">
      <c r="A34" s="89" t="s">
        <v>986</v>
      </c>
      <c r="B34" s="88">
        <v>0.2338227035280358</v>
      </c>
      <c r="C34" s="88">
        <v>0.7661772964719642</v>
      </c>
      <c r="D34" s="88">
        <v>0.27</v>
      </c>
      <c r="E34" s="87">
        <v>0.75087548567822249</v>
      </c>
      <c r="F34" s="88">
        <v>0.27689849214888734</v>
      </c>
      <c r="G34" s="670">
        <v>1.6500000000000001E-2</v>
      </c>
      <c r="H34" s="88">
        <v>0.2338227035280358</v>
      </c>
      <c r="I34" s="88">
        <v>0.7661772964719642</v>
      </c>
      <c r="J34" s="88">
        <v>0.27</v>
      </c>
      <c r="K34" s="87">
        <v>0.75087548567822249</v>
      </c>
      <c r="L34" s="88">
        <v>0.27689849214888734</v>
      </c>
      <c r="M34" s="670">
        <v>1.6500000000000001E-2</v>
      </c>
      <c r="N34" s="88">
        <v>0.22395116431995887</v>
      </c>
      <c r="O34" s="88">
        <v>0.77604883568004113</v>
      </c>
      <c r="P34" s="88">
        <v>0.25</v>
      </c>
      <c r="Q34" s="87">
        <v>0.91752023311739583</v>
      </c>
      <c r="R34" s="88">
        <v>0.34228783415433228</v>
      </c>
      <c r="S34" s="670">
        <v>1.6199999999999999E-2</v>
      </c>
      <c r="T34" s="87">
        <v>0.25207878166293529</v>
      </c>
      <c r="U34" s="87">
        <v>0.74792121833706471</v>
      </c>
      <c r="V34" s="87">
        <v>0.24999999999999989</v>
      </c>
      <c r="W34" s="87">
        <v>0.60571773514306815</v>
      </c>
      <c r="X34" s="87">
        <v>0.36509661152078565</v>
      </c>
      <c r="Y34" s="670">
        <v>1.2054999999999996E-2</v>
      </c>
      <c r="Z34" s="678">
        <v>0.26751648526721772</v>
      </c>
      <c r="AA34" s="675">
        <v>0.73248351473278228</v>
      </c>
      <c r="AB34" s="670">
        <v>0.25000000000000011</v>
      </c>
      <c r="AC34" s="682">
        <v>0.47424023500000001</v>
      </c>
      <c r="AD34" s="675">
        <v>0.462695731</v>
      </c>
      <c r="AE34" s="670">
        <v>1.2000000000000004E-2</v>
      </c>
    </row>
    <row r="35" spans="1:31">
      <c r="A35" s="86" t="s">
        <v>987</v>
      </c>
      <c r="B35" s="88">
        <v>0.31937713725694572</v>
      </c>
      <c r="C35" s="88">
        <v>0.68062286274305428</v>
      </c>
      <c r="D35" s="88">
        <v>0.27</v>
      </c>
      <c r="E35" s="87">
        <v>1.401559850161499</v>
      </c>
      <c r="F35" s="88">
        <v>0.54009105451663864</v>
      </c>
      <c r="G35" s="669">
        <v>2.0680000000000004E-2</v>
      </c>
      <c r="H35" s="88">
        <v>0.31937713725694572</v>
      </c>
      <c r="I35" s="88">
        <v>0.68062286274305428</v>
      </c>
      <c r="J35" s="88">
        <v>0.27</v>
      </c>
      <c r="K35" s="87">
        <v>1.401559850161499</v>
      </c>
      <c r="L35" s="88">
        <v>0.54009105451663864</v>
      </c>
      <c r="M35" s="669">
        <v>2.0680000000000004E-2</v>
      </c>
      <c r="N35" s="88">
        <v>0.31580170522329509</v>
      </c>
      <c r="O35" s="88">
        <v>0.68419829477670491</v>
      </c>
      <c r="P35" s="88">
        <v>0.25</v>
      </c>
      <c r="Q35" s="87">
        <v>1.1237058272854066</v>
      </c>
      <c r="R35" s="88">
        <v>0.32418308733551454</v>
      </c>
      <c r="S35" s="669">
        <v>1.6199999999999999E-2</v>
      </c>
      <c r="T35" s="87">
        <v>0.30860321409511282</v>
      </c>
      <c r="U35" s="87">
        <v>0.69139678590488718</v>
      </c>
      <c r="V35" s="87">
        <v>0.24999999999999989</v>
      </c>
      <c r="W35" s="87">
        <v>0.96571097077283663</v>
      </c>
      <c r="X35" s="87">
        <v>0.27303412055804871</v>
      </c>
      <c r="Y35" s="669">
        <v>1.2054999999999996E-2</v>
      </c>
      <c r="Z35" s="667">
        <v>0.30206832360013081</v>
      </c>
      <c r="AA35" s="674">
        <v>0.69793167639986919</v>
      </c>
      <c r="AB35" s="669">
        <v>0.25000000000000011</v>
      </c>
      <c r="AC35" s="681">
        <v>0.72463223499999996</v>
      </c>
      <c r="AD35" s="674">
        <v>0.39167025799999999</v>
      </c>
      <c r="AE35" s="669">
        <v>9.5000000000000015E-3</v>
      </c>
    </row>
    <row r="36" spans="1:31">
      <c r="A36" s="89" t="s">
        <v>988</v>
      </c>
      <c r="B36" s="88">
        <v>0.22270411092001718</v>
      </c>
      <c r="C36" s="88">
        <v>0.77729588907998282</v>
      </c>
      <c r="D36" s="88">
        <v>0.27</v>
      </c>
      <c r="E36" s="87">
        <v>1.1088014488748397</v>
      </c>
      <c r="F36" s="88">
        <v>0.44770374234314908</v>
      </c>
      <c r="G36" s="670">
        <v>2.0680000000000004E-2</v>
      </c>
      <c r="H36" s="88">
        <v>0.22270411092001718</v>
      </c>
      <c r="I36" s="88">
        <v>0.77729588907998282</v>
      </c>
      <c r="J36" s="88">
        <v>0.27</v>
      </c>
      <c r="K36" s="87">
        <v>1.1088014488748397</v>
      </c>
      <c r="L36" s="88">
        <v>0.44770374234314908</v>
      </c>
      <c r="M36" s="670">
        <v>2.0680000000000004E-2</v>
      </c>
      <c r="N36" s="88">
        <v>0.35871209353758293</v>
      </c>
      <c r="O36" s="88">
        <v>0.64128790646241707</v>
      </c>
      <c r="P36" s="88">
        <v>0.25</v>
      </c>
      <c r="Q36" s="87">
        <v>1.2708955631991046</v>
      </c>
      <c r="R36" s="88">
        <v>0.41911842205905825</v>
      </c>
      <c r="S36" s="670">
        <v>1.6199999999999999E-2</v>
      </c>
      <c r="T36" s="87">
        <v>0.32226061623577029</v>
      </c>
      <c r="U36" s="87">
        <v>0.67773938376422971</v>
      </c>
      <c r="V36" s="87">
        <v>0.24999999999999989</v>
      </c>
      <c r="W36" s="87">
        <v>1.1071062452097284</v>
      </c>
      <c r="X36" s="87">
        <v>0.46652480430214993</v>
      </c>
      <c r="Y36" s="670">
        <v>1.2054999999999996E-2</v>
      </c>
      <c r="Z36" s="678">
        <v>0.29543892347145984</v>
      </c>
      <c r="AA36" s="675">
        <v>0.70456107652854016</v>
      </c>
      <c r="AB36" s="670">
        <v>0.25000000000000011</v>
      </c>
      <c r="AC36" s="682">
        <v>0.86624269300000001</v>
      </c>
      <c r="AD36" s="675">
        <v>0.54801471999999996</v>
      </c>
      <c r="AE36" s="670">
        <v>1.2000000000000004E-2</v>
      </c>
    </row>
    <row r="37" spans="1:31">
      <c r="A37" s="384" t="s">
        <v>989</v>
      </c>
      <c r="B37" s="88">
        <v>0.39985626780352357</v>
      </c>
      <c r="C37" s="88">
        <v>0.60014373219647643</v>
      </c>
      <c r="D37" s="88">
        <v>0.27</v>
      </c>
      <c r="E37" s="87">
        <v>1.5881139269244424</v>
      </c>
      <c r="F37" s="88">
        <v>0.81755861287211706</v>
      </c>
      <c r="G37" s="669">
        <v>2.0680000000000004E-2</v>
      </c>
      <c r="H37" s="88">
        <v>0.39985626780352357</v>
      </c>
      <c r="I37" s="88">
        <v>0.60014373219647643</v>
      </c>
      <c r="J37" s="88">
        <v>0.27</v>
      </c>
      <c r="K37" s="87">
        <v>1.5881139269244424</v>
      </c>
      <c r="L37" s="88">
        <v>0.81755861287211706</v>
      </c>
      <c r="M37" s="669">
        <v>6.6125000000000003E-2</v>
      </c>
      <c r="N37" s="88">
        <v>0.54774951823179885</v>
      </c>
      <c r="O37" s="88">
        <v>0.45225048176820115</v>
      </c>
      <c r="P37" s="88">
        <v>0.25</v>
      </c>
      <c r="Q37" s="87">
        <v>1.60070111091836</v>
      </c>
      <c r="R37" s="88">
        <v>0.67598359199996327</v>
      </c>
      <c r="S37" s="669">
        <v>3.1299999999999994E-2</v>
      </c>
      <c r="T37" s="87">
        <v>0.58576061978789462</v>
      </c>
      <c r="U37" s="87">
        <v>0.41423938021210538</v>
      </c>
      <c r="V37" s="87">
        <v>0.25000000000000011</v>
      </c>
      <c r="W37" s="87">
        <v>1.1067077196296322</v>
      </c>
      <c r="X37" s="87">
        <v>0.5733620520250774</v>
      </c>
      <c r="Y37" s="669">
        <v>1.4724000000000001E-2</v>
      </c>
      <c r="Z37" s="667">
        <v>0.63791864194314463</v>
      </c>
      <c r="AA37" s="674">
        <v>0.36208135805685537</v>
      </c>
      <c r="AB37" s="669">
        <v>0.25</v>
      </c>
      <c r="AC37" s="681">
        <v>1.130425266</v>
      </c>
      <c r="AD37" s="674">
        <v>0.71930256800000003</v>
      </c>
      <c r="AE37" s="669">
        <v>1.8300000000000004E-2</v>
      </c>
    </row>
    <row r="38" spans="1:31">
      <c r="A38" s="89" t="s">
        <v>990</v>
      </c>
      <c r="B38" s="88">
        <v>7.9316313918664338E-2</v>
      </c>
      <c r="C38" s="88">
        <v>0.92068368608133566</v>
      </c>
      <c r="D38" s="88">
        <v>0.27</v>
      </c>
      <c r="E38" s="87">
        <v>0.93812811740251056</v>
      </c>
      <c r="F38" s="88">
        <v>0.43812192128294053</v>
      </c>
      <c r="G38" s="670">
        <v>2.0680000000000004E-2</v>
      </c>
      <c r="H38" s="88">
        <v>7.9316313918664338E-2</v>
      </c>
      <c r="I38" s="88">
        <v>0.92068368608133566</v>
      </c>
      <c r="J38" s="88">
        <v>0.27</v>
      </c>
      <c r="K38" s="87">
        <v>0.93812811740251056</v>
      </c>
      <c r="L38" s="88">
        <v>0.43812192128294053</v>
      </c>
      <c r="M38" s="670">
        <v>2.0680000000000004E-2</v>
      </c>
      <c r="N38" s="88">
        <v>0.1119226695210187</v>
      </c>
      <c r="O38" s="88">
        <v>0.8880773304789813</v>
      </c>
      <c r="P38" s="88">
        <v>0.25000000000000011</v>
      </c>
      <c r="Q38" s="87">
        <v>1.1623831948690986</v>
      </c>
      <c r="R38" s="88">
        <v>0.50940122537609955</v>
      </c>
      <c r="S38" s="670">
        <v>2.0000000000000004E-2</v>
      </c>
      <c r="T38" s="87">
        <v>0.11239729750559913</v>
      </c>
      <c r="U38" s="87">
        <v>0.88760270249440087</v>
      </c>
      <c r="V38" s="87">
        <v>0.25000000000000011</v>
      </c>
      <c r="W38" s="87">
        <v>1.0620798954428441</v>
      </c>
      <c r="X38" s="87">
        <v>0.52205534504314732</v>
      </c>
      <c r="Y38" s="670">
        <v>1.4724000000000001E-2</v>
      </c>
      <c r="Z38" s="678">
        <v>0.11340902578772538</v>
      </c>
      <c r="AA38" s="675">
        <v>0.88659097421227462</v>
      </c>
      <c r="AB38" s="670">
        <v>0.25</v>
      </c>
      <c r="AC38" s="682">
        <v>1.0145166999999999</v>
      </c>
      <c r="AD38" s="675">
        <v>0.674052859</v>
      </c>
      <c r="AE38" s="670">
        <v>1.8300000000000004E-2</v>
      </c>
    </row>
    <row r="39" spans="1:31">
      <c r="A39" s="86" t="s">
        <v>991</v>
      </c>
      <c r="B39" s="88">
        <v>0.19711553235888035</v>
      </c>
      <c r="C39" s="88">
        <v>0.80288446764111965</v>
      </c>
      <c r="D39" s="88">
        <v>0.27</v>
      </c>
      <c r="E39" s="87">
        <v>1.057838047110971</v>
      </c>
      <c r="F39" s="88">
        <v>0.46857189884223849</v>
      </c>
      <c r="G39" s="669">
        <v>2.0680000000000004E-2</v>
      </c>
      <c r="H39" s="88">
        <v>0.19711553235888035</v>
      </c>
      <c r="I39" s="88">
        <v>0.80288446764111965</v>
      </c>
      <c r="J39" s="88">
        <v>0.27</v>
      </c>
      <c r="K39" s="87">
        <v>1.057838047110971</v>
      </c>
      <c r="L39" s="88">
        <v>0.46857189884223849</v>
      </c>
      <c r="M39" s="669">
        <v>2.0680000000000004E-2</v>
      </c>
      <c r="N39" s="88">
        <v>0.19097410804999704</v>
      </c>
      <c r="O39" s="88">
        <v>0.80902589195000296</v>
      </c>
      <c r="P39" s="88">
        <v>0.25</v>
      </c>
      <c r="Q39" s="87">
        <v>1.1603652760592904</v>
      </c>
      <c r="R39" s="88">
        <v>0.47792508451312243</v>
      </c>
      <c r="S39" s="669">
        <v>1.6199999999999999E-2</v>
      </c>
      <c r="T39" s="87">
        <v>0.21175230518405086</v>
      </c>
      <c r="U39" s="87">
        <v>0.78824769481594914</v>
      </c>
      <c r="V39" s="87">
        <v>0.24999999999999989</v>
      </c>
      <c r="W39" s="87">
        <v>1.0326229061406076</v>
      </c>
      <c r="X39" s="87">
        <v>0.49525733448964099</v>
      </c>
      <c r="Y39" s="669">
        <v>1.2054999999999996E-2</v>
      </c>
      <c r="Z39" s="667">
        <v>0.24357689307995556</v>
      </c>
      <c r="AA39" s="674">
        <v>0.75642310692004444</v>
      </c>
      <c r="AB39" s="669">
        <v>0.25000000000000011</v>
      </c>
      <c r="AC39" s="681">
        <v>0.94121293399999995</v>
      </c>
      <c r="AD39" s="674">
        <v>0.53996781900000002</v>
      </c>
      <c r="AE39" s="669">
        <v>1.2000000000000004E-2</v>
      </c>
    </row>
    <row r="40" spans="1:31">
      <c r="A40" s="89" t="s">
        <v>992</v>
      </c>
      <c r="B40" s="88">
        <v>8.8640903338601196E-2</v>
      </c>
      <c r="C40" s="88">
        <v>0.9113590966613988</v>
      </c>
      <c r="D40" s="88">
        <v>0.27</v>
      </c>
      <c r="E40" s="87">
        <v>0.94168209233744604</v>
      </c>
      <c r="F40" s="88">
        <v>0.46284328241580508</v>
      </c>
      <c r="G40" s="670">
        <v>2.0680000000000004E-2</v>
      </c>
      <c r="H40" s="88">
        <v>8.8640903338601196E-2</v>
      </c>
      <c r="I40" s="88">
        <v>0.9113590966613988</v>
      </c>
      <c r="J40" s="88">
        <v>0.27</v>
      </c>
      <c r="K40" s="87">
        <v>0.94168209233744604</v>
      </c>
      <c r="L40" s="88">
        <v>0.46284328241580508</v>
      </c>
      <c r="M40" s="670">
        <v>2.0680000000000004E-2</v>
      </c>
      <c r="N40" s="88">
        <v>0.12440570020083286</v>
      </c>
      <c r="O40" s="88">
        <v>0.87559429979916714</v>
      </c>
      <c r="P40" s="88">
        <v>0.25000000000000011</v>
      </c>
      <c r="Q40" s="87">
        <v>1.4715094541215377</v>
      </c>
      <c r="R40" s="88">
        <v>0.53871737622490645</v>
      </c>
      <c r="S40" s="670">
        <v>2.0000000000000004E-2</v>
      </c>
      <c r="T40" s="87">
        <v>0.13845034763183783</v>
      </c>
      <c r="U40" s="87">
        <v>0.86154965236816217</v>
      </c>
      <c r="V40" s="87">
        <v>0.25000000000000011</v>
      </c>
      <c r="W40" s="87">
        <v>1.2747542568245518</v>
      </c>
      <c r="X40" s="87">
        <v>0.54153165246921775</v>
      </c>
      <c r="Y40" s="670">
        <v>1.4724000000000001E-2</v>
      </c>
      <c r="Z40" s="678">
        <v>0.1393804567634771</v>
      </c>
      <c r="AA40" s="675">
        <v>0.8606195432365229</v>
      </c>
      <c r="AB40" s="670">
        <v>0.25000000000000011</v>
      </c>
      <c r="AC40" s="682">
        <v>1.222923714</v>
      </c>
      <c r="AD40" s="675">
        <v>0.64543812099999998</v>
      </c>
      <c r="AE40" s="670">
        <v>1.2000000000000004E-2</v>
      </c>
    </row>
    <row r="41" spans="1:31">
      <c r="A41" s="86" t="s">
        <v>993</v>
      </c>
      <c r="B41" s="88">
        <v>0.1801328599941604</v>
      </c>
      <c r="C41" s="88">
        <v>0.8198671400058396</v>
      </c>
      <c r="D41" s="88">
        <v>0.27</v>
      </c>
      <c r="E41" s="87">
        <v>1.6852126723824632</v>
      </c>
      <c r="F41" s="88">
        <v>0.39474914713112236</v>
      </c>
      <c r="G41" s="669">
        <v>1.6500000000000001E-2</v>
      </c>
      <c r="H41" s="88">
        <v>0.1801328599941604</v>
      </c>
      <c r="I41" s="88">
        <v>0.8198671400058396</v>
      </c>
      <c r="J41" s="88">
        <v>0.27</v>
      </c>
      <c r="K41" s="87">
        <v>1.6852126723824632</v>
      </c>
      <c r="L41" s="88">
        <v>0.39474914713112236</v>
      </c>
      <c r="M41" s="669">
        <v>1.6500000000000001E-2</v>
      </c>
      <c r="N41" s="88">
        <v>0.24434620786730532</v>
      </c>
      <c r="O41" s="88">
        <v>0.75565379213269468</v>
      </c>
      <c r="P41" s="88">
        <v>0.25</v>
      </c>
      <c r="Q41" s="87">
        <v>1.5022071383659328</v>
      </c>
      <c r="R41" s="88">
        <v>0.33330387129630179</v>
      </c>
      <c r="S41" s="669">
        <v>1.6199999999999999E-2</v>
      </c>
      <c r="T41" s="87">
        <v>0.14104057563334715</v>
      </c>
      <c r="U41" s="87">
        <v>0.85895942436665285</v>
      </c>
      <c r="V41" s="87">
        <v>0.24999999999999989</v>
      </c>
      <c r="W41" s="87">
        <v>1.3695349346617718</v>
      </c>
      <c r="X41" s="87">
        <v>0.32313883781178943</v>
      </c>
      <c r="Y41" s="669">
        <v>1.2054999999999996E-2</v>
      </c>
      <c r="Z41" s="667">
        <v>0.14894590395276008</v>
      </c>
      <c r="AA41" s="674">
        <v>0.85105409604723992</v>
      </c>
      <c r="AB41" s="669">
        <v>0.25000000000000011</v>
      </c>
      <c r="AC41" s="681">
        <v>1.4274867099999999</v>
      </c>
      <c r="AD41" s="674">
        <v>0.414320248</v>
      </c>
      <c r="AE41" s="669">
        <v>9.5000000000000015E-3</v>
      </c>
    </row>
    <row r="42" spans="1:31">
      <c r="A42" s="89" t="s">
        <v>994</v>
      </c>
      <c r="B42" s="88">
        <v>0.41512055177382412</v>
      </c>
      <c r="C42" s="88">
        <v>0.58487944822617588</v>
      </c>
      <c r="D42" s="88">
        <v>0.27</v>
      </c>
      <c r="E42" s="87">
        <v>1.4135234232504976</v>
      </c>
      <c r="F42" s="88">
        <v>0.52313497710543133</v>
      </c>
      <c r="G42" s="670">
        <v>2.0680000000000004E-2</v>
      </c>
      <c r="H42" s="88">
        <v>0.41512055177382412</v>
      </c>
      <c r="I42" s="88">
        <v>0.58487944822617588</v>
      </c>
      <c r="J42" s="88">
        <v>0.27</v>
      </c>
      <c r="K42" s="87">
        <v>1.4135234232504976</v>
      </c>
      <c r="L42" s="88">
        <v>0.52313497710543133</v>
      </c>
      <c r="M42" s="670">
        <v>2.0680000000000004E-2</v>
      </c>
      <c r="N42" s="88">
        <v>0.46591874206509154</v>
      </c>
      <c r="O42" s="88">
        <v>0.53408125793490846</v>
      </c>
      <c r="P42" s="88">
        <v>0.25000000000000011</v>
      </c>
      <c r="Q42" s="87">
        <v>1.174001444953803</v>
      </c>
      <c r="R42" s="88">
        <v>0.5119442326502478</v>
      </c>
      <c r="S42" s="670">
        <v>2.0000000000000004E-2</v>
      </c>
      <c r="T42" s="87">
        <v>0.44365037194401546</v>
      </c>
      <c r="U42" s="87">
        <v>0.55634962805598454</v>
      </c>
      <c r="V42" s="87">
        <v>0.24999999999999989</v>
      </c>
      <c r="W42" s="87">
        <v>0.87957632490356097</v>
      </c>
      <c r="X42" s="87">
        <v>0.46328064944317854</v>
      </c>
      <c r="Y42" s="670">
        <v>1.2054999999999996E-2</v>
      </c>
      <c r="Z42" s="678">
        <v>0.43551540447634884</v>
      </c>
      <c r="AA42" s="675">
        <v>0.56448459552365116</v>
      </c>
      <c r="AB42" s="670">
        <v>0.25000000000000011</v>
      </c>
      <c r="AC42" s="682">
        <v>0.85708161400000005</v>
      </c>
      <c r="AD42" s="675">
        <v>0.50809905899999996</v>
      </c>
      <c r="AE42" s="670">
        <v>1.2000000000000004E-2</v>
      </c>
    </row>
    <row r="43" spans="1:31">
      <c r="A43" s="86" t="s">
        <v>995</v>
      </c>
      <c r="B43" s="88">
        <v>0.31511884465713136</v>
      </c>
      <c r="C43" s="88">
        <v>0.68488115534286864</v>
      </c>
      <c r="D43" s="88">
        <v>0.27</v>
      </c>
      <c r="E43" s="87">
        <v>1.7944070682595588</v>
      </c>
      <c r="F43" s="88">
        <v>0.43867344000025082</v>
      </c>
      <c r="G43" s="669">
        <v>2.0680000000000004E-2</v>
      </c>
      <c r="H43" s="88">
        <v>0.31511884465713136</v>
      </c>
      <c r="I43" s="88">
        <v>0.68488115534286864</v>
      </c>
      <c r="J43" s="88">
        <v>0.27</v>
      </c>
      <c r="K43" s="87">
        <v>1.7944070682595588</v>
      </c>
      <c r="L43" s="88">
        <v>0.43867344000025082</v>
      </c>
      <c r="M43" s="669">
        <v>2.0680000000000004E-2</v>
      </c>
      <c r="N43" s="88">
        <v>0.39967778031636914</v>
      </c>
      <c r="O43" s="88">
        <v>0.60032221968363086</v>
      </c>
      <c r="P43" s="88">
        <v>0.25</v>
      </c>
      <c r="Q43" s="87">
        <v>1.4599765370156599</v>
      </c>
      <c r="R43" s="88">
        <v>0.38051359185436157</v>
      </c>
      <c r="S43" s="669">
        <v>1.6199999999999999E-2</v>
      </c>
      <c r="T43" s="87">
        <v>0.32736720549245812</v>
      </c>
      <c r="U43" s="87">
        <v>0.67263279450754188</v>
      </c>
      <c r="V43" s="87">
        <v>0.24999999999999989</v>
      </c>
      <c r="W43" s="87">
        <v>1.3434280675321946</v>
      </c>
      <c r="X43" s="87">
        <v>0.40799721064073169</v>
      </c>
      <c r="Y43" s="669">
        <v>1.2054999999999996E-2</v>
      </c>
      <c r="Z43" s="667">
        <v>0.30173037284463233</v>
      </c>
      <c r="AA43" s="674">
        <v>0.69826962715536767</v>
      </c>
      <c r="AB43" s="669">
        <v>0.25000000000000011</v>
      </c>
      <c r="AC43" s="681">
        <v>1.193760779</v>
      </c>
      <c r="AD43" s="674">
        <v>0.45095328800000001</v>
      </c>
      <c r="AE43" s="669">
        <v>1.2000000000000004E-2</v>
      </c>
    </row>
    <row r="44" spans="1:31">
      <c r="A44" s="89" t="s">
        <v>996</v>
      </c>
      <c r="B44" s="88">
        <v>0.11175604882706802</v>
      </c>
      <c r="C44" s="88">
        <v>0.88824395117293198</v>
      </c>
      <c r="D44" s="88">
        <v>0.27</v>
      </c>
      <c r="E44" s="87">
        <v>0.97963374895906408</v>
      </c>
      <c r="F44" s="88">
        <v>0.58567665870757535</v>
      </c>
      <c r="G44" s="670">
        <v>2.0680000000000004E-2</v>
      </c>
      <c r="H44" s="88">
        <v>0.11175604882706802</v>
      </c>
      <c r="I44" s="88">
        <v>0.88824395117293198</v>
      </c>
      <c r="J44" s="88">
        <v>0.27</v>
      </c>
      <c r="K44" s="87">
        <v>0.97963374895906408</v>
      </c>
      <c r="L44" s="88">
        <v>0.58567665870757535</v>
      </c>
      <c r="M44" s="670">
        <v>2.0680000000000004E-2</v>
      </c>
      <c r="N44" s="88">
        <v>0.13437882331900164</v>
      </c>
      <c r="O44" s="88">
        <v>0.86562117668099836</v>
      </c>
      <c r="P44" s="88">
        <v>0.25000000000000011</v>
      </c>
      <c r="Q44" s="87">
        <v>1.1550009836175177</v>
      </c>
      <c r="R44" s="88">
        <v>0.56827524943110697</v>
      </c>
      <c r="S44" s="670">
        <v>2.0000000000000004E-2</v>
      </c>
      <c r="T44" s="87">
        <v>0.14203959666978538</v>
      </c>
      <c r="U44" s="87">
        <v>0.85796040333021462</v>
      </c>
      <c r="V44" s="87">
        <v>0.25000000000000011</v>
      </c>
      <c r="W44" s="87">
        <v>0.84344417808245642</v>
      </c>
      <c r="X44" s="87">
        <v>0.51118105127415381</v>
      </c>
      <c r="Y44" s="670">
        <v>1.4724000000000001E-2</v>
      </c>
      <c r="Z44" s="678">
        <v>0.13212020079819764</v>
      </c>
      <c r="AA44" s="675">
        <v>0.86787979920180236</v>
      </c>
      <c r="AB44" s="670">
        <v>0.25000000000000011</v>
      </c>
      <c r="AC44" s="682">
        <v>0.89526497900000002</v>
      </c>
      <c r="AD44" s="675">
        <v>0.56670353699999998</v>
      </c>
      <c r="AE44" s="670">
        <v>1.2000000000000004E-2</v>
      </c>
    </row>
    <row r="45" spans="1:31">
      <c r="A45" s="86" t="s">
        <v>997</v>
      </c>
      <c r="B45" s="88">
        <v>9.395650826833235E-2</v>
      </c>
      <c r="C45" s="88">
        <v>0.90604349173166765</v>
      </c>
      <c r="D45" s="88">
        <v>0.27</v>
      </c>
      <c r="E45" s="87">
        <v>1.2505092401142981</v>
      </c>
      <c r="F45" s="88">
        <v>0.46440838960204572</v>
      </c>
      <c r="G45" s="669">
        <v>2.0680000000000004E-2</v>
      </c>
      <c r="H45" s="88">
        <v>9.395650826833235E-2</v>
      </c>
      <c r="I45" s="88">
        <v>0.90604349173166765</v>
      </c>
      <c r="J45" s="88">
        <v>0.27</v>
      </c>
      <c r="K45" s="87">
        <v>1.2505092401142981</v>
      </c>
      <c r="L45" s="88">
        <v>0.46440838960204572</v>
      </c>
      <c r="M45" s="669">
        <v>2.0680000000000004E-2</v>
      </c>
      <c r="N45" s="88">
        <v>0.11550414899232819</v>
      </c>
      <c r="O45" s="88">
        <v>0.88449585100767181</v>
      </c>
      <c r="P45" s="88">
        <v>0.25</v>
      </c>
      <c r="Q45" s="87">
        <v>1.4047128789332648</v>
      </c>
      <c r="R45" s="88">
        <v>0.4510937058049509</v>
      </c>
      <c r="S45" s="669">
        <v>1.6199999999999999E-2</v>
      </c>
      <c r="T45" s="87">
        <v>0.26289829475513882</v>
      </c>
      <c r="U45" s="87">
        <v>0.73710170524486118</v>
      </c>
      <c r="V45" s="87">
        <v>0.24999999999999989</v>
      </c>
      <c r="W45" s="87">
        <v>0.93074336988492989</v>
      </c>
      <c r="X45" s="87">
        <v>0.33828737962659511</v>
      </c>
      <c r="Y45" s="669">
        <v>1.2054999999999996E-2</v>
      </c>
      <c r="Z45" s="667">
        <v>0.26126941661306691</v>
      </c>
      <c r="AA45" s="674">
        <v>0.73873058338693309</v>
      </c>
      <c r="AB45" s="669">
        <v>0.25000000000000011</v>
      </c>
      <c r="AC45" s="681">
        <v>0.98448932499999997</v>
      </c>
      <c r="AD45" s="674">
        <v>0.39658065399999998</v>
      </c>
      <c r="AE45" s="669">
        <v>9.5000000000000015E-3</v>
      </c>
    </row>
    <row r="46" spans="1:31">
      <c r="A46" s="89" t="s">
        <v>998</v>
      </c>
      <c r="B46" s="88">
        <v>0.21036918588768538</v>
      </c>
      <c r="C46" s="88">
        <v>0.78963081411231462</v>
      </c>
      <c r="D46" s="88">
        <v>0.27</v>
      </c>
      <c r="E46" s="87">
        <v>0.92216356074929473</v>
      </c>
      <c r="F46" s="88">
        <v>0.37150712020260479</v>
      </c>
      <c r="G46" s="670">
        <v>1.6500000000000001E-2</v>
      </c>
      <c r="H46" s="88">
        <v>0.21036918588768538</v>
      </c>
      <c r="I46" s="88">
        <v>0.78963081411231462</v>
      </c>
      <c r="J46" s="88">
        <v>0.27</v>
      </c>
      <c r="K46" s="87">
        <v>0.92216356074929473</v>
      </c>
      <c r="L46" s="88">
        <v>0.37150712020260479</v>
      </c>
      <c r="M46" s="670">
        <v>1.6500000000000001E-2</v>
      </c>
      <c r="N46" s="88">
        <v>0.23365171072446123</v>
      </c>
      <c r="O46" s="88">
        <v>0.76634828927553877</v>
      </c>
      <c r="P46" s="88">
        <v>0.25</v>
      </c>
      <c r="Q46" s="87">
        <v>1.2277613538599423</v>
      </c>
      <c r="R46" s="88">
        <v>0.43761028506670019</v>
      </c>
      <c r="S46" s="670">
        <v>1.6199999999999999E-2</v>
      </c>
      <c r="T46" s="87">
        <v>0.20592429100406529</v>
      </c>
      <c r="U46" s="87">
        <v>0.79407570899593471</v>
      </c>
      <c r="V46" s="87">
        <v>0.24999999999999989</v>
      </c>
      <c r="W46" s="87">
        <v>1.0331486323510635</v>
      </c>
      <c r="X46" s="87">
        <v>0.40381703602170393</v>
      </c>
      <c r="Y46" s="670">
        <v>1.2054999999999996E-2</v>
      </c>
      <c r="Z46" s="678">
        <v>0.14787928662976846</v>
      </c>
      <c r="AA46" s="675">
        <v>0.85212071337023154</v>
      </c>
      <c r="AB46" s="670">
        <v>0.25000000000000011</v>
      </c>
      <c r="AC46" s="682">
        <v>0.76036446899999999</v>
      </c>
      <c r="AD46" s="675">
        <v>0.51007178200000003</v>
      </c>
      <c r="AE46" s="670">
        <v>1.2000000000000004E-2</v>
      </c>
    </row>
    <row r="47" spans="1:31">
      <c r="A47" s="86" t="s">
        <v>999</v>
      </c>
      <c r="B47" s="88">
        <v>0.48078762867660529</v>
      </c>
      <c r="C47" s="88">
        <v>0.51921237132339471</v>
      </c>
      <c r="D47" s="88">
        <v>0.27</v>
      </c>
      <c r="E47" s="87">
        <v>1.22433280982246</v>
      </c>
      <c r="F47" s="88">
        <v>0.31813183698381947</v>
      </c>
      <c r="G47" s="669">
        <v>1.6500000000000001E-2</v>
      </c>
      <c r="H47" s="88">
        <v>0.48078762867660529</v>
      </c>
      <c r="I47" s="88">
        <v>0.51921237132339471</v>
      </c>
      <c r="J47" s="88">
        <v>0.27</v>
      </c>
      <c r="K47" s="87">
        <v>1.22433280982246</v>
      </c>
      <c r="L47" s="88">
        <v>0.31813183698381947</v>
      </c>
      <c r="M47" s="669">
        <v>1.6500000000000001E-2</v>
      </c>
      <c r="N47" s="88">
        <v>0.4802581428121806</v>
      </c>
      <c r="O47" s="88">
        <v>0.5197418571878194</v>
      </c>
      <c r="P47" s="88">
        <v>0.25</v>
      </c>
      <c r="Q47" s="87">
        <v>0.93935366031437906</v>
      </c>
      <c r="R47" s="88">
        <v>0.28891454530535254</v>
      </c>
      <c r="S47" s="669">
        <v>1.6199999999999999E-2</v>
      </c>
      <c r="T47" s="87">
        <v>0.4798338062341605</v>
      </c>
      <c r="U47" s="87">
        <v>0.5201661937658395</v>
      </c>
      <c r="V47" s="87">
        <v>0.24999999999999989</v>
      </c>
      <c r="W47" s="87">
        <v>0.76576086532748944</v>
      </c>
      <c r="X47" s="87">
        <v>0.30849684925039994</v>
      </c>
      <c r="Y47" s="669">
        <v>1.2054999999999996E-2</v>
      </c>
      <c r="Z47" s="667">
        <v>0.38547717601130227</v>
      </c>
      <c r="AA47" s="674">
        <v>0.61452282398869773</v>
      </c>
      <c r="AB47" s="669">
        <v>0.25000000000000011</v>
      </c>
      <c r="AC47" s="681">
        <v>0.73167226200000002</v>
      </c>
      <c r="AD47" s="674">
        <v>0.343126708</v>
      </c>
      <c r="AE47" s="669">
        <v>9.5000000000000015E-3</v>
      </c>
    </row>
    <row r="48" spans="1:31">
      <c r="A48" s="89" t="s">
        <v>1000</v>
      </c>
      <c r="B48" s="88">
        <v>0.19012875767898019</v>
      </c>
      <c r="C48" s="88">
        <v>0.80987124232101981</v>
      </c>
      <c r="D48" s="88">
        <v>0.27</v>
      </c>
      <c r="E48" s="87">
        <v>0.86141825429816099</v>
      </c>
      <c r="F48" s="88">
        <v>0.2924427141293286</v>
      </c>
      <c r="G48" s="670">
        <v>9.9000000000000025E-3</v>
      </c>
      <c r="H48" s="88">
        <v>0.19012875767898019</v>
      </c>
      <c r="I48" s="88">
        <v>0.80987124232101981</v>
      </c>
      <c r="J48" s="88">
        <v>0.27</v>
      </c>
      <c r="K48" s="87">
        <v>0.86141825429816099</v>
      </c>
      <c r="L48" s="88">
        <v>0.2924427141293286</v>
      </c>
      <c r="M48" s="670">
        <v>1.6500000000000001E-2</v>
      </c>
      <c r="N48" s="88">
        <v>0.17672400294711044</v>
      </c>
      <c r="O48" s="88">
        <v>0.82327599705288956</v>
      </c>
      <c r="P48" s="88">
        <v>0.25</v>
      </c>
      <c r="Q48" s="87">
        <v>0.80330136282469566</v>
      </c>
      <c r="R48" s="88">
        <v>0.27667183307261639</v>
      </c>
      <c r="S48" s="670">
        <v>1.6199999999999999E-2</v>
      </c>
      <c r="T48" s="87">
        <v>0.16235416986823059</v>
      </c>
      <c r="U48" s="87">
        <v>0.83764583013176941</v>
      </c>
      <c r="V48" s="87">
        <v>0.24999999999999989</v>
      </c>
      <c r="W48" s="87">
        <v>0.73875776033737084</v>
      </c>
      <c r="X48" s="87">
        <v>0.27404177841998512</v>
      </c>
      <c r="Y48" s="670">
        <v>1.2054999999999996E-2</v>
      </c>
      <c r="Z48" s="678">
        <v>0.13391402267010999</v>
      </c>
      <c r="AA48" s="675">
        <v>0.86608597732989001</v>
      </c>
      <c r="AB48" s="670">
        <v>0.25000000000000011</v>
      </c>
      <c r="AC48" s="682">
        <v>0.60566358099999995</v>
      </c>
      <c r="AD48" s="675">
        <v>0.33688354599999998</v>
      </c>
      <c r="AE48" s="670">
        <v>9.5000000000000015E-3</v>
      </c>
    </row>
    <row r="49" spans="1:31">
      <c r="A49" s="86" t="s">
        <v>1001</v>
      </c>
      <c r="B49" s="88">
        <v>0.21833708673165153</v>
      </c>
      <c r="C49" s="88">
        <v>0.78166291326834847</v>
      </c>
      <c r="D49" s="88">
        <v>0.27</v>
      </c>
      <c r="E49" s="87">
        <v>1.0483314155937387</v>
      </c>
      <c r="F49" s="88">
        <v>0.31969935251351472</v>
      </c>
      <c r="G49" s="669">
        <v>1.6500000000000001E-2</v>
      </c>
      <c r="H49" s="88">
        <v>0.21833708673165153</v>
      </c>
      <c r="I49" s="88">
        <v>0.78166291326834847</v>
      </c>
      <c r="J49" s="88">
        <v>0.27</v>
      </c>
      <c r="K49" s="87">
        <v>1.0483314155937387</v>
      </c>
      <c r="L49" s="88">
        <v>0.31969935251351472</v>
      </c>
      <c r="M49" s="669">
        <v>1.6500000000000001E-2</v>
      </c>
      <c r="N49" s="88">
        <v>0.27717935374212399</v>
      </c>
      <c r="O49" s="88">
        <v>0.72282064625787601</v>
      </c>
      <c r="P49" s="88">
        <v>0.25</v>
      </c>
      <c r="Q49" s="87">
        <v>0.62361295447909626</v>
      </c>
      <c r="R49" s="88">
        <v>9.9064267399825573E-2</v>
      </c>
      <c r="S49" s="669">
        <v>8.5000000000000006E-3</v>
      </c>
      <c r="T49" s="87">
        <v>0.28742573556682549</v>
      </c>
      <c r="U49" s="87">
        <v>0.71257426443317451</v>
      </c>
      <c r="V49" s="87">
        <v>0.25</v>
      </c>
      <c r="W49" s="87">
        <v>0.45700546948270204</v>
      </c>
      <c r="X49" s="87">
        <v>0.15150889761067693</v>
      </c>
      <c r="Y49" s="669">
        <v>6.2429999999999986E-3</v>
      </c>
      <c r="Z49" s="667">
        <v>0.25950157646332861</v>
      </c>
      <c r="AA49" s="674">
        <v>0.74049842353667139</v>
      </c>
      <c r="AB49" s="669">
        <v>0.25000000000000011</v>
      </c>
      <c r="AC49" s="681">
        <v>0.56713615500000003</v>
      </c>
      <c r="AD49" s="674">
        <v>0.22941033299999999</v>
      </c>
      <c r="AE49" s="669">
        <v>4.9999999999999975E-3</v>
      </c>
    </row>
    <row r="50" spans="1:31">
      <c r="A50" s="89" t="s">
        <v>1002</v>
      </c>
      <c r="B50" s="88">
        <v>0.12368913053394459</v>
      </c>
      <c r="C50" s="88">
        <v>0.87631086946605541</v>
      </c>
      <c r="D50" s="88">
        <v>0.27</v>
      </c>
      <c r="E50" s="87">
        <v>1.2471254008660198</v>
      </c>
      <c r="F50" s="88">
        <v>0.34753389659061479</v>
      </c>
      <c r="G50" s="670">
        <v>1.6500000000000001E-2</v>
      </c>
      <c r="H50" s="88">
        <v>0.12368913053394459</v>
      </c>
      <c r="I50" s="88">
        <v>0.87631086946605541</v>
      </c>
      <c r="J50" s="88">
        <v>0.27</v>
      </c>
      <c r="K50" s="87">
        <v>1.2471254008660198</v>
      </c>
      <c r="L50" s="88">
        <v>0.34753389659061479</v>
      </c>
      <c r="M50" s="670">
        <v>1.6500000000000001E-2</v>
      </c>
      <c r="N50" s="88">
        <v>0.172476526234421</v>
      </c>
      <c r="O50" s="88">
        <v>0.827523473765579</v>
      </c>
      <c r="P50" s="88">
        <v>0.25</v>
      </c>
      <c r="Q50" s="87">
        <v>1.2248168994320441</v>
      </c>
      <c r="R50" s="88">
        <v>0.32362033573649224</v>
      </c>
      <c r="S50" s="670">
        <v>1.6199999999999999E-2</v>
      </c>
      <c r="T50" s="87">
        <v>0.14430985657050788</v>
      </c>
      <c r="U50" s="87">
        <v>0.85569014342949212</v>
      </c>
      <c r="V50" s="87">
        <v>0.24999999999999989</v>
      </c>
      <c r="W50" s="87">
        <v>1.0260564286029479</v>
      </c>
      <c r="X50" s="87">
        <v>0.33444214078623241</v>
      </c>
      <c r="Y50" s="670">
        <v>1.2054999999999996E-2</v>
      </c>
      <c r="Z50" s="678">
        <v>0.13568778466035225</v>
      </c>
      <c r="AA50" s="675">
        <v>0.86431221533964775</v>
      </c>
      <c r="AB50" s="670">
        <v>0.25000000000000011</v>
      </c>
      <c r="AC50" s="682">
        <v>1.067242281</v>
      </c>
      <c r="AD50" s="675">
        <v>0.46073330099999998</v>
      </c>
      <c r="AE50" s="670">
        <v>1.2000000000000004E-2</v>
      </c>
    </row>
    <row r="51" spans="1:31">
      <c r="A51" s="86" t="s">
        <v>1003</v>
      </c>
      <c r="B51" s="88">
        <v>0.15377622800964041</v>
      </c>
      <c r="C51" s="88">
        <v>0.84622377199035959</v>
      </c>
      <c r="D51" s="88">
        <v>0.26999999999999991</v>
      </c>
      <c r="E51" s="87">
        <v>1.1729282199962749</v>
      </c>
      <c r="F51" s="88">
        <v>0.68076293704459445</v>
      </c>
      <c r="G51" s="669">
        <v>3.1625E-2</v>
      </c>
      <c r="H51" s="88">
        <v>0.15377622800964041</v>
      </c>
      <c r="I51" s="88">
        <v>0.84622377199035959</v>
      </c>
      <c r="J51" s="88">
        <v>0.26999999999999991</v>
      </c>
      <c r="K51" s="87">
        <v>1.1729282199962749</v>
      </c>
      <c r="L51" s="88">
        <v>0.68076293704459445</v>
      </c>
      <c r="M51" s="669">
        <v>3.1625E-2</v>
      </c>
      <c r="N51" s="88">
        <v>0.17725898477475721</v>
      </c>
      <c r="O51" s="88">
        <v>0.82274101522524279</v>
      </c>
      <c r="P51" s="88">
        <v>0.25</v>
      </c>
      <c r="Q51" s="87">
        <v>1.2900534643158847</v>
      </c>
      <c r="R51" s="88">
        <v>0.70056239501193862</v>
      </c>
      <c r="S51" s="669">
        <v>3.1299999999999994E-2</v>
      </c>
      <c r="T51" s="87">
        <v>0.13659352614226639</v>
      </c>
      <c r="U51" s="87">
        <v>0.86340647385773361</v>
      </c>
      <c r="V51" s="87">
        <v>0.25000000000000011</v>
      </c>
      <c r="W51" s="87">
        <v>0.96247840953991504</v>
      </c>
      <c r="X51" s="87">
        <v>0.605593652790272</v>
      </c>
      <c r="Y51" s="669">
        <v>1.4724000000000001E-2</v>
      </c>
      <c r="Z51" s="667">
        <v>0.14354306825231156</v>
      </c>
      <c r="AA51" s="674">
        <v>0.85645693174768844</v>
      </c>
      <c r="AB51" s="669">
        <v>0.25</v>
      </c>
      <c r="AC51" s="681">
        <v>1.022250551</v>
      </c>
      <c r="AD51" s="674">
        <v>0.72372346399999998</v>
      </c>
      <c r="AE51" s="669">
        <v>1.8300000000000004E-2</v>
      </c>
    </row>
    <row r="52" spans="1:31">
      <c r="A52" s="89" t="s">
        <v>1004</v>
      </c>
      <c r="B52" s="88">
        <v>0.32549289286882366</v>
      </c>
      <c r="C52" s="88">
        <v>0.67450710713117634</v>
      </c>
      <c r="D52" s="88">
        <v>0.27</v>
      </c>
      <c r="E52" s="87">
        <v>1.3833133311473829</v>
      </c>
      <c r="F52" s="88">
        <v>0.31005686583587028</v>
      </c>
      <c r="G52" s="670">
        <v>1.6500000000000001E-2</v>
      </c>
      <c r="H52" s="88">
        <v>0.32549289286882366</v>
      </c>
      <c r="I52" s="88">
        <v>0.67450710713117634</v>
      </c>
      <c r="J52" s="88">
        <v>0.27</v>
      </c>
      <c r="K52" s="87">
        <v>1.3833133311473829</v>
      </c>
      <c r="L52" s="88">
        <v>0.31005686583587028</v>
      </c>
      <c r="M52" s="670">
        <v>1.6500000000000001E-2</v>
      </c>
      <c r="N52" s="88">
        <v>0.40048472944003644</v>
      </c>
      <c r="O52" s="88">
        <v>0.59951527055996356</v>
      </c>
      <c r="P52" s="88">
        <v>0.25</v>
      </c>
      <c r="Q52" s="87">
        <v>1.1770946700328646</v>
      </c>
      <c r="R52" s="88">
        <v>0.35220934553840333</v>
      </c>
      <c r="S52" s="670">
        <v>1.6199999999999999E-2</v>
      </c>
      <c r="T52" s="87">
        <v>0.34456840647253739</v>
      </c>
      <c r="U52" s="87">
        <v>0.65543159352746261</v>
      </c>
      <c r="V52" s="87">
        <v>0.24999999999999989</v>
      </c>
      <c r="W52" s="87">
        <v>1.1394185236914496</v>
      </c>
      <c r="X52" s="87">
        <v>0.30280062793938978</v>
      </c>
      <c r="Y52" s="670">
        <v>1.2054999999999996E-2</v>
      </c>
      <c r="Z52" s="678">
        <v>0.31743720141192577</v>
      </c>
      <c r="AA52" s="675">
        <v>0.68256279858807423</v>
      </c>
      <c r="AB52" s="670">
        <v>0.25000000000000011</v>
      </c>
      <c r="AC52" s="682">
        <v>1.2004955909999999</v>
      </c>
      <c r="AD52" s="675">
        <v>0.49892003800000001</v>
      </c>
      <c r="AE52" s="670">
        <v>1.2000000000000004E-2</v>
      </c>
    </row>
    <row r="53" spans="1:31">
      <c r="A53" s="86" t="s">
        <v>1005</v>
      </c>
      <c r="B53" s="88">
        <v>0.21092384609364301</v>
      </c>
      <c r="C53" s="88">
        <v>0.78907615390635699</v>
      </c>
      <c r="D53" s="88">
        <v>0.27</v>
      </c>
      <c r="E53" s="87">
        <v>1.4653974739790023</v>
      </c>
      <c r="F53" s="88">
        <v>0.28713169955029821</v>
      </c>
      <c r="G53" s="669">
        <v>1.6500000000000001E-2</v>
      </c>
      <c r="H53" s="88">
        <v>0.21092384609364301</v>
      </c>
      <c r="I53" s="88">
        <v>0.78907615390635699</v>
      </c>
      <c r="J53" s="88">
        <v>0.27</v>
      </c>
      <c r="K53" s="87">
        <v>1.4653974739790023</v>
      </c>
      <c r="L53" s="88">
        <v>0.28713169955029821</v>
      </c>
      <c r="M53" s="669">
        <v>1.6500000000000001E-2</v>
      </c>
      <c r="N53" s="88">
        <v>0.10316970884560783</v>
      </c>
      <c r="O53" s="88">
        <v>0.89683029115439217</v>
      </c>
      <c r="P53" s="88">
        <v>0.25</v>
      </c>
      <c r="Q53" s="87">
        <v>0.97748589274906783</v>
      </c>
      <c r="R53" s="88">
        <v>0.30548944434643338</v>
      </c>
      <c r="S53" s="669">
        <v>1.6199999999999999E-2</v>
      </c>
      <c r="T53" s="87">
        <v>0.11113222576377613</v>
      </c>
      <c r="U53" s="87">
        <v>0.88886777423622387</v>
      </c>
      <c r="V53" s="87">
        <v>0.24999999999999989</v>
      </c>
      <c r="W53" s="87">
        <v>0.67065158444684592</v>
      </c>
      <c r="X53" s="87">
        <v>0.26444809223182186</v>
      </c>
      <c r="Y53" s="669">
        <v>1.2054999999999996E-2</v>
      </c>
      <c r="Z53" s="667">
        <v>0.12058731670495793</v>
      </c>
      <c r="AA53" s="674">
        <v>0.87941268329504207</v>
      </c>
      <c r="AB53" s="669">
        <v>0.25000000000000011</v>
      </c>
      <c r="AC53" s="681">
        <v>0.483682004</v>
      </c>
      <c r="AD53" s="674">
        <v>0.25559529800000003</v>
      </c>
      <c r="AE53" s="669">
        <v>4.9999999999999975E-3</v>
      </c>
    </row>
    <row r="54" spans="1:31">
      <c r="A54" s="89" t="s">
        <v>1006</v>
      </c>
      <c r="B54" s="88">
        <v>0.23737743300072522</v>
      </c>
      <c r="C54" s="88">
        <v>0.76262256699927478</v>
      </c>
      <c r="D54" s="88">
        <v>0.27</v>
      </c>
      <c r="E54" s="87">
        <v>1.3197265447114099</v>
      </c>
      <c r="F54" s="88">
        <v>0.55475619593509207</v>
      </c>
      <c r="G54" s="670">
        <v>2.0680000000000004E-2</v>
      </c>
      <c r="H54" s="88">
        <v>0.23737743300072522</v>
      </c>
      <c r="I54" s="88">
        <v>0.76262256699927478</v>
      </c>
      <c r="J54" s="88">
        <v>0.27</v>
      </c>
      <c r="K54" s="87">
        <v>1.3197265447114099</v>
      </c>
      <c r="L54" s="88">
        <v>0.55475619593509207</v>
      </c>
      <c r="M54" s="670">
        <v>2.0680000000000004E-2</v>
      </c>
      <c r="N54" s="88">
        <v>0.16724493485833181</v>
      </c>
      <c r="O54" s="88">
        <v>0.83275506514166819</v>
      </c>
      <c r="P54" s="88">
        <v>0.25000000000000011</v>
      </c>
      <c r="Q54" s="87">
        <v>1.2574315521617736</v>
      </c>
      <c r="R54" s="88">
        <v>0.56976877370013901</v>
      </c>
      <c r="S54" s="670">
        <v>2.0000000000000004E-2</v>
      </c>
      <c r="T54" s="87">
        <v>0.18884246603997279</v>
      </c>
      <c r="U54" s="87">
        <v>0.81115753396002721</v>
      </c>
      <c r="V54" s="87">
        <v>0.24999999999999989</v>
      </c>
      <c r="W54" s="87">
        <v>0.92989873869595874</v>
      </c>
      <c r="X54" s="87">
        <v>0.46310335310672146</v>
      </c>
      <c r="Y54" s="670">
        <v>1.2054999999999996E-2</v>
      </c>
      <c r="Z54" s="678">
        <v>0.2104022426182528</v>
      </c>
      <c r="AA54" s="675">
        <v>0.7895977573817472</v>
      </c>
      <c r="AB54" s="670">
        <v>0.25000000000000011</v>
      </c>
      <c r="AC54" s="682">
        <v>0.87592934300000003</v>
      </c>
      <c r="AD54" s="675">
        <v>0.47658850899999999</v>
      </c>
      <c r="AE54" s="670">
        <v>1.2000000000000004E-2</v>
      </c>
    </row>
    <row r="55" spans="1:31">
      <c r="A55" s="86" t="s">
        <v>1007</v>
      </c>
      <c r="B55" s="88">
        <v>0.46568676212319338</v>
      </c>
      <c r="C55" s="88">
        <v>0.53431323787680662</v>
      </c>
      <c r="D55" s="88">
        <v>0.27</v>
      </c>
      <c r="E55" s="87">
        <v>1.3956242779823214</v>
      </c>
      <c r="F55" s="88">
        <v>0.44980453975922519</v>
      </c>
      <c r="G55" s="669">
        <v>2.0680000000000004E-2</v>
      </c>
      <c r="H55" s="88">
        <v>0.46568676212319338</v>
      </c>
      <c r="I55" s="88">
        <v>0.53431323787680662</v>
      </c>
      <c r="J55" s="88">
        <v>0.27</v>
      </c>
      <c r="K55" s="87">
        <v>1.3956242779823214</v>
      </c>
      <c r="L55" s="88">
        <v>0.44980453975922519</v>
      </c>
      <c r="M55" s="669">
        <v>2.0680000000000004E-2</v>
      </c>
      <c r="N55" s="88">
        <v>0.41660661946754163</v>
      </c>
      <c r="O55" s="88">
        <v>0.58339338053245837</v>
      </c>
      <c r="P55" s="88">
        <v>0.25</v>
      </c>
      <c r="Q55" s="87">
        <v>0.99125533132716515</v>
      </c>
      <c r="R55" s="88">
        <v>0.33549336269635954</v>
      </c>
      <c r="S55" s="669">
        <v>1.6199999999999999E-2</v>
      </c>
      <c r="T55" s="87">
        <v>0.41252097055499015</v>
      </c>
      <c r="U55" s="87">
        <v>0.58747902944500985</v>
      </c>
      <c r="V55" s="87">
        <v>0.24999999999999989</v>
      </c>
      <c r="W55" s="87">
        <v>0.79075215100878704</v>
      </c>
      <c r="X55" s="87">
        <v>0.32547547332498222</v>
      </c>
      <c r="Y55" s="669">
        <v>1.2054999999999996E-2</v>
      </c>
      <c r="Z55" s="667">
        <v>0.34010076148659496</v>
      </c>
      <c r="AA55" s="674">
        <v>0.65989923851340504</v>
      </c>
      <c r="AB55" s="669">
        <v>0.25000000000000011</v>
      </c>
      <c r="AC55" s="681">
        <v>0.75470750399999997</v>
      </c>
      <c r="AD55" s="674">
        <v>0.38174150099999998</v>
      </c>
      <c r="AE55" s="669">
        <v>9.5000000000000015E-3</v>
      </c>
    </row>
    <row r="56" spans="1:31">
      <c r="A56" s="89" t="s">
        <v>1008</v>
      </c>
      <c r="B56" s="88">
        <v>0.3511837120668212</v>
      </c>
      <c r="C56" s="88">
        <v>0.6488162879331788</v>
      </c>
      <c r="D56" s="88">
        <v>0.27</v>
      </c>
      <c r="E56" s="87">
        <v>1.495800528896629</v>
      </c>
      <c r="F56" s="88">
        <v>0.49634640471939451</v>
      </c>
      <c r="G56" s="670">
        <v>2.0680000000000004E-2</v>
      </c>
      <c r="H56" s="88">
        <v>0.3511837120668212</v>
      </c>
      <c r="I56" s="88">
        <v>0.6488162879331788</v>
      </c>
      <c r="J56" s="88">
        <v>0.27</v>
      </c>
      <c r="K56" s="87">
        <v>1.495800528896629</v>
      </c>
      <c r="L56" s="88">
        <v>0.49634640471939451</v>
      </c>
      <c r="M56" s="670">
        <v>2.0680000000000004E-2</v>
      </c>
      <c r="N56" s="88">
        <v>0.24587596268608092</v>
      </c>
      <c r="O56" s="88">
        <v>0.75412403731391908</v>
      </c>
      <c r="P56" s="88">
        <v>0.25</v>
      </c>
      <c r="Q56" s="87">
        <v>1.3751593545688363</v>
      </c>
      <c r="R56" s="88">
        <v>0.46898107338785378</v>
      </c>
      <c r="S56" s="670">
        <v>1.6199999999999999E-2</v>
      </c>
      <c r="T56" s="87">
        <v>0.24322695079309054</v>
      </c>
      <c r="U56" s="87">
        <v>0.75677304920690946</v>
      </c>
      <c r="V56" s="87">
        <v>0.24999999999999989</v>
      </c>
      <c r="W56" s="87">
        <v>0.9795500315745983</v>
      </c>
      <c r="X56" s="87">
        <v>0.43728736432048126</v>
      </c>
      <c r="Y56" s="670">
        <v>1.2054999999999996E-2</v>
      </c>
      <c r="Z56" s="678">
        <v>0.27810053473826812</v>
      </c>
      <c r="AA56" s="675">
        <v>0.72189946526173188</v>
      </c>
      <c r="AB56" s="670">
        <v>0.25000000000000011</v>
      </c>
      <c r="AC56" s="682">
        <v>0.93760052400000005</v>
      </c>
      <c r="AD56" s="675">
        <v>0.49488387099999998</v>
      </c>
      <c r="AE56" s="670">
        <v>1.2000000000000004E-2</v>
      </c>
    </row>
    <row r="57" spans="1:31">
      <c r="A57" s="86" t="s">
        <v>1009</v>
      </c>
      <c r="B57" s="88">
        <v>0.33193002325534904</v>
      </c>
      <c r="C57" s="88">
        <v>0.66806997674465096</v>
      </c>
      <c r="D57" s="88">
        <v>0.27</v>
      </c>
      <c r="E57" s="87">
        <v>1.0097052308922077</v>
      </c>
      <c r="F57" s="88">
        <v>0.26384174426916995</v>
      </c>
      <c r="G57" s="669">
        <v>1.6500000000000001E-2</v>
      </c>
      <c r="H57" s="88">
        <v>0.33193002325534904</v>
      </c>
      <c r="I57" s="88">
        <v>0.66806997674465096</v>
      </c>
      <c r="J57" s="88">
        <v>0.27</v>
      </c>
      <c r="K57" s="87">
        <v>1.0097052308922077</v>
      </c>
      <c r="L57" s="88">
        <v>0.26384174426916995</v>
      </c>
      <c r="M57" s="669">
        <v>1.6500000000000001E-2</v>
      </c>
      <c r="N57" s="88">
        <v>0.38258512094774455</v>
      </c>
      <c r="O57" s="88">
        <v>0.61741487905225545</v>
      </c>
      <c r="P57" s="88">
        <v>0.25</v>
      </c>
      <c r="Q57" s="87">
        <v>0.95242199691205232</v>
      </c>
      <c r="R57" s="88">
        <v>0.24431384085324004</v>
      </c>
      <c r="S57" s="669">
        <v>8.5000000000000006E-3</v>
      </c>
      <c r="T57" s="87">
        <v>0.379884104285102</v>
      </c>
      <c r="U57" s="87">
        <v>0.620115895714898</v>
      </c>
      <c r="V57" s="87">
        <v>0.24999999999999989</v>
      </c>
      <c r="W57" s="87">
        <v>1.1327220379604754</v>
      </c>
      <c r="X57" s="87">
        <v>0.26242708965746769</v>
      </c>
      <c r="Y57" s="669">
        <v>1.2054999999999996E-2</v>
      </c>
      <c r="Z57" s="667">
        <v>0.34603581300700137</v>
      </c>
      <c r="AA57" s="674">
        <v>0.65396418699299863</v>
      </c>
      <c r="AB57" s="669">
        <v>0.25000000000000011</v>
      </c>
      <c r="AC57" s="681">
        <v>0.97636341000000004</v>
      </c>
      <c r="AD57" s="674">
        <v>0.33975428099999999</v>
      </c>
      <c r="AE57" s="669">
        <v>9.5000000000000015E-3</v>
      </c>
    </row>
    <row r="58" spans="1:31">
      <c r="A58" s="89" t="s">
        <v>1010</v>
      </c>
      <c r="B58" s="88">
        <v>0.29240120683917459</v>
      </c>
      <c r="C58" s="88">
        <v>0.70759879316082541</v>
      </c>
      <c r="D58" s="88">
        <v>0.27</v>
      </c>
      <c r="E58" s="87">
        <v>1.2135156840120447</v>
      </c>
      <c r="F58" s="88">
        <v>0.3060750308260442</v>
      </c>
      <c r="G58" s="670">
        <v>1.6500000000000001E-2</v>
      </c>
      <c r="H58" s="88">
        <v>0.29240120683917459</v>
      </c>
      <c r="I58" s="88">
        <v>0.70759879316082541</v>
      </c>
      <c r="J58" s="88">
        <v>0.27</v>
      </c>
      <c r="K58" s="87">
        <v>1.2135156840120447</v>
      </c>
      <c r="L58" s="88">
        <v>0.3060750308260442</v>
      </c>
      <c r="M58" s="670">
        <v>1.6500000000000001E-2</v>
      </c>
      <c r="N58" s="88">
        <v>0.30490399792922029</v>
      </c>
      <c r="O58" s="88">
        <v>0.69509600207077971</v>
      </c>
      <c r="P58" s="88">
        <v>0.25</v>
      </c>
      <c r="Q58" s="87">
        <v>1.3830066711394122</v>
      </c>
      <c r="R58" s="88">
        <v>0.42843597130920175</v>
      </c>
      <c r="S58" s="670">
        <v>1.6199999999999999E-2</v>
      </c>
      <c r="T58" s="87">
        <v>0.27203680189153667</v>
      </c>
      <c r="U58" s="87">
        <v>0.72796319810846333</v>
      </c>
      <c r="V58" s="87">
        <v>0.24999999999999989</v>
      </c>
      <c r="W58" s="87">
        <v>1.9382231536190784</v>
      </c>
      <c r="X58" s="87">
        <v>0.43036486711913036</v>
      </c>
      <c r="Y58" s="670">
        <v>1.2054999999999996E-2</v>
      </c>
      <c r="Z58" s="678">
        <v>0.18411329851970282</v>
      </c>
      <c r="AA58" s="675">
        <v>0.81588670148029718</v>
      </c>
      <c r="AB58" s="670">
        <v>0.25000000000000011</v>
      </c>
      <c r="AC58" s="682">
        <v>1.0717410300000001</v>
      </c>
      <c r="AD58" s="675">
        <v>0.60657457599999998</v>
      </c>
      <c r="AE58" s="670">
        <v>1.2000000000000004E-2</v>
      </c>
    </row>
    <row r="59" spans="1:31">
      <c r="A59" s="384" t="s">
        <v>1011</v>
      </c>
      <c r="B59" s="88">
        <v>0.41703172422011858</v>
      </c>
      <c r="C59" s="88">
        <v>0.58296827577988142</v>
      </c>
      <c r="D59" s="88">
        <v>0.27</v>
      </c>
      <c r="E59" s="87">
        <v>0.83307251944889882</v>
      </c>
      <c r="F59" s="88">
        <v>0.19494311438548956</v>
      </c>
      <c r="G59" s="669">
        <v>9.9000000000000025E-3</v>
      </c>
      <c r="H59" s="88">
        <v>0.41703172422011858</v>
      </c>
      <c r="I59" s="88">
        <v>0.58296827577988142</v>
      </c>
      <c r="J59" s="88">
        <v>0.27</v>
      </c>
      <c r="K59" s="87">
        <v>0.83307251944889882</v>
      </c>
      <c r="L59" s="88">
        <v>0.19494311438548956</v>
      </c>
      <c r="M59" s="669">
        <v>9.9000000000000008E-3</v>
      </c>
      <c r="N59" s="88">
        <v>0.43552496662165086</v>
      </c>
      <c r="O59" s="88">
        <v>0.56447503337834914</v>
      </c>
      <c r="P59" s="88">
        <v>0.25</v>
      </c>
      <c r="Q59" s="87">
        <v>0.72500097471023861</v>
      </c>
      <c r="R59" s="88">
        <v>0.1717812350329328</v>
      </c>
      <c r="S59" s="669">
        <v>8.5000000000000006E-3</v>
      </c>
      <c r="T59" s="87">
        <v>0.48166097793207796</v>
      </c>
      <c r="U59" s="87">
        <v>0.51833902206792204</v>
      </c>
      <c r="V59" s="87">
        <v>0.25</v>
      </c>
      <c r="W59" s="87">
        <v>0.65062741829817849</v>
      </c>
      <c r="X59" s="87">
        <v>0.20394370124554315</v>
      </c>
      <c r="Y59" s="669">
        <v>6.2429999999999986E-3</v>
      </c>
      <c r="Z59" s="667">
        <v>0.44547961779880552</v>
      </c>
      <c r="AA59" s="674">
        <v>0.55452038220119448</v>
      </c>
      <c r="AB59" s="669">
        <v>0.25000000000000011</v>
      </c>
      <c r="AC59" s="681">
        <v>0.54234862699999997</v>
      </c>
      <c r="AD59" s="674">
        <v>0.273142734</v>
      </c>
      <c r="AE59" s="669">
        <v>4.9999999999999975E-3</v>
      </c>
    </row>
    <row r="60" spans="1:31">
      <c r="A60" s="89" t="s">
        <v>1012</v>
      </c>
      <c r="B60" s="88">
        <v>0.10720424716920174</v>
      </c>
      <c r="C60" s="88">
        <v>0.89279575283079826</v>
      </c>
      <c r="D60" s="88">
        <v>0.27</v>
      </c>
      <c r="E60" s="87">
        <v>0.98945219191732581</v>
      </c>
      <c r="F60" s="88">
        <v>0.56288380171731567</v>
      </c>
      <c r="G60" s="670">
        <v>3.1625E-2</v>
      </c>
      <c r="H60" s="88">
        <v>0.10720424716920174</v>
      </c>
      <c r="I60" s="88">
        <v>0.89279575283079826</v>
      </c>
      <c r="J60" s="88">
        <v>0.27</v>
      </c>
      <c r="K60" s="87">
        <v>0.98945219191732581</v>
      </c>
      <c r="L60" s="88">
        <v>0.56288380171731567</v>
      </c>
      <c r="M60" s="670">
        <v>2.0680000000000004E-2</v>
      </c>
      <c r="N60" s="88">
        <v>0.14034933783922687</v>
      </c>
      <c r="O60" s="88">
        <v>0.85965066216077313</v>
      </c>
      <c r="P60" s="88">
        <v>0.25</v>
      </c>
      <c r="Q60" s="87">
        <v>1.2336190389708566</v>
      </c>
      <c r="R60" s="88">
        <v>0.72543314545868787</v>
      </c>
      <c r="S60" s="670">
        <v>3.1299999999999994E-2</v>
      </c>
      <c r="T60" s="87">
        <v>0.13198988940179568</v>
      </c>
      <c r="U60" s="87">
        <v>0.86801011059820432</v>
      </c>
      <c r="V60" s="87">
        <v>0.25000000000000011</v>
      </c>
      <c r="W60" s="87">
        <v>0.86895093981506022</v>
      </c>
      <c r="X60" s="87">
        <v>0.63609473927989657</v>
      </c>
      <c r="Y60" s="670">
        <v>1.4724000000000001E-2</v>
      </c>
      <c r="Z60" s="678">
        <v>0.15894994616948033</v>
      </c>
      <c r="AA60" s="675">
        <v>0.84105005383051967</v>
      </c>
      <c r="AB60" s="670">
        <v>0.25</v>
      </c>
      <c r="AC60" s="682">
        <v>1.2283147759999999</v>
      </c>
      <c r="AD60" s="675">
        <v>0.70971951600000005</v>
      </c>
      <c r="AE60" s="670">
        <v>1.8300000000000004E-2</v>
      </c>
    </row>
    <row r="61" spans="1:31">
      <c r="A61" s="86" t="s">
        <v>1013</v>
      </c>
      <c r="B61" s="88">
        <v>0.26904107653895759</v>
      </c>
      <c r="C61" s="88">
        <v>0.73095892346104241</v>
      </c>
      <c r="D61" s="88">
        <v>0.27</v>
      </c>
      <c r="E61" s="87">
        <v>1.6937211681264039</v>
      </c>
      <c r="F61" s="88">
        <v>0.30800241644332438</v>
      </c>
      <c r="G61" s="669">
        <v>1.6500000000000001E-2</v>
      </c>
      <c r="H61" s="88">
        <v>0.26904107653895759</v>
      </c>
      <c r="I61" s="88">
        <v>0.73095892346104241</v>
      </c>
      <c r="J61" s="88">
        <v>0.27</v>
      </c>
      <c r="K61" s="87">
        <v>1.6937211681264039</v>
      </c>
      <c r="L61" s="88">
        <v>0.30800241644332438</v>
      </c>
      <c r="M61" s="669">
        <v>1.6500000000000001E-2</v>
      </c>
      <c r="N61" s="88">
        <v>0.29664827548349582</v>
      </c>
      <c r="O61" s="88">
        <v>0.70335172451650418</v>
      </c>
      <c r="P61" s="88">
        <v>0.25</v>
      </c>
      <c r="Q61" s="87">
        <v>1.1148957766881691</v>
      </c>
      <c r="R61" s="88">
        <v>0.30919744401282184</v>
      </c>
      <c r="S61" s="669">
        <v>1.6199999999999999E-2</v>
      </c>
      <c r="T61" s="87">
        <v>0.24514393589381345</v>
      </c>
      <c r="U61" s="87">
        <v>0.75485606410618655</v>
      </c>
      <c r="V61" s="87">
        <v>0.24999999999999989</v>
      </c>
      <c r="W61" s="87">
        <v>0.96111364761823381</v>
      </c>
      <c r="X61" s="87">
        <v>0.38203317252748159</v>
      </c>
      <c r="Y61" s="669">
        <v>1.2054999999999996E-2</v>
      </c>
      <c r="Z61" s="667">
        <v>0.22296848382654755</v>
      </c>
      <c r="AA61" s="674">
        <v>0.77703151617345245</v>
      </c>
      <c r="AB61" s="669">
        <v>0.25000000000000011</v>
      </c>
      <c r="AC61" s="681">
        <v>0.63735309100000004</v>
      </c>
      <c r="AD61" s="674">
        <v>0.410004918</v>
      </c>
      <c r="AE61" s="669">
        <v>9.5000000000000015E-3</v>
      </c>
    </row>
    <row r="62" spans="1:31">
      <c r="A62" s="89" t="s">
        <v>1014</v>
      </c>
      <c r="B62" s="88">
        <v>0.34980305924053545</v>
      </c>
      <c r="C62" s="88">
        <v>0.65019694075946455</v>
      </c>
      <c r="D62" s="88">
        <v>0.27</v>
      </c>
      <c r="E62" s="87">
        <v>1.3487431776038159</v>
      </c>
      <c r="F62" s="88">
        <v>0.3264730533309092</v>
      </c>
      <c r="G62" s="670">
        <v>1.6500000000000001E-2</v>
      </c>
      <c r="H62" s="88">
        <v>0.34980305924053545</v>
      </c>
      <c r="I62" s="88">
        <v>0.65019694075946455</v>
      </c>
      <c r="J62" s="88">
        <v>0.27</v>
      </c>
      <c r="K62" s="87">
        <v>1.3487431776038159</v>
      </c>
      <c r="L62" s="88">
        <v>0.3264730533309092</v>
      </c>
      <c r="M62" s="670">
        <v>1.6500000000000001E-2</v>
      </c>
      <c r="N62" s="88">
        <v>0.43607305258100248</v>
      </c>
      <c r="O62" s="88">
        <v>0.56392694741899752</v>
      </c>
      <c r="P62" s="88">
        <v>0.25</v>
      </c>
      <c r="Q62" s="87">
        <v>1.063376043005491</v>
      </c>
      <c r="R62" s="88">
        <v>0.21541532639566627</v>
      </c>
      <c r="S62" s="670">
        <v>8.5000000000000006E-3</v>
      </c>
      <c r="T62" s="87">
        <v>0.44146512350526423</v>
      </c>
      <c r="U62" s="87">
        <v>0.55853487649473577</v>
      </c>
      <c r="V62" s="87">
        <v>0.25</v>
      </c>
      <c r="W62" s="87">
        <v>1.0315825268097811</v>
      </c>
      <c r="X62" s="87">
        <v>0.23718238142541787</v>
      </c>
      <c r="Y62" s="670">
        <v>6.2429999999999986E-3</v>
      </c>
      <c r="Z62" s="678">
        <v>0.45500220616438203</v>
      </c>
      <c r="AA62" s="675">
        <v>0.54499779383561797</v>
      </c>
      <c r="AB62" s="670">
        <v>0.25000000000000011</v>
      </c>
      <c r="AC62" s="682">
        <v>0.947227237</v>
      </c>
      <c r="AD62" s="675">
        <v>0.32077082099999998</v>
      </c>
      <c r="AE62" s="670">
        <v>9.5000000000000015E-3</v>
      </c>
    </row>
    <row r="63" spans="1:31">
      <c r="A63" s="86" t="s">
        <v>1015</v>
      </c>
      <c r="B63" s="88">
        <v>0.44425391464556707</v>
      </c>
      <c r="C63" s="88">
        <v>0.55574608535443293</v>
      </c>
      <c r="D63" s="88">
        <v>0.27</v>
      </c>
      <c r="E63" s="87">
        <v>1.0625427746169613</v>
      </c>
      <c r="F63" s="88">
        <v>0.5132233183429773</v>
      </c>
      <c r="G63" s="669">
        <v>2.0680000000000004E-2</v>
      </c>
      <c r="H63" s="88">
        <v>0.44425391464556707</v>
      </c>
      <c r="I63" s="88">
        <v>0.55574608535443293</v>
      </c>
      <c r="J63" s="88">
        <v>0.27</v>
      </c>
      <c r="K63" s="87">
        <v>1.0625427746169613</v>
      </c>
      <c r="L63" s="88">
        <v>0.5132233183429773</v>
      </c>
      <c r="M63" s="669">
        <v>2.0680000000000004E-2</v>
      </c>
      <c r="N63" s="88">
        <v>0.52953698868574195</v>
      </c>
      <c r="O63" s="88">
        <v>0.47046301131425805</v>
      </c>
      <c r="P63" s="88">
        <v>0.25000000000000011</v>
      </c>
      <c r="Q63" s="87">
        <v>1.5166924498761216</v>
      </c>
      <c r="R63" s="88">
        <v>0.51250635002105183</v>
      </c>
      <c r="S63" s="669">
        <v>2.0000000000000004E-2</v>
      </c>
      <c r="T63" s="87">
        <v>0.48479507760579099</v>
      </c>
      <c r="U63" s="87">
        <v>0.51520492239420901</v>
      </c>
      <c r="V63" s="87">
        <v>0.24999999999999989</v>
      </c>
      <c r="W63" s="87">
        <v>0.66859406140799615</v>
      </c>
      <c r="X63" s="87">
        <v>0.34240037014717128</v>
      </c>
      <c r="Y63" s="669">
        <v>1.2054999999999996E-2</v>
      </c>
      <c r="Z63" s="667">
        <v>0.52086520461082431</v>
      </c>
      <c r="AA63" s="674">
        <v>0.47913479538917569</v>
      </c>
      <c r="AB63" s="669">
        <v>0.25000000000000011</v>
      </c>
      <c r="AC63" s="681">
        <v>1.0261883300000001</v>
      </c>
      <c r="AD63" s="674">
        <v>0.49682191999999997</v>
      </c>
      <c r="AE63" s="669">
        <v>1.2000000000000004E-2</v>
      </c>
    </row>
    <row r="64" spans="1:31">
      <c r="A64" s="89" t="s">
        <v>1016</v>
      </c>
      <c r="B64" s="88">
        <v>0.20890330406052426</v>
      </c>
      <c r="C64" s="88">
        <v>0.79109669593947574</v>
      </c>
      <c r="D64" s="88">
        <v>0.27</v>
      </c>
      <c r="E64" s="87">
        <v>0.90643693715530971</v>
      </c>
      <c r="F64" s="88">
        <v>0.30698705855207647</v>
      </c>
      <c r="G64" s="670">
        <v>9.9000000000000025E-3</v>
      </c>
      <c r="H64" s="88">
        <v>0.20890330406052426</v>
      </c>
      <c r="I64" s="88">
        <v>0.79109669593947574</v>
      </c>
      <c r="J64" s="88">
        <v>0.27</v>
      </c>
      <c r="K64" s="87">
        <v>0.90643693715530971</v>
      </c>
      <c r="L64" s="88">
        <v>0.30698705855207647</v>
      </c>
      <c r="M64" s="670">
        <v>1.6500000000000001E-2</v>
      </c>
      <c r="N64" s="88">
        <v>0.28478860416132579</v>
      </c>
      <c r="O64" s="88">
        <v>0.71521139583867421</v>
      </c>
      <c r="P64" s="88">
        <v>0.25</v>
      </c>
      <c r="Q64" s="87">
        <v>0.78980297684164968</v>
      </c>
      <c r="R64" s="88">
        <v>0.28661749273612586</v>
      </c>
      <c r="S64" s="670">
        <v>1.6199999999999999E-2</v>
      </c>
      <c r="T64" s="87">
        <v>0.24171470192446343</v>
      </c>
      <c r="U64" s="87">
        <v>0.75828529807553657</v>
      </c>
      <c r="V64" s="87">
        <v>0.24999999999999989</v>
      </c>
      <c r="W64" s="87">
        <v>0.56357223766363951</v>
      </c>
      <c r="X64" s="87">
        <v>0.35907096541478567</v>
      </c>
      <c r="Y64" s="670">
        <v>1.2054999999999996E-2</v>
      </c>
      <c r="Z64" s="678">
        <v>0.29547222155261588</v>
      </c>
      <c r="AA64" s="675">
        <v>0.70452777844738412</v>
      </c>
      <c r="AB64" s="670">
        <v>0.25000000000000011</v>
      </c>
      <c r="AC64" s="682">
        <v>0.86419434299999998</v>
      </c>
      <c r="AD64" s="675">
        <v>0.26527845</v>
      </c>
      <c r="AE64" s="670">
        <v>4.9999999999999975E-3</v>
      </c>
    </row>
    <row r="65" spans="1:31">
      <c r="A65" s="86" t="s">
        <v>1017</v>
      </c>
      <c r="B65" s="88">
        <v>0.36046924354523768</v>
      </c>
      <c r="C65" s="88">
        <v>0.63953075645476232</v>
      </c>
      <c r="D65" s="88">
        <v>0.27</v>
      </c>
      <c r="E65" s="87">
        <v>1.1453386880064795</v>
      </c>
      <c r="F65" s="88">
        <v>0.41428632688431055</v>
      </c>
      <c r="G65" s="669">
        <v>1.6500000000000001E-2</v>
      </c>
      <c r="H65" s="88">
        <v>0.36046924354523768</v>
      </c>
      <c r="I65" s="88">
        <v>0.63953075645476232</v>
      </c>
      <c r="J65" s="88">
        <v>0.27</v>
      </c>
      <c r="K65" s="87">
        <v>1.1453386880064795</v>
      </c>
      <c r="L65" s="88">
        <v>0.41428632688431055</v>
      </c>
      <c r="M65" s="669">
        <v>2.0680000000000004E-2</v>
      </c>
      <c r="N65" s="88">
        <v>0.5221196650429506</v>
      </c>
      <c r="O65" s="88">
        <v>0.4778803349570494</v>
      </c>
      <c r="P65" s="88">
        <v>0.25</v>
      </c>
      <c r="Q65" s="87">
        <v>1.3454843302112593</v>
      </c>
      <c r="R65" s="88">
        <v>0.44434220453063733</v>
      </c>
      <c r="S65" s="669">
        <v>1.6199999999999999E-2</v>
      </c>
      <c r="T65" s="87">
        <v>0.30827148132425231</v>
      </c>
      <c r="U65" s="87">
        <v>0.69172851867574769</v>
      </c>
      <c r="V65" s="87">
        <v>0.24999999999999989</v>
      </c>
      <c r="W65" s="87">
        <v>1.0801188936162607</v>
      </c>
      <c r="X65" s="87">
        <v>0.44192228893495522</v>
      </c>
      <c r="Y65" s="669">
        <v>1.2054999999999996E-2</v>
      </c>
      <c r="Z65" s="667">
        <v>0.22351647971067801</v>
      </c>
      <c r="AA65" s="674">
        <v>0.77648352028932199</v>
      </c>
      <c r="AB65" s="669">
        <v>0.25000000000000011</v>
      </c>
      <c r="AC65" s="681">
        <v>1.0752168120000001</v>
      </c>
      <c r="AD65" s="674">
        <v>0.56533935300000004</v>
      </c>
      <c r="AE65" s="669">
        <v>1.2000000000000004E-2</v>
      </c>
    </row>
    <row r="66" spans="1:31">
      <c r="A66" s="89" t="s">
        <v>1018</v>
      </c>
      <c r="B66" s="88">
        <v>0.22826841628445271</v>
      </c>
      <c r="C66" s="88">
        <v>0.77173158371554729</v>
      </c>
      <c r="D66" s="88">
        <v>0.27</v>
      </c>
      <c r="E66" s="87">
        <v>1.2275901387348778</v>
      </c>
      <c r="F66" s="88">
        <v>0.50354590966110735</v>
      </c>
      <c r="G66" s="670">
        <v>2.0680000000000004E-2</v>
      </c>
      <c r="H66" s="88">
        <v>0.22826841628445271</v>
      </c>
      <c r="I66" s="88">
        <v>0.77173158371554729</v>
      </c>
      <c r="J66" s="88">
        <v>0.27</v>
      </c>
      <c r="K66" s="87">
        <v>1.2275901387348778</v>
      </c>
      <c r="L66" s="88">
        <v>0.50354590966110735</v>
      </c>
      <c r="M66" s="670">
        <v>2.0680000000000004E-2</v>
      </c>
      <c r="N66" s="88">
        <v>0.34236718555089074</v>
      </c>
      <c r="O66" s="88">
        <v>0.65763281444910926</v>
      </c>
      <c r="P66" s="88">
        <v>0.25</v>
      </c>
      <c r="Q66" s="87">
        <v>1.4179809441636479</v>
      </c>
      <c r="R66" s="88">
        <v>0.42131153923229786</v>
      </c>
      <c r="S66" s="670">
        <v>1.6199999999999999E-2</v>
      </c>
      <c r="T66" s="87">
        <v>0.36938218119030664</v>
      </c>
      <c r="U66" s="87">
        <v>0.63061781880969336</v>
      </c>
      <c r="V66" s="87">
        <v>0.24999999999999989</v>
      </c>
      <c r="W66" s="87">
        <v>1.17128693009822</v>
      </c>
      <c r="X66" s="87">
        <v>0.44295221149390968</v>
      </c>
      <c r="Y66" s="670">
        <v>1.2054999999999996E-2</v>
      </c>
      <c r="Z66" s="678">
        <v>0.39430310405642732</v>
      </c>
      <c r="AA66" s="675">
        <v>0.60569689594357268</v>
      </c>
      <c r="AB66" s="670">
        <v>0.25000000000000011</v>
      </c>
      <c r="AC66" s="682">
        <v>1.3278972250000001</v>
      </c>
      <c r="AD66" s="675">
        <v>0.53062303</v>
      </c>
      <c r="AE66" s="670">
        <v>1.2000000000000004E-2</v>
      </c>
    </row>
    <row r="67" spans="1:31">
      <c r="A67" s="86" t="s">
        <v>1019</v>
      </c>
      <c r="B67" s="88">
        <v>0.279797238850644</v>
      </c>
      <c r="C67" s="88">
        <v>0.720202761149356</v>
      </c>
      <c r="D67" s="88">
        <v>0.27</v>
      </c>
      <c r="E67" s="87">
        <v>1.3712668800409711</v>
      </c>
      <c r="F67" s="88">
        <v>0.25945507184238659</v>
      </c>
      <c r="G67" s="669">
        <v>1.6500000000000001E-2</v>
      </c>
      <c r="H67" s="88">
        <v>0.279797238850644</v>
      </c>
      <c r="I67" s="88">
        <v>0.720202761149356</v>
      </c>
      <c r="J67" s="88">
        <v>0.27</v>
      </c>
      <c r="K67" s="87">
        <v>1.3712668800409711</v>
      </c>
      <c r="L67" s="88">
        <v>0.25945507184238659</v>
      </c>
      <c r="M67" s="669">
        <v>1.6500000000000001E-2</v>
      </c>
      <c r="N67" s="88">
        <v>0.31081382917101807</v>
      </c>
      <c r="O67" s="88">
        <v>0.68918617082898193</v>
      </c>
      <c r="P67" s="88">
        <v>0.25</v>
      </c>
      <c r="Q67" s="87">
        <v>0.82924820341635141</v>
      </c>
      <c r="R67" s="88">
        <v>0.1936761567443839</v>
      </c>
      <c r="S67" s="669">
        <v>8.5000000000000006E-3</v>
      </c>
      <c r="T67" s="87">
        <v>0.29842458571273744</v>
      </c>
      <c r="U67" s="87">
        <v>0.70157541428726256</v>
      </c>
      <c r="V67" s="87">
        <v>0.25</v>
      </c>
      <c r="W67" s="87">
        <v>0.65514402605202471</v>
      </c>
      <c r="X67" s="87">
        <v>0.17094029032718663</v>
      </c>
      <c r="Y67" s="669">
        <v>6.2429999999999986E-3</v>
      </c>
      <c r="Z67" s="667">
        <v>0.26780363487795789</v>
      </c>
      <c r="AA67" s="674">
        <v>0.73219636512204211</v>
      </c>
      <c r="AB67" s="669">
        <v>0.25000000000000011</v>
      </c>
      <c r="AC67" s="681">
        <v>0.53732987099999996</v>
      </c>
      <c r="AD67" s="674">
        <v>0.19865812699999999</v>
      </c>
      <c r="AE67" s="669">
        <v>4.9999999999999975E-3</v>
      </c>
    </row>
    <row r="68" spans="1:31">
      <c r="A68" s="89" t="s">
        <v>1020</v>
      </c>
      <c r="B68" s="88">
        <v>0.21474187869398875</v>
      </c>
      <c r="C68" s="88">
        <v>0.78525812130601125</v>
      </c>
      <c r="D68" s="88">
        <v>0.27</v>
      </c>
      <c r="E68" s="87">
        <v>1.5573890728698849</v>
      </c>
      <c r="F68" s="88">
        <v>0.42757651363003341</v>
      </c>
      <c r="G68" s="670">
        <v>2.0680000000000004E-2</v>
      </c>
      <c r="H68" s="88">
        <v>0.21474187869398875</v>
      </c>
      <c r="I68" s="88">
        <v>0.78525812130601125</v>
      </c>
      <c r="J68" s="88">
        <v>0.27</v>
      </c>
      <c r="K68" s="87">
        <v>1.5573890728698849</v>
      </c>
      <c r="L68" s="88">
        <v>0.42757651363003341</v>
      </c>
      <c r="M68" s="670">
        <v>2.0680000000000004E-2</v>
      </c>
      <c r="N68" s="88">
        <v>0.23533040964915264</v>
      </c>
      <c r="O68" s="88">
        <v>0.76466959035084736</v>
      </c>
      <c r="P68" s="88">
        <v>0.25</v>
      </c>
      <c r="Q68" s="87">
        <v>1.4103978688180479</v>
      </c>
      <c r="R68" s="88">
        <v>0.41147053391609606</v>
      </c>
      <c r="S68" s="670">
        <v>1.6199999999999999E-2</v>
      </c>
      <c r="T68" s="87">
        <v>0.2046260851650985</v>
      </c>
      <c r="U68" s="87">
        <v>0.7953739148349015</v>
      </c>
      <c r="V68" s="87">
        <v>0.24999999999999989</v>
      </c>
      <c r="W68" s="87">
        <v>1.194577320424228</v>
      </c>
      <c r="X68" s="87">
        <v>0.35372310643077254</v>
      </c>
      <c r="Y68" s="670">
        <v>1.2054999999999996E-2</v>
      </c>
      <c r="Z68" s="678">
        <v>0.18789372628014489</v>
      </c>
      <c r="AA68" s="675">
        <v>0.81210627371985511</v>
      </c>
      <c r="AB68" s="670">
        <v>0.25000000000000011</v>
      </c>
      <c r="AC68" s="682">
        <v>1.009040065</v>
      </c>
      <c r="AD68" s="675">
        <v>0.41504324500000001</v>
      </c>
      <c r="AE68" s="670">
        <v>9.5000000000000015E-3</v>
      </c>
    </row>
    <row r="69" spans="1:31">
      <c r="A69" s="86" t="s">
        <v>1021</v>
      </c>
      <c r="B69" s="88">
        <v>0.27851142678761631</v>
      </c>
      <c r="C69" s="88">
        <v>0.72148857321238369</v>
      </c>
      <c r="D69" s="88">
        <v>0.27</v>
      </c>
      <c r="E69" s="87">
        <v>1.3980328627998966</v>
      </c>
      <c r="F69" s="88">
        <v>0.44491963485055586</v>
      </c>
      <c r="G69" s="669">
        <v>2.0680000000000004E-2</v>
      </c>
      <c r="H69" s="88">
        <v>0.27851142678761631</v>
      </c>
      <c r="I69" s="88">
        <v>0.72148857321238369</v>
      </c>
      <c r="J69" s="88">
        <v>0.27</v>
      </c>
      <c r="K69" s="87">
        <v>1.3980328627998966</v>
      </c>
      <c r="L69" s="88">
        <v>0.44491963485055586</v>
      </c>
      <c r="M69" s="669">
        <v>2.0680000000000004E-2</v>
      </c>
      <c r="N69" s="88">
        <v>0.36502616498949747</v>
      </c>
      <c r="O69" s="88">
        <v>0.63497383501050253</v>
      </c>
      <c r="P69" s="88">
        <v>0.25</v>
      </c>
      <c r="Q69" s="87">
        <v>1.5201925121768585</v>
      </c>
      <c r="R69" s="88">
        <v>0.35710895966484529</v>
      </c>
      <c r="S69" s="669">
        <v>1.6199999999999999E-2</v>
      </c>
      <c r="T69" s="87">
        <v>0.36513247499984214</v>
      </c>
      <c r="U69" s="87">
        <v>0.63486752500015786</v>
      </c>
      <c r="V69" s="87">
        <v>0.24999999999999989</v>
      </c>
      <c r="W69" s="87">
        <v>1.4944959500823904</v>
      </c>
      <c r="X69" s="87">
        <v>0.46787574959813977</v>
      </c>
      <c r="Y69" s="669">
        <v>1.2054999999999996E-2</v>
      </c>
      <c r="Z69" s="667">
        <v>0.33510223813957141</v>
      </c>
      <c r="AA69" s="674">
        <v>0.66489776186042859</v>
      </c>
      <c r="AB69" s="669">
        <v>0.25000000000000011</v>
      </c>
      <c r="AC69" s="681">
        <v>1.3530744139999999</v>
      </c>
      <c r="AD69" s="674">
        <v>0.473945116</v>
      </c>
      <c r="AE69" s="669">
        <v>1.2000000000000004E-2</v>
      </c>
    </row>
    <row r="70" spans="1:31">
      <c r="A70" s="89" t="s">
        <v>1022</v>
      </c>
      <c r="B70" s="88">
        <v>0.11850650006364227</v>
      </c>
      <c r="C70" s="88">
        <v>0.88149349993635773</v>
      </c>
      <c r="D70" s="88">
        <v>0.27</v>
      </c>
      <c r="E70" s="87">
        <v>1.5246316572138299</v>
      </c>
      <c r="F70" s="88">
        <v>0.44734618546240157</v>
      </c>
      <c r="G70" s="670">
        <v>2.0680000000000004E-2</v>
      </c>
      <c r="H70" s="88">
        <v>0.11850650006364227</v>
      </c>
      <c r="I70" s="88">
        <v>0.88149349993635773</v>
      </c>
      <c r="J70" s="88">
        <v>0.27</v>
      </c>
      <c r="K70" s="87">
        <v>1.5246316572138299</v>
      </c>
      <c r="L70" s="88">
        <v>0.44734618546240157</v>
      </c>
      <c r="M70" s="670">
        <v>2.0680000000000004E-2</v>
      </c>
      <c r="N70" s="88">
        <v>0.17500957285412988</v>
      </c>
      <c r="O70" s="88">
        <v>0.82499042714587012</v>
      </c>
      <c r="P70" s="88">
        <v>0.25</v>
      </c>
      <c r="Q70" s="87">
        <v>1.7891723510222548</v>
      </c>
      <c r="R70" s="88">
        <v>0.37546183716654358</v>
      </c>
      <c r="S70" s="670">
        <v>1.6199999999999999E-2</v>
      </c>
      <c r="T70" s="87">
        <v>0.16613035370375884</v>
      </c>
      <c r="U70" s="87">
        <v>0.83386964629624116</v>
      </c>
      <c r="V70" s="87">
        <v>0.24999999999999989</v>
      </c>
      <c r="W70" s="87">
        <v>1.9381785697071496</v>
      </c>
      <c r="X70" s="87">
        <v>0.45210582664645632</v>
      </c>
      <c r="Y70" s="670">
        <v>1.2054999999999996E-2</v>
      </c>
      <c r="Z70" s="678">
        <v>0.16797788462082952</v>
      </c>
      <c r="AA70" s="675">
        <v>0.83202211537917048</v>
      </c>
      <c r="AB70" s="670">
        <v>0.25000000000000011</v>
      </c>
      <c r="AC70" s="682">
        <v>1.7927743970000001</v>
      </c>
      <c r="AD70" s="675">
        <v>0.52125982100000001</v>
      </c>
      <c r="AE70" s="670">
        <v>1.2000000000000004E-2</v>
      </c>
    </row>
    <row r="71" spans="1:31">
      <c r="A71" s="86" t="s">
        <v>1023</v>
      </c>
      <c r="B71" s="88">
        <v>0.24460220569262159</v>
      </c>
      <c r="C71" s="88">
        <v>0.75539779430737841</v>
      </c>
      <c r="D71" s="88">
        <v>0.27</v>
      </c>
      <c r="E71" s="87">
        <v>1.2810765889685047</v>
      </c>
      <c r="F71" s="88">
        <v>0.43101350078053768</v>
      </c>
      <c r="G71" s="669">
        <v>2.0680000000000004E-2</v>
      </c>
      <c r="H71" s="88">
        <v>0.24460220569262159</v>
      </c>
      <c r="I71" s="88">
        <v>0.75539779430737841</v>
      </c>
      <c r="J71" s="88">
        <v>0.27</v>
      </c>
      <c r="K71" s="87">
        <v>1.2810765889685047</v>
      </c>
      <c r="L71" s="88">
        <v>0.43101350078053768</v>
      </c>
      <c r="M71" s="669">
        <v>2.0680000000000004E-2</v>
      </c>
      <c r="N71" s="88">
        <v>0.2834997671745757</v>
      </c>
      <c r="O71" s="88">
        <v>0.7165002328254243</v>
      </c>
      <c r="P71" s="88">
        <v>0.25</v>
      </c>
      <c r="Q71" s="87">
        <v>1.2752456934388758</v>
      </c>
      <c r="R71" s="88">
        <v>0.37083010776240061</v>
      </c>
      <c r="S71" s="669">
        <v>1.6199999999999999E-2</v>
      </c>
      <c r="T71" s="87">
        <v>0.24408909195893314</v>
      </c>
      <c r="U71" s="87">
        <v>0.75591090804106686</v>
      </c>
      <c r="V71" s="87">
        <v>0.24999999999999989</v>
      </c>
      <c r="W71" s="87">
        <v>1.106042693037566</v>
      </c>
      <c r="X71" s="87">
        <v>0.37735750438183585</v>
      </c>
      <c r="Y71" s="669">
        <v>1.2054999999999996E-2</v>
      </c>
      <c r="Z71" s="667">
        <v>0.23820734397611787</v>
      </c>
      <c r="AA71" s="674">
        <v>0.76179265602388213</v>
      </c>
      <c r="AB71" s="669">
        <v>0.25000000000000011</v>
      </c>
      <c r="AC71" s="681">
        <v>1.117155906</v>
      </c>
      <c r="AD71" s="674">
        <v>0.43888604199999998</v>
      </c>
      <c r="AE71" s="669">
        <v>9.5000000000000015E-3</v>
      </c>
    </row>
    <row r="72" spans="1:31">
      <c r="A72" s="89" t="s">
        <v>1024</v>
      </c>
      <c r="B72" s="88">
        <v>0.13827058850844254</v>
      </c>
      <c r="C72" s="88">
        <v>0.86172941149155746</v>
      </c>
      <c r="D72" s="88">
        <v>0.27</v>
      </c>
      <c r="E72" s="87">
        <v>1.1155492841734074</v>
      </c>
      <c r="F72" s="88">
        <v>0.33881707698287428</v>
      </c>
      <c r="G72" s="670">
        <v>1.6500000000000001E-2</v>
      </c>
      <c r="H72" s="88">
        <v>0.13827058850844254</v>
      </c>
      <c r="I72" s="88">
        <v>0.86172941149155746</v>
      </c>
      <c r="J72" s="88">
        <v>0.27</v>
      </c>
      <c r="K72" s="87">
        <v>1.1155492841734074</v>
      </c>
      <c r="L72" s="88">
        <v>0.33881707698287428</v>
      </c>
      <c r="M72" s="670">
        <v>1.6500000000000001E-2</v>
      </c>
      <c r="N72" s="88">
        <v>0.16645578370845249</v>
      </c>
      <c r="O72" s="88">
        <v>0.83354421629154751</v>
      </c>
      <c r="P72" s="88">
        <v>0.25</v>
      </c>
      <c r="Q72" s="87">
        <v>1.3632136186935628</v>
      </c>
      <c r="R72" s="88">
        <v>0.31528080319313112</v>
      </c>
      <c r="S72" s="670">
        <v>1.6199999999999999E-2</v>
      </c>
      <c r="T72" s="87">
        <v>0.11835251857474416</v>
      </c>
      <c r="U72" s="87">
        <v>0.88164748142525584</v>
      </c>
      <c r="V72" s="87">
        <v>0.24999999999999989</v>
      </c>
      <c r="W72" s="87">
        <v>1.2466770513434235</v>
      </c>
      <c r="X72" s="87">
        <v>0.38283198873816127</v>
      </c>
      <c r="Y72" s="670">
        <v>1.2054999999999996E-2</v>
      </c>
      <c r="Z72" s="678">
        <v>8.0275354081261074E-2</v>
      </c>
      <c r="AA72" s="675">
        <v>0.91972464591873893</v>
      </c>
      <c r="AB72" s="670">
        <v>0.25000000000000011</v>
      </c>
      <c r="AC72" s="682">
        <v>1.061771934</v>
      </c>
      <c r="AD72" s="675">
        <v>0.46689882399999999</v>
      </c>
      <c r="AE72" s="670">
        <v>1.2000000000000004E-2</v>
      </c>
    </row>
    <row r="73" spans="1:31">
      <c r="A73" s="86" t="s">
        <v>1025</v>
      </c>
      <c r="B73" s="88">
        <v>0.40562526116963982</v>
      </c>
      <c r="C73" s="88">
        <v>0.59437473883036018</v>
      </c>
      <c r="D73" s="88">
        <v>0.27</v>
      </c>
      <c r="E73" s="87">
        <v>0.29967567113248184</v>
      </c>
      <c r="F73" s="88">
        <v>0.34269086272021693</v>
      </c>
      <c r="G73" s="669">
        <v>1.6500000000000001E-2</v>
      </c>
      <c r="H73" s="88">
        <v>0.40562526116963982</v>
      </c>
      <c r="I73" s="88">
        <v>0.59437473883036018</v>
      </c>
      <c r="J73" s="88">
        <v>0.27</v>
      </c>
      <c r="K73" s="87">
        <v>0.29967567113248184</v>
      </c>
      <c r="L73" s="88">
        <v>0.34269086272021693</v>
      </c>
      <c r="M73" s="669">
        <v>1.6500000000000001E-2</v>
      </c>
      <c r="N73" s="88">
        <v>0.39692761226145523</v>
      </c>
      <c r="O73" s="88">
        <v>0.60307238773854477</v>
      </c>
      <c r="P73" s="88">
        <v>0.25</v>
      </c>
      <c r="Q73" s="87">
        <v>0.66756973306313983</v>
      </c>
      <c r="R73" s="88">
        <v>0.28264661461127033</v>
      </c>
      <c r="S73" s="669">
        <v>1.6199999999999999E-2</v>
      </c>
      <c r="T73" s="87">
        <v>0.35831710070912415</v>
      </c>
      <c r="U73" s="87">
        <v>0.64168289929087585</v>
      </c>
      <c r="V73" s="87">
        <v>0.24999999999999989</v>
      </c>
      <c r="W73" s="87">
        <v>0.49360805956180459</v>
      </c>
      <c r="X73" s="87">
        <v>0.25647926947712857</v>
      </c>
      <c r="Y73" s="669">
        <v>1.2054999999999996E-2</v>
      </c>
      <c r="Z73" s="667">
        <v>0.34321552519274601</v>
      </c>
      <c r="AA73" s="674">
        <v>0.65678447480725399</v>
      </c>
      <c r="AB73" s="669">
        <v>0.25000000000000011</v>
      </c>
      <c r="AC73" s="681">
        <v>0.57940730600000001</v>
      </c>
      <c r="AD73" s="674">
        <v>0.27128246099999997</v>
      </c>
      <c r="AE73" s="669">
        <v>4.9999999999999975E-3</v>
      </c>
    </row>
    <row r="74" spans="1:31">
      <c r="A74" s="89" t="s">
        <v>1026</v>
      </c>
      <c r="B74" s="88">
        <v>7.5434217844956408E-2</v>
      </c>
      <c r="C74" s="88">
        <v>0.92456578215504359</v>
      </c>
      <c r="D74" s="88">
        <v>0.27</v>
      </c>
      <c r="E74" s="87">
        <v>1.1038085146753778</v>
      </c>
      <c r="F74" s="88">
        <v>0.58817664787562396</v>
      </c>
      <c r="G74" s="670">
        <v>2.0680000000000004E-2</v>
      </c>
      <c r="H74" s="88">
        <v>7.5434217844956408E-2</v>
      </c>
      <c r="I74" s="88">
        <v>0.92456578215504359</v>
      </c>
      <c r="J74" s="88">
        <v>0.27</v>
      </c>
      <c r="K74" s="87">
        <v>1.1038085146753778</v>
      </c>
      <c r="L74" s="88">
        <v>0.58817664787562396</v>
      </c>
      <c r="M74" s="670">
        <v>2.0680000000000004E-2</v>
      </c>
      <c r="N74" s="88">
        <v>0.1608939469868077</v>
      </c>
      <c r="O74" s="88">
        <v>0.8391060530131923</v>
      </c>
      <c r="P74" s="88">
        <v>0.25000000000000011</v>
      </c>
      <c r="Q74" s="87">
        <v>1.4871300694613425</v>
      </c>
      <c r="R74" s="88">
        <v>0.59410388760758681</v>
      </c>
      <c r="S74" s="670">
        <v>2.0000000000000004E-2</v>
      </c>
      <c r="T74" s="87">
        <v>0.37042376508860575</v>
      </c>
      <c r="U74" s="87">
        <v>0.62957623491139425</v>
      </c>
      <c r="V74" s="87">
        <v>0.25</v>
      </c>
      <c r="W74" s="87">
        <v>1.1208677660313939</v>
      </c>
      <c r="X74" s="87">
        <v>0.20718002005434216</v>
      </c>
      <c r="Y74" s="670">
        <v>6.2429999999999986E-3</v>
      </c>
      <c r="Z74" s="678">
        <v>0.35390072696862229</v>
      </c>
      <c r="AA74" s="675">
        <v>0.64609927303137771</v>
      </c>
      <c r="AB74" s="670">
        <v>0.25000000000000011</v>
      </c>
      <c r="AC74" s="682">
        <v>0.94758858999999995</v>
      </c>
      <c r="AD74" s="675">
        <v>0.235572061</v>
      </c>
      <c r="AE74" s="670">
        <v>4.9999999999999975E-3</v>
      </c>
    </row>
    <row r="75" spans="1:31">
      <c r="A75" s="86" t="s">
        <v>1027</v>
      </c>
      <c r="B75" s="88">
        <v>0.25791058811371448</v>
      </c>
      <c r="C75" s="88">
        <v>0.74208941188628552</v>
      </c>
      <c r="D75" s="88">
        <v>0.27</v>
      </c>
      <c r="E75" s="87">
        <v>1.4433927807361351</v>
      </c>
      <c r="F75" s="88">
        <v>0.45572346106389527</v>
      </c>
      <c r="G75" s="669">
        <v>2.0680000000000004E-2</v>
      </c>
      <c r="H75" s="88">
        <v>0.25791058811371448</v>
      </c>
      <c r="I75" s="88">
        <v>0.74208941188628552</v>
      </c>
      <c r="J75" s="88">
        <v>0.27</v>
      </c>
      <c r="K75" s="87">
        <v>1.4433927807361351</v>
      </c>
      <c r="L75" s="88">
        <v>0.45572346106389527</v>
      </c>
      <c r="M75" s="669">
        <v>2.0680000000000004E-2</v>
      </c>
      <c r="N75" s="88">
        <v>0.2813942998915433</v>
      </c>
      <c r="O75" s="88">
        <v>0.7186057001084567</v>
      </c>
      <c r="P75" s="88">
        <v>0.25</v>
      </c>
      <c r="Q75" s="87">
        <v>1.4752073825450458</v>
      </c>
      <c r="R75" s="88">
        <v>0.38585905225789641</v>
      </c>
      <c r="S75" s="669">
        <v>1.6199999999999999E-2</v>
      </c>
      <c r="T75" s="87">
        <v>0.26552004840016741</v>
      </c>
      <c r="U75" s="87">
        <v>0.73447995159983259</v>
      </c>
      <c r="V75" s="87">
        <v>0.24999999999999989</v>
      </c>
      <c r="W75" s="87">
        <v>1.1814057462278666</v>
      </c>
      <c r="X75" s="87">
        <v>0.44007853687551313</v>
      </c>
      <c r="Y75" s="669">
        <v>1.2054999999999996E-2</v>
      </c>
      <c r="Z75" s="667">
        <v>0.2244027181504511</v>
      </c>
      <c r="AA75" s="674">
        <v>0.7755972818495489</v>
      </c>
      <c r="AB75" s="669">
        <v>0.25000000000000011</v>
      </c>
      <c r="AC75" s="681">
        <v>1.2239625940000001</v>
      </c>
      <c r="AD75" s="674">
        <v>0.56996081200000004</v>
      </c>
      <c r="AE75" s="669">
        <v>1.2000000000000004E-2</v>
      </c>
    </row>
    <row r="76" spans="1:31">
      <c r="A76" s="89" t="s">
        <v>1028</v>
      </c>
      <c r="B76" s="88">
        <v>0.60715603353142322</v>
      </c>
      <c r="C76" s="88">
        <v>0.39284396646857678</v>
      </c>
      <c r="D76" s="88">
        <v>0.27</v>
      </c>
      <c r="E76" s="87">
        <v>1.1565055181846227</v>
      </c>
      <c r="F76" s="88">
        <v>0.47055042286877913</v>
      </c>
      <c r="G76" s="670">
        <v>2.0680000000000004E-2</v>
      </c>
      <c r="H76" s="88">
        <v>0.60715603353142322</v>
      </c>
      <c r="I76" s="88">
        <v>0.39284396646857678</v>
      </c>
      <c r="J76" s="88">
        <v>0.27</v>
      </c>
      <c r="K76" s="87">
        <v>1.1565055181846227</v>
      </c>
      <c r="L76" s="88">
        <v>0.47055042286877913</v>
      </c>
      <c r="M76" s="670">
        <v>2.0680000000000004E-2</v>
      </c>
      <c r="N76" s="88">
        <v>0.76762233709685423</v>
      </c>
      <c r="O76" s="88">
        <v>0.23237766290314577</v>
      </c>
      <c r="P76" s="88">
        <v>0.25</v>
      </c>
      <c r="Q76" s="87">
        <v>0.83801497962970528</v>
      </c>
      <c r="R76" s="88">
        <v>0.39785998397496214</v>
      </c>
      <c r="S76" s="670">
        <v>1.6199999999999999E-2</v>
      </c>
      <c r="T76" s="87">
        <v>0.70174055335879415</v>
      </c>
      <c r="U76" s="87">
        <v>0.29825944664120585</v>
      </c>
      <c r="V76" s="87">
        <v>0.24999999999999989</v>
      </c>
      <c r="W76" s="87">
        <v>0.67451976956750803</v>
      </c>
      <c r="X76" s="87">
        <v>0.40772526552560179</v>
      </c>
      <c r="Y76" s="670">
        <v>1.2054999999999996E-2</v>
      </c>
      <c r="Z76" s="678">
        <v>0.79471602338816838</v>
      </c>
      <c r="AA76" s="675">
        <v>0.20528397661183162</v>
      </c>
      <c r="AB76" s="670">
        <v>0.25</v>
      </c>
      <c r="AC76" s="682">
        <v>0.64534539099999999</v>
      </c>
      <c r="AD76" s="675">
        <v>0.72036867599999999</v>
      </c>
      <c r="AE76" s="670">
        <v>1.8300000000000004E-2</v>
      </c>
    </row>
    <row r="77" spans="1:31">
      <c r="A77" s="86" t="s">
        <v>1029</v>
      </c>
      <c r="B77" s="88">
        <v>6.346633107344446E-2</v>
      </c>
      <c r="C77" s="88">
        <v>0.93653366892655554</v>
      </c>
      <c r="D77" s="88">
        <v>0.27</v>
      </c>
      <c r="E77" s="87">
        <v>1.1624544797886844</v>
      </c>
      <c r="F77" s="88">
        <v>0.37456362089820239</v>
      </c>
      <c r="G77" s="669">
        <v>1.6500000000000001E-2</v>
      </c>
      <c r="H77" s="88">
        <v>6.346633107344446E-2</v>
      </c>
      <c r="I77" s="88">
        <v>0.93653366892655554</v>
      </c>
      <c r="J77" s="88">
        <v>0.27</v>
      </c>
      <c r="K77" s="87">
        <v>1.1624544797886844</v>
      </c>
      <c r="L77" s="88">
        <v>0.37456362089820239</v>
      </c>
      <c r="M77" s="669">
        <v>1.6500000000000001E-2</v>
      </c>
      <c r="N77" s="88">
        <v>0.10124985178257218</v>
      </c>
      <c r="O77" s="88">
        <v>0.89875014821742782</v>
      </c>
      <c r="P77" s="88">
        <v>0.25</v>
      </c>
      <c r="Q77" s="87">
        <v>1.6077462586340689</v>
      </c>
      <c r="R77" s="88">
        <v>0.38404265117692143</v>
      </c>
      <c r="S77" s="669">
        <v>1.6199999999999999E-2</v>
      </c>
      <c r="T77" s="87">
        <v>5.700810294721248E-2</v>
      </c>
      <c r="U77" s="87">
        <v>0.94299189705278752</v>
      </c>
      <c r="V77" s="87">
        <v>0.24999999999999989</v>
      </c>
      <c r="W77" s="87">
        <v>1.4952411850835359</v>
      </c>
      <c r="X77" s="87">
        <v>0.4147143445700453</v>
      </c>
      <c r="Y77" s="669">
        <v>1.2054999999999996E-2</v>
      </c>
      <c r="Z77" s="667">
        <v>3.7478619559047854E-2</v>
      </c>
      <c r="AA77" s="674">
        <v>0.96252138044095215</v>
      </c>
      <c r="AB77" s="669">
        <v>0.25000000000000011</v>
      </c>
      <c r="AC77" s="681">
        <v>1.4858715039999999</v>
      </c>
      <c r="AD77" s="674">
        <v>0.560486072</v>
      </c>
      <c r="AE77" s="669">
        <v>1.2000000000000004E-2</v>
      </c>
    </row>
    <row r="78" spans="1:31">
      <c r="A78" s="89" t="s">
        <v>1030</v>
      </c>
      <c r="B78" s="88">
        <v>4.7978220640165437E-2</v>
      </c>
      <c r="C78" s="88">
        <v>0.95202177935983456</v>
      </c>
      <c r="D78" s="88">
        <v>0.27</v>
      </c>
      <c r="E78" s="87">
        <v>1.3390383903586967</v>
      </c>
      <c r="F78" s="88">
        <v>0.33222794123720689</v>
      </c>
      <c r="G78" s="670">
        <v>1.6500000000000001E-2</v>
      </c>
      <c r="H78" s="88">
        <v>4.7978220640165437E-2</v>
      </c>
      <c r="I78" s="88">
        <v>0.95202177935983456</v>
      </c>
      <c r="J78" s="88">
        <v>0.27</v>
      </c>
      <c r="K78" s="87">
        <v>1.3390383903586967</v>
      </c>
      <c r="L78" s="88">
        <v>0.33222794123720689</v>
      </c>
      <c r="M78" s="670">
        <v>1.6500000000000001E-2</v>
      </c>
      <c r="N78" s="88">
        <v>0.10544019640189739</v>
      </c>
      <c r="O78" s="88">
        <v>0.89455980359810261</v>
      </c>
      <c r="P78" s="88">
        <v>0.25</v>
      </c>
      <c r="Q78" s="87">
        <v>1.757142721715889</v>
      </c>
      <c r="R78" s="88">
        <v>0.41568723029676519</v>
      </c>
      <c r="S78" s="670">
        <v>1.6199999999999999E-2</v>
      </c>
      <c r="T78" s="87">
        <v>7.2165763925439719E-2</v>
      </c>
      <c r="U78" s="87">
        <v>0.92783423607456028</v>
      </c>
      <c r="V78" s="87">
        <v>0.24999999999999989</v>
      </c>
      <c r="W78" s="87">
        <v>1.5279822074255314</v>
      </c>
      <c r="X78" s="87">
        <v>0.37040142988651292</v>
      </c>
      <c r="Y78" s="670">
        <v>1.2054999999999996E-2</v>
      </c>
      <c r="Z78" s="678">
        <v>7.5578010914103322E-2</v>
      </c>
      <c r="AA78" s="675">
        <v>0.92442198908589668</v>
      </c>
      <c r="AB78" s="670">
        <v>0.25000000000000011</v>
      </c>
      <c r="AC78" s="682">
        <v>1.484975954</v>
      </c>
      <c r="AD78" s="675">
        <v>0.51093071400000001</v>
      </c>
      <c r="AE78" s="670">
        <v>1.2000000000000004E-2</v>
      </c>
    </row>
    <row r="79" spans="1:31">
      <c r="A79" s="86" t="s">
        <v>1031</v>
      </c>
      <c r="B79" s="88">
        <v>0.2751728689888433</v>
      </c>
      <c r="C79" s="88">
        <v>0.7248271310111567</v>
      </c>
      <c r="D79" s="88">
        <v>0.27</v>
      </c>
      <c r="E79" s="87">
        <v>0.99109853928181657</v>
      </c>
      <c r="F79" s="88">
        <v>0.51037332437897842</v>
      </c>
      <c r="G79" s="669">
        <v>1.6500000000000001E-2</v>
      </c>
      <c r="H79" s="88">
        <v>0.2751728689888433</v>
      </c>
      <c r="I79" s="88">
        <v>0.7248271310111567</v>
      </c>
      <c r="J79" s="88">
        <v>0.27</v>
      </c>
      <c r="K79" s="87">
        <v>0.99109853928181657</v>
      </c>
      <c r="L79" s="88">
        <v>0.51037332437897842</v>
      </c>
      <c r="M79" s="669">
        <v>2.0680000000000004E-2</v>
      </c>
      <c r="N79" s="88">
        <v>0.28067166925935105</v>
      </c>
      <c r="O79" s="88">
        <v>0.71932833074064895</v>
      </c>
      <c r="P79" s="88">
        <v>0.25</v>
      </c>
      <c r="Q79" s="87">
        <v>0.94373863184759688</v>
      </c>
      <c r="R79" s="88">
        <v>0.4116087861322939</v>
      </c>
      <c r="S79" s="669">
        <v>1.6199999999999999E-2</v>
      </c>
      <c r="T79" s="87">
        <v>0.22942151889413909</v>
      </c>
      <c r="U79" s="87">
        <v>0.77057848110586091</v>
      </c>
      <c r="V79" s="87">
        <v>0.24999999999999989</v>
      </c>
      <c r="W79" s="87">
        <v>0.81083614181090768</v>
      </c>
      <c r="X79" s="87">
        <v>0.45074724706930092</v>
      </c>
      <c r="Y79" s="669">
        <v>1.2054999999999996E-2</v>
      </c>
      <c r="Z79" s="667">
        <v>0.16046357987861981</v>
      </c>
      <c r="AA79" s="674">
        <v>0.83953642012138019</v>
      </c>
      <c r="AB79" s="669">
        <v>0.25000000000000011</v>
      </c>
      <c r="AC79" s="681">
        <v>0.57844976999999997</v>
      </c>
      <c r="AD79" s="674">
        <v>0.45189300199999999</v>
      </c>
      <c r="AE79" s="669">
        <v>1.2000000000000004E-2</v>
      </c>
    </row>
    <row r="80" spans="1:31">
      <c r="A80" s="89" t="s">
        <v>1032</v>
      </c>
      <c r="B80" s="88">
        <v>5.46129128120586E-2</v>
      </c>
      <c r="C80" s="88">
        <v>0.9453870871879414</v>
      </c>
      <c r="D80" s="88">
        <v>0.27</v>
      </c>
      <c r="E80" s="87">
        <v>1.1858211455148611</v>
      </c>
      <c r="F80" s="88">
        <v>0.34714879795280845</v>
      </c>
      <c r="G80" s="670">
        <v>1.6500000000000001E-2</v>
      </c>
      <c r="H80" s="88">
        <v>5.46129128120586E-2</v>
      </c>
      <c r="I80" s="88">
        <v>0.9453870871879414</v>
      </c>
      <c r="J80" s="88">
        <v>0.27</v>
      </c>
      <c r="K80" s="87">
        <v>1.1858211455148611</v>
      </c>
      <c r="L80" s="88">
        <v>0.34714879795280845</v>
      </c>
      <c r="M80" s="670">
        <v>1.6500000000000001E-2</v>
      </c>
      <c r="N80" s="88">
        <v>8.2687179007953748E-2</v>
      </c>
      <c r="O80" s="88">
        <v>0.91731282099204625</v>
      </c>
      <c r="P80" s="88">
        <v>0.25</v>
      </c>
      <c r="Q80" s="87">
        <v>1.3276925338648697</v>
      </c>
      <c r="R80" s="88">
        <v>0.39374185918980237</v>
      </c>
      <c r="S80" s="670">
        <v>1.6199999999999999E-2</v>
      </c>
      <c r="T80" s="87">
        <v>8.0114408003916004E-2</v>
      </c>
      <c r="U80" s="87">
        <v>0.919885591996084</v>
      </c>
      <c r="V80" s="87">
        <v>0.24999999999999989</v>
      </c>
      <c r="W80" s="87">
        <v>1.2915789442240697</v>
      </c>
      <c r="X80" s="87">
        <v>0.36279908890119261</v>
      </c>
      <c r="Y80" s="670">
        <v>1.2054999999999996E-2</v>
      </c>
      <c r="Z80" s="678">
        <v>9.2941879874355204E-2</v>
      </c>
      <c r="AA80" s="675">
        <v>0.9070581201256448</v>
      </c>
      <c r="AB80" s="670">
        <v>0.25000000000000011</v>
      </c>
      <c r="AC80" s="682">
        <v>1.424207891</v>
      </c>
      <c r="AD80" s="675">
        <v>0.51752411700000001</v>
      </c>
      <c r="AE80" s="670">
        <v>1.2000000000000004E-2</v>
      </c>
    </row>
    <row r="81" spans="1:31">
      <c r="A81" s="86" t="s">
        <v>1046</v>
      </c>
      <c r="B81" s="88">
        <v>1.9979459110468389E-2</v>
      </c>
      <c r="C81" s="88">
        <v>0.98002054088953161</v>
      </c>
      <c r="D81" s="88">
        <v>0.27</v>
      </c>
      <c r="E81" s="87">
        <v>1.2040179086600062</v>
      </c>
      <c r="F81" s="88">
        <v>0.54605972958610682</v>
      </c>
      <c r="G81" s="669">
        <v>2.0680000000000004E-2</v>
      </c>
      <c r="H81" s="88">
        <v>1.9979459110468389E-2</v>
      </c>
      <c r="I81" s="88">
        <v>0.98002054088953161</v>
      </c>
      <c r="J81" s="88">
        <v>0.27</v>
      </c>
      <c r="K81" s="87">
        <v>1.2040179086600062</v>
      </c>
      <c r="L81" s="88">
        <v>0.54605972958610682</v>
      </c>
      <c r="M81" s="669">
        <v>2.0680000000000004E-2</v>
      </c>
      <c r="N81" s="88">
        <v>4.5824628286418645E-2</v>
      </c>
      <c r="O81" s="88">
        <v>0.95417537171358136</v>
      </c>
      <c r="P81" s="88">
        <v>0.25000000000000011</v>
      </c>
      <c r="Q81" s="87">
        <v>1.363575730964357</v>
      </c>
      <c r="R81" s="88">
        <v>0.58709543871584413</v>
      </c>
      <c r="S81" s="669">
        <v>2.0000000000000004E-2</v>
      </c>
      <c r="T81" s="87">
        <v>3.056149493436755E-2</v>
      </c>
      <c r="U81" s="87">
        <v>0.96943850506563245</v>
      </c>
      <c r="V81" s="87">
        <v>0.25000000000000011</v>
      </c>
      <c r="W81" s="87">
        <v>1.1083305740238332</v>
      </c>
      <c r="X81" s="87">
        <v>0.52789322078229139</v>
      </c>
      <c r="Y81" s="669">
        <v>1.4724000000000001E-2</v>
      </c>
      <c r="Z81" s="667">
        <v>2.4296047356735295E-2</v>
      </c>
      <c r="AA81" s="674">
        <v>0.9757039526432647</v>
      </c>
      <c r="AB81" s="669">
        <v>0.25</v>
      </c>
      <c r="AC81" s="681">
        <v>1.1827821030000001</v>
      </c>
      <c r="AD81" s="674">
        <v>0.66628958000000005</v>
      </c>
      <c r="AE81" s="669">
        <v>1.8300000000000004E-2</v>
      </c>
    </row>
    <row r="82" spans="1:31">
      <c r="A82" s="89" t="s">
        <v>81</v>
      </c>
      <c r="B82" s="88">
        <v>7.1276986280218613E-2</v>
      </c>
      <c r="C82" s="88">
        <v>0.92872301371978139</v>
      </c>
      <c r="D82" s="88">
        <v>0.27</v>
      </c>
      <c r="E82" s="87">
        <v>1.0043796741354865</v>
      </c>
      <c r="F82" s="88">
        <v>0.38093997694500725</v>
      </c>
      <c r="G82" s="670">
        <v>1.6500000000000001E-2</v>
      </c>
      <c r="H82" s="88">
        <v>7.1276986280218613E-2</v>
      </c>
      <c r="I82" s="88">
        <v>0.92872301371978139</v>
      </c>
      <c r="J82" s="88">
        <v>0.27</v>
      </c>
      <c r="K82" s="87">
        <v>1.0043796741354865</v>
      </c>
      <c r="L82" s="88">
        <v>0.38093997694500725</v>
      </c>
      <c r="M82" s="670">
        <v>1.6500000000000001E-2</v>
      </c>
      <c r="N82" s="88">
        <v>0.15006072569661111</v>
      </c>
      <c r="O82" s="88">
        <v>0.84993927430338889</v>
      </c>
      <c r="P82" s="88">
        <v>0.25000000000000011</v>
      </c>
      <c r="Q82" s="87">
        <v>1.5513058877107246</v>
      </c>
      <c r="R82" s="88">
        <v>0.55243837546789154</v>
      </c>
      <c r="S82" s="670">
        <v>2.0000000000000004E-2</v>
      </c>
      <c r="T82" s="87">
        <v>0.10698653549795534</v>
      </c>
      <c r="U82" s="87">
        <v>0.89301346450204466</v>
      </c>
      <c r="V82" s="87">
        <v>0.25000000000000011</v>
      </c>
      <c r="W82" s="87">
        <v>1.6160843271745926</v>
      </c>
      <c r="X82" s="87">
        <v>0.65221602599035</v>
      </c>
      <c r="Y82" s="670">
        <v>2.2079000000000001E-2</v>
      </c>
      <c r="Z82" s="678">
        <v>0.10348217224030054</v>
      </c>
      <c r="AA82" s="675">
        <v>0.89651782775969946</v>
      </c>
      <c r="AB82" s="670">
        <v>0.25000000000000011</v>
      </c>
      <c r="AC82" s="682">
        <v>1.687026441</v>
      </c>
      <c r="AD82" s="675">
        <v>0.55616697800000003</v>
      </c>
      <c r="AE82" s="670">
        <v>1.2000000000000004E-2</v>
      </c>
    </row>
    <row r="83" spans="1:31">
      <c r="A83" s="86" t="s">
        <v>1033</v>
      </c>
      <c r="B83" s="88">
        <v>5.3731482889603277E-2</v>
      </c>
      <c r="C83" s="88">
        <v>0.94626851711039672</v>
      </c>
      <c r="D83" s="88">
        <v>0.27</v>
      </c>
      <c r="E83" s="87">
        <v>1.1414617043012938</v>
      </c>
      <c r="F83" s="88">
        <v>0.45739896259792873</v>
      </c>
      <c r="G83" s="669">
        <v>2.0680000000000004E-2</v>
      </c>
      <c r="H83" s="88">
        <v>5.3731482889603277E-2</v>
      </c>
      <c r="I83" s="88">
        <v>0.94626851711039672</v>
      </c>
      <c r="J83" s="88">
        <v>0.27</v>
      </c>
      <c r="K83" s="87">
        <v>1.1414617043012938</v>
      </c>
      <c r="L83" s="88">
        <v>0.45739896259792873</v>
      </c>
      <c r="M83" s="669">
        <v>2.0680000000000004E-2</v>
      </c>
      <c r="N83" s="88">
        <v>8.5629614328852854E-2</v>
      </c>
      <c r="O83" s="88">
        <v>0.91437038567114715</v>
      </c>
      <c r="P83" s="88">
        <v>0.25000000000000011</v>
      </c>
      <c r="Q83" s="87">
        <v>1.4697712402478267</v>
      </c>
      <c r="R83" s="88">
        <v>0.52111210183577161</v>
      </c>
      <c r="S83" s="669">
        <v>2.0000000000000004E-2</v>
      </c>
      <c r="T83" s="87">
        <v>5.8413380196434384E-2</v>
      </c>
      <c r="U83" s="87">
        <v>0.94158661980356562</v>
      </c>
      <c r="V83" s="87">
        <v>0.25000000000000011</v>
      </c>
      <c r="W83" s="87">
        <v>1.2939647291542515</v>
      </c>
      <c r="X83" s="87">
        <v>0.52086489824807281</v>
      </c>
      <c r="Y83" s="669">
        <v>1.4724000000000001E-2</v>
      </c>
      <c r="Z83" s="667">
        <v>4.6671097579359833E-2</v>
      </c>
      <c r="AA83" s="674">
        <v>0.95332890242064017</v>
      </c>
      <c r="AB83" s="669">
        <v>0.25000000000000011</v>
      </c>
      <c r="AC83" s="681">
        <v>1.2417608339999999</v>
      </c>
      <c r="AD83" s="674">
        <v>0.63628486399999995</v>
      </c>
      <c r="AE83" s="669">
        <v>1.2000000000000004E-2</v>
      </c>
    </row>
    <row r="84" spans="1:31">
      <c r="A84" s="89" t="s">
        <v>1034</v>
      </c>
      <c r="B84" s="88">
        <v>0.24738970410465821</v>
      </c>
      <c r="C84" s="88">
        <v>0.75261029589534179</v>
      </c>
      <c r="D84" s="88">
        <v>0.27</v>
      </c>
      <c r="E84" s="87">
        <v>1.1331694544358604</v>
      </c>
      <c r="F84" s="88">
        <v>0.33128196982890901</v>
      </c>
      <c r="G84" s="670">
        <v>1.6500000000000001E-2</v>
      </c>
      <c r="H84" s="88">
        <v>0.24738970410465821</v>
      </c>
      <c r="I84" s="88">
        <v>0.75261029589534179</v>
      </c>
      <c r="J84" s="88">
        <v>0.27</v>
      </c>
      <c r="K84" s="87">
        <v>1.1331694544358604</v>
      </c>
      <c r="L84" s="88">
        <v>0.33128196982890901</v>
      </c>
      <c r="M84" s="670">
        <v>1.6500000000000001E-2</v>
      </c>
      <c r="N84" s="88">
        <v>0.22236540864885213</v>
      </c>
      <c r="O84" s="88">
        <v>0.77763459135114787</v>
      </c>
      <c r="P84" s="88">
        <v>0.25</v>
      </c>
      <c r="Q84" s="87">
        <v>1.3424843767995962</v>
      </c>
      <c r="R84" s="88">
        <v>0.38298957011173351</v>
      </c>
      <c r="S84" s="670">
        <v>1.6199999999999999E-2</v>
      </c>
      <c r="T84" s="87">
        <v>0.16794349418739729</v>
      </c>
      <c r="U84" s="87">
        <v>0.83205650581260271</v>
      </c>
      <c r="V84" s="87">
        <v>0.24999999999999989</v>
      </c>
      <c r="W84" s="87">
        <v>1.126371725263511</v>
      </c>
      <c r="X84" s="87">
        <v>0.38102205031992209</v>
      </c>
      <c r="Y84" s="670">
        <v>1.2054999999999996E-2</v>
      </c>
      <c r="Z84" s="678">
        <v>0.20569820385899051</v>
      </c>
      <c r="AA84" s="675">
        <v>0.79430179614100949</v>
      </c>
      <c r="AB84" s="670">
        <v>0.25000000000000011</v>
      </c>
      <c r="AC84" s="682">
        <v>1.0597792100000001</v>
      </c>
      <c r="AD84" s="675">
        <v>0.46790273599999999</v>
      </c>
      <c r="AE84" s="670">
        <v>1.2000000000000004E-2</v>
      </c>
    </row>
    <row r="85" spans="1:31">
      <c r="A85" s="86" t="s">
        <v>1035</v>
      </c>
      <c r="B85" s="88">
        <v>0.43917141176790819</v>
      </c>
      <c r="C85" s="88">
        <v>0.56082858823209181</v>
      </c>
      <c r="D85" s="88">
        <v>0.27</v>
      </c>
      <c r="E85" s="87">
        <v>0.96476122265455444</v>
      </c>
      <c r="F85" s="88">
        <v>0.48157678673096171</v>
      </c>
      <c r="G85" s="669">
        <v>1.6500000000000001E-2</v>
      </c>
      <c r="H85" s="88">
        <v>0.43917141176790819</v>
      </c>
      <c r="I85" s="88">
        <v>0.56082858823209181</v>
      </c>
      <c r="J85" s="88">
        <v>0.27</v>
      </c>
      <c r="K85" s="87">
        <v>0.96476122265455444</v>
      </c>
      <c r="L85" s="88">
        <v>0.48157678673096171</v>
      </c>
      <c r="M85" s="669">
        <v>2.0680000000000004E-2</v>
      </c>
      <c r="N85" s="88">
        <v>0.39450630773069006</v>
      </c>
      <c r="O85" s="88">
        <v>0.60549369226930994</v>
      </c>
      <c r="P85" s="88">
        <v>0.25000000000000011</v>
      </c>
      <c r="Q85" s="87">
        <v>1.0309737102652559</v>
      </c>
      <c r="R85" s="88">
        <v>0.51921047688999544</v>
      </c>
      <c r="S85" s="669">
        <v>2.0000000000000004E-2</v>
      </c>
      <c r="T85" s="87">
        <v>0.39084318118198746</v>
      </c>
      <c r="U85" s="87">
        <v>0.60915681881801254</v>
      </c>
      <c r="V85" s="87">
        <v>0.25000000000000011</v>
      </c>
      <c r="W85" s="87">
        <v>1.087361359035153</v>
      </c>
      <c r="X85" s="87">
        <v>0.60305869412683921</v>
      </c>
      <c r="Y85" s="669">
        <v>1.4724000000000001E-2</v>
      </c>
      <c r="Z85" s="667">
        <v>0.32254087570054968</v>
      </c>
      <c r="AA85" s="674">
        <v>0.67745912429945032</v>
      </c>
      <c r="AB85" s="669">
        <v>0.25</v>
      </c>
      <c r="AC85" s="681">
        <v>0.77253914599999995</v>
      </c>
      <c r="AD85" s="674">
        <v>0.66732691499999996</v>
      </c>
      <c r="AE85" s="669">
        <v>1.8300000000000004E-2</v>
      </c>
    </row>
    <row r="86" spans="1:31">
      <c r="A86" s="89" t="s">
        <v>1036</v>
      </c>
      <c r="B86" s="88">
        <v>8.0308145729124258E-2</v>
      </c>
      <c r="C86" s="88">
        <v>0.91969185427087574</v>
      </c>
      <c r="D86" s="88">
        <v>0.27</v>
      </c>
      <c r="E86" s="87">
        <v>1.083144981802276</v>
      </c>
      <c r="F86" s="88">
        <v>0.40529263124804915</v>
      </c>
      <c r="G86" s="670">
        <v>2.0680000000000004E-2</v>
      </c>
      <c r="H86" s="88">
        <v>8.0308145729124258E-2</v>
      </c>
      <c r="I86" s="88">
        <v>0.91969185427087574</v>
      </c>
      <c r="J86" s="88">
        <v>0.27</v>
      </c>
      <c r="K86" s="87">
        <v>1.083144981802276</v>
      </c>
      <c r="L86" s="88">
        <v>0.40529263124804915</v>
      </c>
      <c r="M86" s="670">
        <v>2.0680000000000004E-2</v>
      </c>
      <c r="N86" s="88">
        <v>0.10457107348559713</v>
      </c>
      <c r="O86" s="88">
        <v>0.89542892651440287</v>
      </c>
      <c r="P86" s="88">
        <v>0.25</v>
      </c>
      <c r="Q86" s="87">
        <v>1.2331194872073334</v>
      </c>
      <c r="R86" s="88">
        <v>0.41348753948301459</v>
      </c>
      <c r="S86" s="670">
        <v>1.6199999999999999E-2</v>
      </c>
      <c r="T86" s="87">
        <v>0.10245104955940509</v>
      </c>
      <c r="U86" s="87">
        <v>0.89754895044059491</v>
      </c>
      <c r="V86" s="87">
        <v>0.24999999999999989</v>
      </c>
      <c r="W86" s="87">
        <v>1.0805072059156025</v>
      </c>
      <c r="X86" s="87">
        <v>0.46622145090064521</v>
      </c>
      <c r="Y86" s="670">
        <v>1.2054999999999996E-2</v>
      </c>
      <c r="Z86" s="678">
        <v>0.11350800707772313</v>
      </c>
      <c r="AA86" s="675">
        <v>0.88649199292227687</v>
      </c>
      <c r="AB86" s="670">
        <v>0.25000000000000011</v>
      </c>
      <c r="AC86" s="682">
        <v>0.99961464799999999</v>
      </c>
      <c r="AD86" s="675">
        <v>0.56093442599999999</v>
      </c>
      <c r="AE86" s="670">
        <v>1.2000000000000004E-2</v>
      </c>
    </row>
    <row r="87" spans="1:31">
      <c r="A87" s="86" t="s">
        <v>1037</v>
      </c>
      <c r="B87" s="88">
        <v>0.50120497711288137</v>
      </c>
      <c r="C87" s="88">
        <v>0.49879502288711863</v>
      </c>
      <c r="D87" s="88">
        <v>0.27</v>
      </c>
      <c r="E87" s="87">
        <v>0.84601845269966747</v>
      </c>
      <c r="F87" s="88">
        <v>0.38672324243299799</v>
      </c>
      <c r="G87" s="669">
        <v>2.0680000000000004E-2</v>
      </c>
      <c r="H87" s="88">
        <v>0.50120497711288137</v>
      </c>
      <c r="I87" s="88">
        <v>0.49879502288711863</v>
      </c>
      <c r="J87" s="88">
        <v>0.27</v>
      </c>
      <c r="K87" s="87">
        <v>0.84601845269966747</v>
      </c>
      <c r="L87" s="88">
        <v>0.38672324243299799</v>
      </c>
      <c r="M87" s="669">
        <v>1.6500000000000001E-2</v>
      </c>
      <c r="N87" s="88">
        <v>0.5406894051251091</v>
      </c>
      <c r="O87" s="88">
        <v>0.4593105948748909</v>
      </c>
      <c r="P87" s="88">
        <v>0.25000000000000011</v>
      </c>
      <c r="Q87" s="87">
        <v>0.88226816528565966</v>
      </c>
      <c r="R87" s="88">
        <v>0.55371695621592376</v>
      </c>
      <c r="S87" s="669">
        <v>2.0000000000000004E-2</v>
      </c>
      <c r="T87" s="87">
        <v>0.55538379015988704</v>
      </c>
      <c r="U87" s="87">
        <v>0.44461620984011296</v>
      </c>
      <c r="V87" s="87">
        <v>0.25000000000000011</v>
      </c>
      <c r="W87" s="87">
        <v>0.78450471128722188</v>
      </c>
      <c r="X87" s="87">
        <v>0.50416714350221437</v>
      </c>
      <c r="Y87" s="669">
        <v>1.4724000000000001E-2</v>
      </c>
      <c r="Z87" s="667">
        <v>0.50041697696437237</v>
      </c>
      <c r="AA87" s="674">
        <v>0.49958302303562763</v>
      </c>
      <c r="AB87" s="669">
        <v>0.25000000000000011</v>
      </c>
      <c r="AC87" s="681">
        <v>0.88603861399999995</v>
      </c>
      <c r="AD87" s="674">
        <v>0.63709117900000001</v>
      </c>
      <c r="AE87" s="669">
        <v>1.2000000000000004E-2</v>
      </c>
    </row>
    <row r="88" spans="1:31">
      <c r="A88" s="89" t="s">
        <v>1038</v>
      </c>
      <c r="B88" s="88">
        <v>0.20623173314760113</v>
      </c>
      <c r="C88" s="88">
        <v>0.79376826685239887</v>
      </c>
      <c r="D88" s="88">
        <v>0.27</v>
      </c>
      <c r="E88" s="87">
        <v>0.99735259995367076</v>
      </c>
      <c r="F88" s="88">
        <v>0.248828343980245</v>
      </c>
      <c r="G88" s="670">
        <v>9.9000000000000025E-3</v>
      </c>
      <c r="H88" s="88">
        <v>0.20623173314760113</v>
      </c>
      <c r="I88" s="88">
        <v>0.79376826685239887</v>
      </c>
      <c r="J88" s="88">
        <v>0.27</v>
      </c>
      <c r="K88" s="87">
        <v>0.99735259995367076</v>
      </c>
      <c r="L88" s="88">
        <v>0.248828343980245</v>
      </c>
      <c r="M88" s="670">
        <v>9.9000000000000008E-3</v>
      </c>
      <c r="N88" s="88">
        <v>0.19390853485149318</v>
      </c>
      <c r="O88" s="88">
        <v>0.80609146514850682</v>
      </c>
      <c r="P88" s="88">
        <v>0.25</v>
      </c>
      <c r="Q88" s="87">
        <v>2.0004565028386407</v>
      </c>
      <c r="R88" s="88">
        <v>0.44059235658259677</v>
      </c>
      <c r="S88" s="670">
        <v>1.6199999999999999E-2</v>
      </c>
      <c r="T88" s="87">
        <v>0.25873063108247973</v>
      </c>
      <c r="U88" s="87">
        <v>0.74126936891752027</v>
      </c>
      <c r="V88" s="87">
        <v>0.24999999999999989</v>
      </c>
      <c r="W88" s="87">
        <v>1.2232908278447494</v>
      </c>
      <c r="X88" s="87">
        <v>0.4800026780389306</v>
      </c>
      <c r="Y88" s="670">
        <v>1.2054999999999996E-2</v>
      </c>
      <c r="Z88" s="678">
        <v>0.21850684001661214</v>
      </c>
      <c r="AA88" s="675">
        <v>0.78149315998338786</v>
      </c>
      <c r="AB88" s="670">
        <v>0.25</v>
      </c>
      <c r="AC88" s="682">
        <v>0.97996825300000001</v>
      </c>
      <c r="AD88" s="675">
        <v>0.68343250700000002</v>
      </c>
      <c r="AE88" s="670">
        <v>1.8300000000000004E-2</v>
      </c>
    </row>
    <row r="89" spans="1:31">
      <c r="A89" s="86" t="s">
        <v>1039</v>
      </c>
      <c r="B89" s="88">
        <v>0.18631435914692018</v>
      </c>
      <c r="C89" s="88">
        <v>0.81368564085307982</v>
      </c>
      <c r="D89" s="88">
        <v>0.27</v>
      </c>
      <c r="E89" s="87">
        <v>0.79107781492951179</v>
      </c>
      <c r="F89" s="88">
        <v>0.2833532543819442</v>
      </c>
      <c r="G89" s="669">
        <v>1.6500000000000001E-2</v>
      </c>
      <c r="H89" s="88">
        <v>0.18631435914692018</v>
      </c>
      <c r="I89" s="88">
        <v>0.81368564085307982</v>
      </c>
      <c r="J89" s="88">
        <v>0.27</v>
      </c>
      <c r="K89" s="87">
        <v>0.79107781492951179</v>
      </c>
      <c r="L89" s="88">
        <v>0.2833532543819442</v>
      </c>
      <c r="M89" s="669">
        <v>1.6500000000000001E-2</v>
      </c>
      <c r="N89" s="88">
        <v>0.22785975576835593</v>
      </c>
      <c r="O89" s="88">
        <v>0.77214024423164407</v>
      </c>
      <c r="P89" s="88">
        <v>0.25</v>
      </c>
      <c r="Q89" s="87">
        <v>1.058265749430396</v>
      </c>
      <c r="R89" s="88">
        <v>0.28046286808958065</v>
      </c>
      <c r="S89" s="669">
        <v>1.6199999999999999E-2</v>
      </c>
      <c r="T89" s="87">
        <v>0.25139522991909635</v>
      </c>
      <c r="U89" s="87">
        <v>0.74860477008090365</v>
      </c>
      <c r="V89" s="87">
        <v>0.25000000000000011</v>
      </c>
      <c r="W89" s="87">
        <v>1.2585314504520015</v>
      </c>
      <c r="X89" s="87">
        <v>0.53119137456433019</v>
      </c>
      <c r="Y89" s="669">
        <v>1.4724000000000001E-2</v>
      </c>
      <c r="Z89" s="667">
        <v>0.27905061935740649</v>
      </c>
      <c r="AA89" s="674">
        <v>0.72094938064259351</v>
      </c>
      <c r="AB89" s="669">
        <v>0.25000000000000011</v>
      </c>
      <c r="AC89" s="681">
        <v>1.026899078</v>
      </c>
      <c r="AD89" s="674">
        <v>0.51675340199999997</v>
      </c>
      <c r="AE89" s="669">
        <v>1.2000000000000004E-2</v>
      </c>
    </row>
    <row r="90" spans="1:31">
      <c r="A90" s="89" t="s">
        <v>1040</v>
      </c>
      <c r="B90" s="88">
        <v>0.16623185079376424</v>
      </c>
      <c r="C90" s="88">
        <v>0.83376814920623576</v>
      </c>
      <c r="D90" s="88">
        <v>0.27</v>
      </c>
      <c r="E90" s="87">
        <v>0.73244696143394594</v>
      </c>
      <c r="F90" s="88">
        <v>0.16394179419082858</v>
      </c>
      <c r="G90" s="670">
        <v>9.9000000000000025E-3</v>
      </c>
      <c r="H90" s="88">
        <v>0.16623185079376424</v>
      </c>
      <c r="I90" s="88">
        <v>0.83376814920623576</v>
      </c>
      <c r="J90" s="88">
        <v>0.27</v>
      </c>
      <c r="K90" s="87">
        <v>0.73244696143394594</v>
      </c>
      <c r="L90" s="88">
        <v>0.16394179419082858</v>
      </c>
      <c r="M90" s="670">
        <v>9.9000000000000008E-3</v>
      </c>
      <c r="N90" s="88">
        <v>0.21538599902572653</v>
      </c>
      <c r="O90" s="88">
        <v>0.78461400097427347</v>
      </c>
      <c r="P90" s="88">
        <v>0.25</v>
      </c>
      <c r="Q90" s="87">
        <v>1.1078308621714459</v>
      </c>
      <c r="R90" s="88">
        <v>0.16341269092106181</v>
      </c>
      <c r="S90" s="670">
        <v>8.5000000000000006E-3</v>
      </c>
      <c r="T90" s="87">
        <v>0.21142467310039648</v>
      </c>
      <c r="U90" s="87">
        <v>0.78857532689960352</v>
      </c>
      <c r="V90" s="87">
        <v>0.25</v>
      </c>
      <c r="W90" s="87">
        <v>1.0172723923008653</v>
      </c>
      <c r="X90" s="87">
        <v>0.2227735820416239</v>
      </c>
      <c r="Y90" s="670">
        <v>6.2429999999999986E-3</v>
      </c>
      <c r="Z90" s="678">
        <v>0.22113827756660986</v>
      </c>
      <c r="AA90" s="675">
        <v>0.77886172243339014</v>
      </c>
      <c r="AB90" s="670">
        <v>0.25000000000000011</v>
      </c>
      <c r="AC90" s="682">
        <v>0.99185610700000004</v>
      </c>
      <c r="AD90" s="675">
        <v>0.265599529</v>
      </c>
      <c r="AE90" s="670">
        <v>4.9999999999999975E-3</v>
      </c>
    </row>
    <row r="91" spans="1:31">
      <c r="A91" s="86" t="s">
        <v>1041</v>
      </c>
      <c r="B91" s="88">
        <v>0.20796912367853282</v>
      </c>
      <c r="C91" s="88">
        <v>0.79203087632146718</v>
      </c>
      <c r="D91" s="88">
        <v>0.27</v>
      </c>
      <c r="E91" s="87">
        <v>1.4387162765613046</v>
      </c>
      <c r="F91" s="88">
        <v>0.32991773770474286</v>
      </c>
      <c r="G91" s="669">
        <v>1.6500000000000001E-2</v>
      </c>
      <c r="H91" s="88">
        <v>0.20796912367853282</v>
      </c>
      <c r="I91" s="88">
        <v>0.79203087632146718</v>
      </c>
      <c r="J91" s="88">
        <v>0.27</v>
      </c>
      <c r="K91" s="87">
        <v>1.4387162765613046</v>
      </c>
      <c r="L91" s="88">
        <v>0.32991773770474286</v>
      </c>
      <c r="M91" s="669">
        <v>1.6500000000000001E-2</v>
      </c>
      <c r="N91" s="88">
        <v>0.30513857374628695</v>
      </c>
      <c r="O91" s="88">
        <v>0.69486142625371305</v>
      </c>
      <c r="P91" s="88">
        <v>0.25</v>
      </c>
      <c r="Q91" s="87">
        <v>1.5451244708853058</v>
      </c>
      <c r="R91" s="88">
        <v>0.41171324567018758</v>
      </c>
      <c r="S91" s="669">
        <v>1.6199999999999999E-2</v>
      </c>
      <c r="T91" s="87">
        <v>0.16632304812803944</v>
      </c>
      <c r="U91" s="87">
        <v>0.83367695187196056</v>
      </c>
      <c r="V91" s="87">
        <v>0.24999999999999989</v>
      </c>
      <c r="W91" s="87">
        <v>1.1484074577647394</v>
      </c>
      <c r="X91" s="87">
        <v>0.28328548955431604</v>
      </c>
      <c r="Y91" s="669">
        <v>1.2054999999999996E-2</v>
      </c>
      <c r="Z91" s="667">
        <v>0.18643277958512139</v>
      </c>
      <c r="AA91" s="674">
        <v>0.81356722041487861</v>
      </c>
      <c r="AB91" s="669">
        <v>0.25000000000000011</v>
      </c>
      <c r="AC91" s="681">
        <v>1.104813204</v>
      </c>
      <c r="AD91" s="674">
        <v>0.32180094199999998</v>
      </c>
      <c r="AE91" s="669">
        <v>9.5000000000000015E-3</v>
      </c>
    </row>
    <row r="92" spans="1:31" ht="15.6">
      <c r="A92" s="89" t="s">
        <v>1042</v>
      </c>
      <c r="B92" s="88">
        <v>0.40904182570173886</v>
      </c>
      <c r="C92" s="88">
        <v>0.59095817429826114</v>
      </c>
      <c r="D92" s="88">
        <v>0.27</v>
      </c>
      <c r="E92" s="87">
        <v>0.89179459508359282</v>
      </c>
      <c r="F92" s="88">
        <v>0.18828200758700916</v>
      </c>
      <c r="G92" s="670">
        <v>9.9000000000000025E-3</v>
      </c>
      <c r="H92" s="88">
        <v>0.40904182570173886</v>
      </c>
      <c r="I92" s="88">
        <v>0.59095817429826114</v>
      </c>
      <c r="J92" s="88">
        <v>0.27</v>
      </c>
      <c r="K92" s="87">
        <v>0.89179459508359282</v>
      </c>
      <c r="L92" s="88">
        <v>0.18828200758700916</v>
      </c>
      <c r="M92" s="670">
        <v>9.9000000000000008E-3</v>
      </c>
      <c r="N92" s="88">
        <v>0.42586480270208971</v>
      </c>
      <c r="O92" s="88">
        <v>0.57413519729791029</v>
      </c>
      <c r="P92" s="88">
        <v>0.25</v>
      </c>
      <c r="Q92" s="87">
        <v>0.63513941960164833</v>
      </c>
      <c r="R92" s="88">
        <v>0.1497076220101746</v>
      </c>
      <c r="S92" s="670">
        <v>8.5000000000000006E-3</v>
      </c>
      <c r="T92" s="619">
        <v>0.45897703320023453</v>
      </c>
      <c r="U92" s="619">
        <v>0.54102296679976547</v>
      </c>
      <c r="V92" s="621">
        <v>0.25</v>
      </c>
      <c r="W92" s="623">
        <v>0.58043230816873881</v>
      </c>
      <c r="X92" s="619">
        <v>0.14927275095736059</v>
      </c>
      <c r="Y92" s="670">
        <v>6.2429999999999986E-3</v>
      </c>
      <c r="Z92" s="678">
        <v>0.43837816797525608</v>
      </c>
      <c r="AA92" s="675">
        <v>0.56162183202474392</v>
      </c>
      <c r="AB92" s="670">
        <v>0.25000000000000011</v>
      </c>
      <c r="AC92" s="682">
        <v>0.393437747</v>
      </c>
      <c r="AD92" s="675">
        <v>0.18214476399999999</v>
      </c>
      <c r="AE92" s="670">
        <v>4.9999999999999975E-3</v>
      </c>
    </row>
    <row r="93" spans="1:31" ht="15.6">
      <c r="A93" s="86" t="s">
        <v>1043</v>
      </c>
      <c r="B93" s="88">
        <v>0.25562813687375696</v>
      </c>
      <c r="C93" s="88">
        <v>0.74437186312624304</v>
      </c>
      <c r="D93" s="88">
        <v>0.27</v>
      </c>
      <c r="E93" s="87">
        <v>0.76530503730492327</v>
      </c>
      <c r="F93" s="88">
        <v>0.270944618528484</v>
      </c>
      <c r="G93" s="669">
        <v>1.6500000000000001E-2</v>
      </c>
      <c r="H93" s="88">
        <v>0.25562813687375696</v>
      </c>
      <c r="I93" s="88">
        <v>0.74437186312624304</v>
      </c>
      <c r="J93" s="88">
        <v>0.27</v>
      </c>
      <c r="K93" s="87">
        <v>0.76530503730492327</v>
      </c>
      <c r="L93" s="88">
        <v>0.270944618528484</v>
      </c>
      <c r="M93" s="669">
        <v>1.6500000000000001E-2</v>
      </c>
      <c r="N93" s="88">
        <v>0.30263279217507999</v>
      </c>
      <c r="O93" s="88">
        <v>0.69736720782492001</v>
      </c>
      <c r="P93" s="88">
        <v>0.25</v>
      </c>
      <c r="Q93" s="87">
        <v>1.1524153536245123</v>
      </c>
      <c r="R93" s="88">
        <v>0.27961318235637356</v>
      </c>
      <c r="S93" s="669">
        <v>1.6199999999999999E-2</v>
      </c>
      <c r="T93" s="620">
        <v>0.33727313092901634</v>
      </c>
      <c r="U93" s="620">
        <v>0.66272686907098366</v>
      </c>
      <c r="V93" s="621">
        <v>0.24999999999999989</v>
      </c>
      <c r="W93" s="624">
        <v>0.71396343407949392</v>
      </c>
      <c r="X93" s="620">
        <v>0.28198719816416001</v>
      </c>
      <c r="Y93" s="669">
        <v>1.2054999999999996E-2</v>
      </c>
      <c r="Z93" s="667">
        <v>0.3696385676441365</v>
      </c>
      <c r="AA93" s="674">
        <v>0.6303614323558635</v>
      </c>
      <c r="AB93" s="669">
        <v>0.25000000000000011</v>
      </c>
      <c r="AC93" s="681">
        <v>0.67856719700000001</v>
      </c>
      <c r="AD93" s="674">
        <v>0.29167780100000001</v>
      </c>
      <c r="AE93" s="669">
        <v>4.9999999999999975E-3</v>
      </c>
    </row>
    <row r="94" spans="1:31" ht="15.6">
      <c r="A94" s="90" t="s">
        <v>1044</v>
      </c>
      <c r="B94" s="88">
        <v>0.28615561076142293</v>
      </c>
      <c r="C94" s="88">
        <v>0.71384438923857707</v>
      </c>
      <c r="D94" s="88">
        <v>0.27</v>
      </c>
      <c r="E94" s="87">
        <v>1.0946791380880656</v>
      </c>
      <c r="F94" s="88">
        <v>0.41013744101840538</v>
      </c>
      <c r="G94" s="671">
        <v>2.0680000000000004E-2</v>
      </c>
      <c r="H94" s="88">
        <v>0.28615561076142293</v>
      </c>
      <c r="I94" s="88">
        <v>0.71384438923857707</v>
      </c>
      <c r="J94" s="88">
        <v>0.27</v>
      </c>
      <c r="K94" s="87">
        <v>1.0946791380880656</v>
      </c>
      <c r="L94" s="88">
        <v>0.41013744101840538</v>
      </c>
      <c r="M94" s="671">
        <v>2.0680000000000004E-2</v>
      </c>
      <c r="N94" s="88">
        <v>0.34862746786653442</v>
      </c>
      <c r="O94" s="88">
        <v>0.65137253213346558</v>
      </c>
      <c r="P94" s="88">
        <v>0.25</v>
      </c>
      <c r="Q94" s="87">
        <v>1.1572702941885729</v>
      </c>
      <c r="R94" s="88">
        <v>0.41373294388583098</v>
      </c>
      <c r="S94" s="671">
        <v>1.6199999999999999E-2</v>
      </c>
      <c r="T94" s="620">
        <v>0.31703408820818413</v>
      </c>
      <c r="U94" s="620">
        <v>0.68296591179181587</v>
      </c>
      <c r="V94" s="621">
        <v>0.24999999999999989</v>
      </c>
      <c r="W94" s="624">
        <v>1.0002231348562109</v>
      </c>
      <c r="X94" s="620">
        <v>0.42031449597641213</v>
      </c>
      <c r="Y94" s="671">
        <v>1.2054999999999996E-2</v>
      </c>
      <c r="Z94" s="679">
        <v>0.28151279078230818</v>
      </c>
      <c r="AA94" s="676">
        <v>0.71848720921769182</v>
      </c>
      <c r="AB94" s="671">
        <v>0.25000000000000011</v>
      </c>
      <c r="AC94" s="683">
        <v>1.0027796680000001</v>
      </c>
      <c r="AD94" s="676">
        <v>0.52532639199999998</v>
      </c>
      <c r="AE94" s="671">
        <v>1.2000000000000004E-2</v>
      </c>
    </row>
    <row r="95" spans="1:31" ht="15.6">
      <c r="A95" s="91" t="s">
        <v>1045</v>
      </c>
      <c r="B95" s="88">
        <v>0.1666268737385902</v>
      </c>
      <c r="C95" s="88">
        <v>0.8333731262614098</v>
      </c>
      <c r="D95" s="88">
        <v>0.27</v>
      </c>
      <c r="E95" s="87">
        <v>1.1485779483113083</v>
      </c>
      <c r="F95" s="88">
        <v>0.44991555819827722</v>
      </c>
      <c r="G95" s="672">
        <v>2.0680000000000004E-2</v>
      </c>
      <c r="H95" s="88">
        <v>0.1666268737385902</v>
      </c>
      <c r="I95" s="88">
        <v>0.8333731262614098</v>
      </c>
      <c r="J95" s="88">
        <v>0.27</v>
      </c>
      <c r="K95" s="87">
        <v>1.1485779483113083</v>
      </c>
      <c r="L95" s="88">
        <v>0.44991555819827722</v>
      </c>
      <c r="M95" s="672">
        <v>2.0680000000000004E-2</v>
      </c>
      <c r="N95" s="88">
        <v>0.2088536732250128</v>
      </c>
      <c r="O95" s="88">
        <v>0.7911463267749872</v>
      </c>
      <c r="P95" s="88">
        <v>0.25</v>
      </c>
      <c r="Q95" s="87">
        <v>1.292817025743946</v>
      </c>
      <c r="R95" s="88">
        <v>0.47976813197581314</v>
      </c>
      <c r="S95" s="672">
        <v>1.6199999999999999E-2</v>
      </c>
      <c r="T95" s="620">
        <v>0.18433859162959898</v>
      </c>
      <c r="U95" s="620">
        <v>0.81566140837040102</v>
      </c>
      <c r="V95" s="621">
        <v>0.24999999999999989</v>
      </c>
      <c r="W95" s="624">
        <v>1.0975226422471853</v>
      </c>
      <c r="X95" s="620">
        <v>0.47003459500949929</v>
      </c>
      <c r="Y95" s="673">
        <v>1.2054999999999996E-2</v>
      </c>
      <c r="Z95" s="680">
        <v>0.1617090500446805</v>
      </c>
      <c r="AA95" s="677">
        <v>0.8382909499553195</v>
      </c>
      <c r="AB95" s="672">
        <v>0.25000000000000011</v>
      </c>
      <c r="AC95" s="684">
        <v>1.0857816776984806</v>
      </c>
      <c r="AD95" s="677">
        <v>0.57396285471894626</v>
      </c>
      <c r="AE95" s="672">
        <v>1.2000000000000004E-2</v>
      </c>
    </row>
    <row r="130" spans="1:32">
      <c r="A130" s="106"/>
      <c r="B130" s="106" t="s">
        <v>82</v>
      </c>
      <c r="C130" s="106"/>
      <c r="D130" s="106"/>
      <c r="H130" s="106"/>
      <c r="I130" s="106" t="s">
        <v>82</v>
      </c>
      <c r="J130" s="106"/>
      <c r="K130" s="106"/>
      <c r="O130" s="106"/>
      <c r="P130" s="106" t="s">
        <v>82</v>
      </c>
      <c r="Q130" s="106"/>
      <c r="R130" s="106"/>
      <c r="V130" s="106"/>
      <c r="W130" s="106" t="s">
        <v>82</v>
      </c>
      <c r="X130" s="106"/>
      <c r="Z130" s="106"/>
      <c r="AC130" s="106"/>
      <c r="AD130" s="106" t="s">
        <v>82</v>
      </c>
      <c r="AF130" s="106"/>
    </row>
    <row r="131" spans="1:32">
      <c r="A131" s="106">
        <v>2021</v>
      </c>
      <c r="B131" s="107" t="s">
        <v>83</v>
      </c>
      <c r="C131" s="107"/>
      <c r="D131" s="107" t="s">
        <v>84</v>
      </c>
      <c r="H131" s="106">
        <v>2022</v>
      </c>
      <c r="I131" s="107" t="s">
        <v>83</v>
      </c>
      <c r="J131" s="107"/>
      <c r="K131" s="107" t="s">
        <v>84</v>
      </c>
      <c r="O131" s="106">
        <v>2023</v>
      </c>
      <c r="P131" s="659" t="s">
        <v>83</v>
      </c>
      <c r="Q131" s="659"/>
      <c r="R131" s="659" t="s">
        <v>84</v>
      </c>
      <c r="V131" s="106">
        <v>2024</v>
      </c>
      <c r="W131" s="659" t="s">
        <v>83</v>
      </c>
      <c r="X131" s="659"/>
      <c r="Z131" s="659" t="s">
        <v>84</v>
      </c>
      <c r="AC131" s="106">
        <v>2025</v>
      </c>
      <c r="AD131" s="659" t="s">
        <v>83</v>
      </c>
      <c r="AF131" s="659" t="s">
        <v>84</v>
      </c>
    </row>
    <row r="132" spans="1:32" ht="15.6">
      <c r="A132" s="106"/>
      <c r="B132" s="108">
        <v>0</v>
      </c>
      <c r="C132" s="109">
        <v>0.25</v>
      </c>
      <c r="D132" s="110">
        <v>9.9000000000000008E-3</v>
      </c>
      <c r="H132" s="106"/>
      <c r="I132" s="108">
        <v>0</v>
      </c>
      <c r="J132" s="109">
        <v>0.25</v>
      </c>
      <c r="K132" s="110">
        <v>9.9000000000000008E-3</v>
      </c>
      <c r="O132" s="106"/>
      <c r="P132" s="660">
        <v>0</v>
      </c>
      <c r="Q132" s="661">
        <v>0.25</v>
      </c>
      <c r="R132" s="662">
        <v>8.5000000000000006E-3</v>
      </c>
      <c r="V132" s="106"/>
      <c r="W132" s="663">
        <v>0</v>
      </c>
      <c r="X132" s="664">
        <v>0.25</v>
      </c>
      <c r="Z132" s="665">
        <v>6.2430000000000003E-3</v>
      </c>
      <c r="AC132" s="106"/>
      <c r="AD132" s="663">
        <v>0</v>
      </c>
      <c r="AF132" s="665">
        <v>5.0000000000000001E-3</v>
      </c>
    </row>
    <row r="133" spans="1:32" ht="15.6">
      <c r="A133" s="106"/>
      <c r="B133" s="108">
        <v>0.25</v>
      </c>
      <c r="C133" s="109">
        <v>0.4</v>
      </c>
      <c r="D133" s="110">
        <v>1.6500000000000001E-2</v>
      </c>
      <c r="H133" s="106"/>
      <c r="I133" s="108">
        <v>0.25</v>
      </c>
      <c r="J133" s="109">
        <v>0.4</v>
      </c>
      <c r="K133" s="110">
        <v>1.6500000000000001E-2</v>
      </c>
      <c r="O133" s="106"/>
      <c r="P133" s="660">
        <v>0.25000099999999997</v>
      </c>
      <c r="Q133" s="661">
        <v>0.5</v>
      </c>
      <c r="R133" s="662">
        <v>1.6199999999999999E-2</v>
      </c>
      <c r="V133" s="106"/>
      <c r="W133" s="663">
        <v>0.25000099999999997</v>
      </c>
      <c r="X133" s="664">
        <v>0.5</v>
      </c>
      <c r="Z133" s="665">
        <v>1.2055E-2</v>
      </c>
      <c r="AC133" s="106"/>
      <c r="AD133" s="663">
        <v>0.30001</v>
      </c>
      <c r="AF133" s="665">
        <v>9.4999999999999998E-3</v>
      </c>
    </row>
    <row r="134" spans="1:32" ht="15.6">
      <c r="A134" s="111" t="s">
        <v>85</v>
      </c>
      <c r="B134" s="108">
        <v>0.4</v>
      </c>
      <c r="C134" s="109">
        <v>0.65</v>
      </c>
      <c r="D134" s="110">
        <v>2.0680000000000004E-2</v>
      </c>
      <c r="H134" s="111" t="s">
        <v>85</v>
      </c>
      <c r="I134" s="108">
        <v>0.4</v>
      </c>
      <c r="J134" s="109">
        <v>0.65</v>
      </c>
      <c r="K134" s="110">
        <v>2.0680000000000004E-2</v>
      </c>
      <c r="O134" s="111" t="s">
        <v>85</v>
      </c>
      <c r="P134" s="660">
        <v>0.50000100000000003</v>
      </c>
      <c r="Q134" s="661">
        <v>0.65</v>
      </c>
      <c r="R134" s="662">
        <v>0.02</v>
      </c>
      <c r="V134" s="111" t="s">
        <v>85</v>
      </c>
      <c r="W134" s="663">
        <v>0.50000100000000003</v>
      </c>
      <c r="X134" s="664">
        <v>0.65</v>
      </c>
      <c r="Z134" s="665">
        <v>1.4724000000000001E-2</v>
      </c>
      <c r="AC134" s="111" t="s">
        <v>85</v>
      </c>
      <c r="AD134" s="663">
        <v>0.45001000000000002</v>
      </c>
      <c r="AF134" s="665">
        <v>1.2E-2</v>
      </c>
    </row>
    <row r="135" spans="1:32" ht="15.6">
      <c r="A135" s="112">
        <v>0.27</v>
      </c>
      <c r="B135" s="108">
        <v>0.65</v>
      </c>
      <c r="C135" s="109">
        <v>0.75</v>
      </c>
      <c r="D135" s="110">
        <v>3.1625E-2</v>
      </c>
      <c r="H135" s="112">
        <v>0.27</v>
      </c>
      <c r="I135" s="108">
        <v>0.65</v>
      </c>
      <c r="J135" s="109">
        <v>0.75</v>
      </c>
      <c r="K135" s="110">
        <v>3.1625E-2</v>
      </c>
      <c r="O135" s="112">
        <v>0.25</v>
      </c>
      <c r="P135" s="660">
        <v>0.65000100000000005</v>
      </c>
      <c r="Q135" s="661">
        <v>0.8</v>
      </c>
      <c r="R135" s="662">
        <v>3.1300000000000001E-2</v>
      </c>
      <c r="V135" s="112">
        <v>0.25</v>
      </c>
      <c r="W135" s="663">
        <v>0.65000100000000005</v>
      </c>
      <c r="X135" s="664">
        <v>0.8</v>
      </c>
      <c r="Z135" s="665">
        <v>2.2078999999999998E-2</v>
      </c>
      <c r="AC135" s="112">
        <v>0.25</v>
      </c>
      <c r="AD135" s="663">
        <v>0.65000100000000005</v>
      </c>
      <c r="AF135" s="665">
        <v>1.83E-2</v>
      </c>
    </row>
    <row r="136" spans="1:32" ht="15.6">
      <c r="A136" s="106"/>
      <c r="B136" s="108">
        <v>0.75</v>
      </c>
      <c r="C136" s="109">
        <v>0.9</v>
      </c>
      <c r="D136" s="110">
        <v>6.6125000000000003E-2</v>
      </c>
      <c r="H136" s="106"/>
      <c r="I136" s="108">
        <v>0.75</v>
      </c>
      <c r="J136" s="109">
        <v>0.9</v>
      </c>
      <c r="K136" s="110">
        <v>6.6125000000000003E-2</v>
      </c>
      <c r="O136" s="106"/>
      <c r="P136" s="660">
        <v>0.80000099999999996</v>
      </c>
      <c r="Q136" s="661">
        <v>0.9</v>
      </c>
      <c r="R136" s="662">
        <v>5.2600000000000001E-2</v>
      </c>
      <c r="V136" s="106"/>
      <c r="W136" s="663">
        <v>0.80000099999999996</v>
      </c>
      <c r="X136" s="664">
        <v>0.9</v>
      </c>
      <c r="Z136" s="665">
        <v>3.6055999999999998E-2</v>
      </c>
      <c r="AC136" s="106"/>
      <c r="AD136" s="663">
        <v>0.80000099999999996</v>
      </c>
      <c r="AF136" s="665">
        <v>0.03</v>
      </c>
    </row>
    <row r="137" spans="1:32" ht="15.6">
      <c r="A137" s="106"/>
      <c r="B137" s="108">
        <v>0.9</v>
      </c>
      <c r="C137" s="109">
        <v>1</v>
      </c>
      <c r="D137" s="110">
        <v>8.3374999999999991E-2</v>
      </c>
      <c r="H137" s="106"/>
      <c r="I137" s="108">
        <v>0.9</v>
      </c>
      <c r="J137" s="109">
        <v>1</v>
      </c>
      <c r="K137" s="110">
        <v>8.3374999999999991E-2</v>
      </c>
      <c r="O137" s="106"/>
      <c r="P137" s="660">
        <v>0.90000100000000005</v>
      </c>
      <c r="Q137" s="661">
        <v>1</v>
      </c>
      <c r="R137" s="662">
        <v>7.3700000000000002E-2</v>
      </c>
      <c r="V137" s="106"/>
      <c r="W137" s="663">
        <v>0.90000100000000005</v>
      </c>
      <c r="X137" s="664">
        <v>1</v>
      </c>
      <c r="Z137" s="665">
        <v>5.2403999999999999E-2</v>
      </c>
      <c r="AC137" s="106"/>
      <c r="AD137" s="663">
        <v>0.90000100000000005</v>
      </c>
      <c r="AF137" s="665">
        <v>4.4200000000000003E-2</v>
      </c>
    </row>
    <row r="138" spans="1:32" ht="15.6">
      <c r="A138" s="106"/>
      <c r="B138" s="108">
        <v>1</v>
      </c>
      <c r="C138" s="109">
        <v>10</v>
      </c>
      <c r="D138" s="110">
        <v>0.10062499999999999</v>
      </c>
      <c r="H138" s="106"/>
      <c r="I138" s="108">
        <v>1</v>
      </c>
      <c r="J138" s="109">
        <v>10</v>
      </c>
      <c r="K138" s="110">
        <v>0.10062499999999999</v>
      </c>
      <c r="O138" s="106"/>
      <c r="P138" s="660">
        <v>1.0000009999999999</v>
      </c>
      <c r="Q138" s="661">
        <v>10</v>
      </c>
      <c r="R138" s="662">
        <v>0.1157</v>
      </c>
      <c r="V138" s="106"/>
      <c r="W138" s="663">
        <v>1.0000009999999999</v>
      </c>
      <c r="X138" s="664">
        <v>10</v>
      </c>
      <c r="Z138" s="665">
        <v>8.5099999999999995E-2</v>
      </c>
      <c r="AC138" s="106"/>
      <c r="AD138" s="663">
        <v>1.0000009999999999</v>
      </c>
      <c r="AF138" s="665">
        <v>7.2800000000000004E-2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9B51-3CD0-45C2-804F-BFA81149B072}">
  <sheetPr codeName="Hoja4">
    <tabColor theme="4" tint="0.59999389629810485"/>
  </sheetPr>
  <dimension ref="B2:X203"/>
  <sheetViews>
    <sheetView showGridLines="0" topLeftCell="K105" zoomScale="55" zoomScaleNormal="55" workbookViewId="0">
      <selection activeCell="L184" sqref="L184"/>
    </sheetView>
  </sheetViews>
  <sheetFormatPr baseColWidth="10" defaultColWidth="11.5546875" defaultRowHeight="14.4"/>
  <cols>
    <col min="1" max="1" width="11.5546875" style="177"/>
    <col min="2" max="2" width="38.33203125" style="177" customWidth="1"/>
    <col min="3" max="3" width="11.5546875" style="177"/>
    <col min="4" max="4" width="13.6640625" style="177" bestFit="1" customWidth="1"/>
    <col min="5" max="6" width="11.5546875" style="177" customWidth="1"/>
    <col min="7" max="7" width="11.5546875" style="205" customWidth="1"/>
    <col min="8" max="8" width="11.5546875" style="177"/>
    <col min="9" max="9" width="11.5546875" style="177" customWidth="1"/>
    <col min="10" max="19" width="11.5546875" style="177"/>
    <col min="20" max="20" width="12.33203125" style="177" customWidth="1"/>
    <col min="21" max="23" width="11.5546875" style="177"/>
    <col min="24" max="24" width="14.88671875" style="177" customWidth="1"/>
    <col min="25" max="16384" width="11.5546875" style="177"/>
  </cols>
  <sheetData>
    <row r="2" spans="2:24" s="168" customFormat="1">
      <c r="B2" s="168" t="s">
        <v>350</v>
      </c>
      <c r="G2" s="169"/>
    </row>
    <row r="4" spans="2:24" s="171" customFormat="1" ht="15.6">
      <c r="B4" s="170" t="s">
        <v>351</v>
      </c>
      <c r="G4" s="172"/>
    </row>
    <row r="6" spans="2:24">
      <c r="D6" s="224">
        <f>+AVERAGE(C9:D9)</f>
        <v>7618983.5</v>
      </c>
    </row>
    <row r="7" spans="2:24">
      <c r="B7" s="797" t="s">
        <v>352</v>
      </c>
      <c r="C7" s="173">
        <f>IFERROR('EE.FF Económicos'!D2,"")</f>
        <v>2017</v>
      </c>
      <c r="D7" s="174">
        <f>IFERROR('EE.FF Económicos'!E2,"")</f>
        <v>2018</v>
      </c>
      <c r="E7" s="174">
        <f>IFERROR('EE.FF Económicos'!F2,"")</f>
        <v>2019</v>
      </c>
      <c r="F7" s="174">
        <f>IFERROR('EE.FF Económicos'!G2,"")</f>
        <v>2020</v>
      </c>
      <c r="G7" s="175">
        <f>IFERROR('EE.FF Económicos'!H2,"")</f>
        <v>2021</v>
      </c>
      <c r="H7" s="174">
        <f>G7+1</f>
        <v>2022</v>
      </c>
      <c r="I7" s="174">
        <f>H7+1</f>
        <v>2023</v>
      </c>
      <c r="J7" s="174">
        <f t="shared" ref="J7:U8" si="0">I7+1</f>
        <v>2024</v>
      </c>
      <c r="K7" s="174">
        <f t="shared" si="0"/>
        <v>2025</v>
      </c>
      <c r="L7" s="174">
        <f t="shared" si="0"/>
        <v>2026</v>
      </c>
      <c r="M7" s="174">
        <f t="shared" si="0"/>
        <v>2027</v>
      </c>
      <c r="N7" s="174">
        <f t="shared" si="0"/>
        <v>2028</v>
      </c>
      <c r="O7" s="174">
        <f t="shared" si="0"/>
        <v>2029</v>
      </c>
      <c r="P7" s="174">
        <f t="shared" si="0"/>
        <v>2030</v>
      </c>
      <c r="Q7" s="174">
        <f t="shared" si="0"/>
        <v>2031</v>
      </c>
      <c r="R7" s="174">
        <f t="shared" si="0"/>
        <v>2032</v>
      </c>
      <c r="S7" s="174">
        <f t="shared" si="0"/>
        <v>2033</v>
      </c>
      <c r="T7" s="174">
        <f t="shared" si="0"/>
        <v>2034</v>
      </c>
      <c r="U7" s="174">
        <f t="shared" si="0"/>
        <v>2035</v>
      </c>
      <c r="V7" s="176">
        <f>U7+1</f>
        <v>2036</v>
      </c>
      <c r="X7" s="178"/>
    </row>
    <row r="8" spans="2:24">
      <c r="B8" s="798"/>
      <c r="C8" s="179">
        <f>IFERROR('EE.FF Económicos'!D3,"")</f>
        <v>1</v>
      </c>
      <c r="D8" s="180">
        <f>IFERROR('EE.FF Económicos'!E3,"")</f>
        <v>2</v>
      </c>
      <c r="E8" s="180">
        <f>IFERROR('EE.FF Económicos'!F3,"")</f>
        <v>3</v>
      </c>
      <c r="F8" s="180">
        <f>IFERROR('EE.FF Económicos'!G3,"")</f>
        <v>4</v>
      </c>
      <c r="G8" s="181">
        <f>IFERROR('EE.FF Económicos'!H3,"")</f>
        <v>5</v>
      </c>
      <c r="H8" s="180">
        <f>G8+1</f>
        <v>6</v>
      </c>
      <c r="I8" s="180">
        <f>H8+1</f>
        <v>7</v>
      </c>
      <c r="J8" s="180">
        <f t="shared" si="0"/>
        <v>8</v>
      </c>
      <c r="K8" s="180">
        <f t="shared" si="0"/>
        <v>9</v>
      </c>
      <c r="L8" s="180">
        <f t="shared" si="0"/>
        <v>10</v>
      </c>
      <c r="M8" s="180">
        <f t="shared" si="0"/>
        <v>11</v>
      </c>
      <c r="N8" s="180">
        <f t="shared" si="0"/>
        <v>12</v>
      </c>
      <c r="O8" s="180">
        <f t="shared" si="0"/>
        <v>13</v>
      </c>
      <c r="P8" s="180">
        <f t="shared" si="0"/>
        <v>14</v>
      </c>
      <c r="Q8" s="180">
        <f t="shared" si="0"/>
        <v>15</v>
      </c>
      <c r="R8" s="180">
        <f t="shared" si="0"/>
        <v>16</v>
      </c>
      <c r="S8" s="180">
        <f t="shared" si="0"/>
        <v>17</v>
      </c>
      <c r="T8" s="180">
        <f t="shared" si="0"/>
        <v>18</v>
      </c>
      <c r="U8" s="180">
        <f t="shared" si="0"/>
        <v>19</v>
      </c>
      <c r="V8" s="182">
        <f>U8+1</f>
        <v>20</v>
      </c>
    </row>
    <row r="9" spans="2:24">
      <c r="B9" s="183" t="s">
        <v>353</v>
      </c>
      <c r="C9" s="641">
        <f>IF('EE.FF Económicos'!D35=0,"",'EE.FF Económicos'!D35)</f>
        <v>6949265</v>
      </c>
      <c r="D9" s="640">
        <f>IF('EE.FF Económicos'!E35=0,"",'EE.FF Económicos'!E35)</f>
        <v>8288702</v>
      </c>
      <c r="E9" s="185">
        <f>IF('EE.FF Económicos'!F35=0,"",'EE.FF Económicos'!F35)</f>
        <v>9872187</v>
      </c>
      <c r="F9" s="185">
        <f>IF('EE.FF Económicos'!G35=0,"",'EE.FF Económicos'!G35)</f>
        <v>10131767</v>
      </c>
      <c r="G9" s="186">
        <f>IF('EE.FF Económicos'!H35=0,"",'EE.FF Económicos'!H35)</f>
        <v>12227663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7"/>
    </row>
    <row r="10" spans="2:24">
      <c r="B10" s="188" t="s">
        <v>354</v>
      </c>
      <c r="C10" s="189"/>
      <c r="D10" s="190">
        <f>IF(C9="","",AVERAGE(C9:D9))</f>
        <v>7618983.5</v>
      </c>
      <c r="E10" s="190">
        <f>IF(D9="","",AVERAGE(D9:E9))</f>
        <v>9080444.5</v>
      </c>
      <c r="F10" s="190">
        <f>IF(E9="","",AVERAGE(E9:F9))</f>
        <v>10001977</v>
      </c>
      <c r="G10" s="191">
        <f>IF(F9="","",AVERAGE(F9:G9))</f>
        <v>11179715</v>
      </c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3"/>
    </row>
    <row r="11" spans="2:24">
      <c r="B11" s="188" t="s">
        <v>355</v>
      </c>
      <c r="C11" s="189"/>
      <c r="D11" s="190"/>
      <c r="E11" s="190"/>
      <c r="F11" s="190"/>
      <c r="G11" s="191">
        <f>LN(F8)*$E$16+$F$21</f>
        <v>11179715</v>
      </c>
      <c r="H11" s="190">
        <f>LN(G8)*$E$16+$F$21</f>
        <v>11732053.336006992</v>
      </c>
      <c r="I11" s="190">
        <f t="shared" ref="I11:V11" si="1">LN(H8)*$E$16+$F$21</f>
        <v>12183346.616519395</v>
      </c>
      <c r="J11" s="190">
        <f t="shared" si="1"/>
        <v>12564909.648427242</v>
      </c>
      <c r="K11" s="190">
        <f t="shared" si="1"/>
        <v>12895434.580797218</v>
      </c>
      <c r="L11" s="190">
        <f t="shared" si="1"/>
        <v>13186978.233038789</v>
      </c>
      <c r="M11" s="190">
        <f t="shared" si="1"/>
        <v>13447772.916804209</v>
      </c>
      <c r="N11" s="190">
        <f t="shared" si="1"/>
        <v>13683690.404930588</v>
      </c>
      <c r="O11" s="190">
        <f t="shared" si="1"/>
        <v>13899066.197316613</v>
      </c>
      <c r="P11" s="190">
        <f t="shared" si="1"/>
        <v>14097192.720379975</v>
      </c>
      <c r="Q11" s="190">
        <f t="shared" si="1"/>
        <v>14280629.22922446</v>
      </c>
      <c r="R11" s="190">
        <f t="shared" si="1"/>
        <v>14451404.533323605</v>
      </c>
      <c r="S11" s="190">
        <f t="shared" si="1"/>
        <v>14611154.161594436</v>
      </c>
      <c r="T11" s="190">
        <f t="shared" si="1"/>
        <v>14761215.870919801</v>
      </c>
      <c r="U11" s="190">
        <f t="shared" si="1"/>
        <v>14902697.813836006</v>
      </c>
      <c r="V11" s="194">
        <f t="shared" si="1"/>
        <v>15036528.25102796</v>
      </c>
      <c r="X11" s="190"/>
    </row>
    <row r="12" spans="2:24">
      <c r="B12" s="432" t="s">
        <v>356</v>
      </c>
      <c r="C12" s="195"/>
      <c r="D12" s="196"/>
      <c r="E12" s="196"/>
      <c r="F12" s="196"/>
      <c r="G12" s="197"/>
      <c r="H12" s="196">
        <f>IF(H11/G11-1&gt;'EE.FF Económicos'!$D$53,H11/G11-1,'EE.FF Económicos'!$D$53)</f>
        <v>4.9405403984537299E-2</v>
      </c>
      <c r="I12" s="196">
        <f>IF(I11/H11-1&gt;'EE.FF Económicos'!$D$53,I11/H11-1,'EE.FF Económicos'!$D$53)</f>
        <v>3.8466691855835178E-2</v>
      </c>
      <c r="J12" s="196">
        <f>IF(J11/I11-1&gt;'EE.FF Económicos'!$D$53,J11/I11-1,'EE.FF Económicos'!$D$53)</f>
        <v>3.1318408965766986E-2</v>
      </c>
      <c r="K12" s="196">
        <f>IF(K11/J11-1&gt;'EE.FF Económicos'!$D$53,K11/J11-1,'EE.FF Económicos'!$D$53)</f>
        <v>2.6305396665653458E-2</v>
      </c>
      <c r="L12" s="196">
        <f>IF(L11/K11-1&gt;'EE.FF Económicos'!$D$53,L11/K11-1,'EE.FF Económicos'!$D$53)</f>
        <v>2.2608284382731325E-2</v>
      </c>
      <c r="M12" s="196">
        <f>IF(M11/L11-1&gt;'EE.FF Económicos'!$D$53,M11/L11-1,'EE.FF Económicos'!$D$53)</f>
        <v>1.9776682660476608E-2</v>
      </c>
      <c r="N12" s="196">
        <f>IF(N11/M11-1&gt;'EE.FF Económicos'!$D$53,N11/M11-1,'EE.FF Económicos'!$D$53)</f>
        <v>1.7543238541125161E-2</v>
      </c>
      <c r="O12" s="196">
        <f>IF(O11/N11-1&gt;'EE.FF Económicos'!$D$53,O11/N11-1,'EE.FF Económicos'!$D$53)</f>
        <v>1.5739598457183757E-2</v>
      </c>
      <c r="P12" s="196">
        <f>IF(P11/O11-1&gt;'EE.FF Económicos'!$D$53,P11/O11-1,'EE.FF Económicos'!$D$53)</f>
        <v>1.4999999999999999E-2</v>
      </c>
      <c r="Q12" s="196">
        <f>IF(Q11/P11-1&gt;'EE.FF Económicos'!$D$53,Q11/P11-1,'EE.FF Económicos'!$D$53)</f>
        <v>1.4999999999999999E-2</v>
      </c>
      <c r="R12" s="196">
        <f>IF(R11/Q11-1&gt;'EE.FF Económicos'!$D$53,R11/Q11-1,'EE.FF Económicos'!$D$53)</f>
        <v>1.4999999999999999E-2</v>
      </c>
      <c r="S12" s="196">
        <f>IF(S11/R11-1&gt;'EE.FF Económicos'!$D$53,S11/R11-1,'EE.FF Económicos'!$D$53)</f>
        <v>1.4999999999999999E-2</v>
      </c>
      <c r="T12" s="196">
        <f>IF(T11/S11-1&gt;'EE.FF Económicos'!$D$53,T11/S11-1,'EE.FF Económicos'!$D$53)</f>
        <v>1.4999999999999999E-2</v>
      </c>
      <c r="U12" s="196">
        <f>IF(U11/T11-1&gt;'EE.FF Económicos'!$D$53,U11/T11-1,'EE.FF Económicos'!$D$53)</f>
        <v>1.4999999999999999E-2</v>
      </c>
      <c r="V12" s="196">
        <f>IF(V11/U11-1&gt;'EE.FF Económicos'!$D$53,V11/U11-1,'EE.FF Económicos'!$D$53)</f>
        <v>1.4999999999999999E-2</v>
      </c>
    </row>
    <row r="13" spans="2:24">
      <c r="B13" s="200" t="s">
        <v>357</v>
      </c>
      <c r="C13" s="229">
        <f>C9</f>
        <v>6949265</v>
      </c>
      <c r="D13" s="203">
        <f>D9</f>
        <v>8288702</v>
      </c>
      <c r="E13" s="203">
        <f>E9</f>
        <v>9872187</v>
      </c>
      <c r="F13" s="203">
        <f>F9</f>
        <v>10131767</v>
      </c>
      <c r="G13" s="230">
        <f>G9</f>
        <v>12227663</v>
      </c>
      <c r="H13" s="203">
        <f>G11*(1+H12)</f>
        <v>11732053.336006992</v>
      </c>
      <c r="I13" s="203">
        <f>H13*(1+I12)</f>
        <v>12183346.616519395</v>
      </c>
      <c r="J13" s="203">
        <f t="shared" ref="J13:V13" si="2">I13*(1+J12)</f>
        <v>12564909.648427242</v>
      </c>
      <c r="K13" s="203">
        <f t="shared" si="2"/>
        <v>12895434.580797218</v>
      </c>
      <c r="L13" s="203">
        <f t="shared" si="2"/>
        <v>13186978.233038789</v>
      </c>
      <c r="M13" s="203">
        <f t="shared" si="2"/>
        <v>13447772.916804209</v>
      </c>
      <c r="N13" s="203">
        <f t="shared" si="2"/>
        <v>13683690.404930588</v>
      </c>
      <c r="O13" s="203">
        <f t="shared" si="2"/>
        <v>13899066.197316613</v>
      </c>
      <c r="P13" s="203">
        <f t="shared" si="2"/>
        <v>14107552.19027636</v>
      </c>
      <c r="Q13" s="203">
        <f t="shared" si="2"/>
        <v>14319165.473130504</v>
      </c>
      <c r="R13" s="203">
        <f t="shared" si="2"/>
        <v>14533952.955227461</v>
      </c>
      <c r="S13" s="203">
        <f t="shared" si="2"/>
        <v>14751962.249555871</v>
      </c>
      <c r="T13" s="203">
        <f t="shared" si="2"/>
        <v>14973241.683299208</v>
      </c>
      <c r="U13" s="203">
        <f t="shared" si="2"/>
        <v>15197840.308548694</v>
      </c>
      <c r="V13" s="204">
        <f t="shared" si="2"/>
        <v>15425807.913176924</v>
      </c>
    </row>
    <row r="14" spans="2:24"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</row>
    <row r="15" spans="2:24">
      <c r="E15" s="207" t="s">
        <v>358</v>
      </c>
      <c r="F15" s="208" t="s">
        <v>359</v>
      </c>
      <c r="Q15" s="364"/>
    </row>
    <row r="16" spans="2:24">
      <c r="E16" s="209" cm="1">
        <f t="array" ref="E16">INDEX(LINEST(INDEX(C10:G10,COUNTBLANK(C10:G10)+1):G10,LN(INDEX(C8:G8,COUNTBLANK(C10:G10)):INDEX(C8:G8,4)),TRUE,),1)</f>
        <v>2475260.1307722377</v>
      </c>
      <c r="F16" s="210" cm="1">
        <f t="array" ref="F16">INDEX(LINEST(INDEX(C10:G10,COUNTBLANK(C10:G10)+1):G10,LN(INDEX(C8:G8,COUNTBLANK(C10:G10)):INDEX(C8:G8,4)),TRUE,),2)</f>
        <v>7503652.5150729334</v>
      </c>
    </row>
    <row r="17" spans="2:22" s="192" customFormat="1">
      <c r="G17" s="211"/>
    </row>
    <row r="18" spans="2:22" s="192" customFormat="1">
      <c r="E18" s="795" t="s">
        <v>360</v>
      </c>
      <c r="F18" s="796"/>
      <c r="G18" s="211"/>
    </row>
    <row r="19" spans="2:22" s="192" customFormat="1">
      <c r="E19" s="213" t="s">
        <v>361</v>
      </c>
      <c r="F19" s="214">
        <f>G10</f>
        <v>11179715</v>
      </c>
      <c r="G19" s="211"/>
      <c r="I19" s="177"/>
      <c r="J19" s="190"/>
    </row>
    <row r="20" spans="2:22">
      <c r="E20" s="215" t="s">
        <v>362</v>
      </c>
      <c r="F20" s="216">
        <f>LN(F8)*E16+F16</f>
        <v>10935091.67666737</v>
      </c>
    </row>
    <row r="21" spans="2:22">
      <c r="E21" s="217" t="s">
        <v>363</v>
      </c>
      <c r="F21" s="209">
        <f>F19-F20+F16</f>
        <v>7748275.8384055635</v>
      </c>
    </row>
    <row r="22" spans="2:22">
      <c r="J22" s="196"/>
      <c r="K22" s="196"/>
      <c r="L22" s="196"/>
      <c r="M22" s="196"/>
      <c r="N22" s="196"/>
      <c r="O22" s="196"/>
    </row>
    <row r="24" spans="2:22">
      <c r="B24" s="799" t="s">
        <v>364</v>
      </c>
      <c r="C24" s="173">
        <f>C$7</f>
        <v>2017</v>
      </c>
      <c r="D24" s="174">
        <f>D$7</f>
        <v>2018</v>
      </c>
      <c r="E24" s="174">
        <f>E$7</f>
        <v>2019</v>
      </c>
      <c r="F24" s="174">
        <f>F$7</f>
        <v>2020</v>
      </c>
      <c r="G24" s="175">
        <f>G$7</f>
        <v>2021</v>
      </c>
      <c r="H24" s="174">
        <f>G24+1</f>
        <v>2022</v>
      </c>
      <c r="I24" s="174">
        <f>H24+1</f>
        <v>2023</v>
      </c>
      <c r="J24" s="174">
        <f t="shared" ref="J24:U25" si="3">I24+1</f>
        <v>2024</v>
      </c>
      <c r="K24" s="174">
        <f t="shared" si="3"/>
        <v>2025</v>
      </c>
      <c r="L24" s="174">
        <f t="shared" si="3"/>
        <v>2026</v>
      </c>
      <c r="M24" s="174">
        <f t="shared" si="3"/>
        <v>2027</v>
      </c>
      <c r="N24" s="174">
        <f t="shared" si="3"/>
        <v>2028</v>
      </c>
      <c r="O24" s="174">
        <f t="shared" si="3"/>
        <v>2029</v>
      </c>
      <c r="P24" s="174">
        <f t="shared" si="3"/>
        <v>2030</v>
      </c>
      <c r="Q24" s="174">
        <f t="shared" si="3"/>
        <v>2031</v>
      </c>
      <c r="R24" s="174">
        <f t="shared" si="3"/>
        <v>2032</v>
      </c>
      <c r="S24" s="174">
        <f t="shared" si="3"/>
        <v>2033</v>
      </c>
      <c r="T24" s="174">
        <f t="shared" si="3"/>
        <v>2034</v>
      </c>
      <c r="U24" s="174">
        <f t="shared" si="3"/>
        <v>2035</v>
      </c>
      <c r="V24" s="176">
        <f>U24+1</f>
        <v>2036</v>
      </c>
    </row>
    <row r="25" spans="2:22">
      <c r="B25" s="800"/>
      <c r="C25" s="179">
        <f>C$8</f>
        <v>1</v>
      </c>
      <c r="D25" s="180">
        <f>D$8</f>
        <v>2</v>
      </c>
      <c r="E25" s="180">
        <f>E$8</f>
        <v>3</v>
      </c>
      <c r="F25" s="180">
        <f>F$8</f>
        <v>4</v>
      </c>
      <c r="G25" s="181">
        <f>G$8</f>
        <v>5</v>
      </c>
      <c r="H25" s="180">
        <f>G25+1</f>
        <v>6</v>
      </c>
      <c r="I25" s="180">
        <f>H25+1</f>
        <v>7</v>
      </c>
      <c r="J25" s="180">
        <f t="shared" si="3"/>
        <v>8</v>
      </c>
      <c r="K25" s="180">
        <f t="shared" si="3"/>
        <v>9</v>
      </c>
      <c r="L25" s="180">
        <f t="shared" si="3"/>
        <v>10</v>
      </c>
      <c r="M25" s="180">
        <f t="shared" si="3"/>
        <v>11</v>
      </c>
      <c r="N25" s="180">
        <f t="shared" si="3"/>
        <v>12</v>
      </c>
      <c r="O25" s="180">
        <f t="shared" si="3"/>
        <v>13</v>
      </c>
      <c r="P25" s="180">
        <f t="shared" si="3"/>
        <v>14</v>
      </c>
      <c r="Q25" s="180">
        <f t="shared" si="3"/>
        <v>15</v>
      </c>
      <c r="R25" s="180">
        <f t="shared" si="3"/>
        <v>16</v>
      </c>
      <c r="S25" s="180">
        <f t="shared" si="3"/>
        <v>17</v>
      </c>
      <c r="T25" s="180">
        <f t="shared" si="3"/>
        <v>18</v>
      </c>
      <c r="U25" s="180">
        <f t="shared" si="3"/>
        <v>19</v>
      </c>
      <c r="V25" s="182">
        <f>U25+1</f>
        <v>20</v>
      </c>
    </row>
    <row r="26" spans="2:22">
      <c r="B26" s="218" t="s">
        <v>353</v>
      </c>
      <c r="C26" s="184">
        <f>IF('EE.FF Económicos'!D36=0,"",-'EE.FF Económicos'!D36)</f>
        <v>5042402</v>
      </c>
      <c r="D26" s="185">
        <f>IF('EE.FF Económicos'!E36=0,"",-'EE.FF Económicos'!E36)</f>
        <v>6244012</v>
      </c>
      <c r="E26" s="185">
        <f>IF('EE.FF Económicos'!F36=0,"",-'EE.FF Económicos'!F36)</f>
        <v>7420013</v>
      </c>
      <c r="F26" s="185">
        <f>IF('EE.FF Económicos'!G36=0,"",-'EE.FF Económicos'!G36)</f>
        <v>7712254</v>
      </c>
      <c r="G26" s="186">
        <f>IF('EE.FF Económicos'!H36=0,"",-'EE.FF Económicos'!H36)</f>
        <v>9831454</v>
      </c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20"/>
    </row>
    <row r="27" spans="2:22">
      <c r="B27" s="221" t="s">
        <v>354</v>
      </c>
      <c r="C27" s="189"/>
      <c r="D27" s="190">
        <f>IF(C26="","",AVERAGE(C26:D26))</f>
        <v>5643207</v>
      </c>
      <c r="E27" s="190">
        <f>IF(D26="","",AVERAGE(D26:E26))</f>
        <v>6832012.5</v>
      </c>
      <c r="F27" s="190">
        <f>IF(E26="","",AVERAGE(E26:F26))</f>
        <v>7566133.5</v>
      </c>
      <c r="G27" s="191">
        <f>IF(F26="","",AVERAGE(F26:G26))</f>
        <v>8771854</v>
      </c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3"/>
    </row>
    <row r="28" spans="2:22">
      <c r="B28" s="221" t="s">
        <v>355</v>
      </c>
      <c r="C28" s="189"/>
      <c r="D28" s="190"/>
      <c r="E28" s="190"/>
      <c r="F28" s="190"/>
      <c r="G28" s="191">
        <f>LN(F25)*$E$33+$F$38</f>
        <v>8771854</v>
      </c>
      <c r="H28" s="190">
        <f t="shared" ref="H28:V28" si="4">LN(G25)*$E$33+$F$38</f>
        <v>9248460.0703783724</v>
      </c>
      <c r="I28" s="190">
        <f t="shared" si="4"/>
        <v>9637875.5843695253</v>
      </c>
      <c r="J28" s="190">
        <f t="shared" si="4"/>
        <v>9967121.7101299409</v>
      </c>
      <c r="K28" s="190">
        <f t="shared" si="4"/>
        <v>10252327.677033778</v>
      </c>
      <c r="L28" s="190">
        <f t="shared" si="4"/>
        <v>10503897.168739051</v>
      </c>
      <c r="M28" s="190">
        <f t="shared" si="4"/>
        <v>10728933.747412153</v>
      </c>
      <c r="N28" s="190">
        <f t="shared" si="4"/>
        <v>10932504.094823321</v>
      </c>
      <c r="O28" s="190">
        <f t="shared" si="4"/>
        <v>11118349.261403305</v>
      </c>
      <c r="P28" s="190">
        <f t="shared" si="4"/>
        <v>11289310.242090628</v>
      </c>
      <c r="Q28" s="190">
        <f t="shared" si="4"/>
        <v>11447595.387163721</v>
      </c>
      <c r="R28" s="190">
        <f t="shared" si="4"/>
        <v>11594955.331781678</v>
      </c>
      <c r="S28" s="190">
        <f t="shared" si="4"/>
        <v>11732801.35406756</v>
      </c>
      <c r="T28" s="190">
        <f t="shared" si="4"/>
        <v>11862287.788257271</v>
      </c>
      <c r="U28" s="190">
        <f t="shared" si="4"/>
        <v>11984370.845772831</v>
      </c>
      <c r="V28" s="194">
        <f t="shared" si="4"/>
        <v>12099851.511533227</v>
      </c>
    </row>
    <row r="29" spans="2:22">
      <c r="B29" s="433" t="s">
        <v>356</v>
      </c>
      <c r="C29" s="195"/>
      <c r="D29" s="196"/>
      <c r="E29" s="196"/>
      <c r="F29" s="196"/>
      <c r="G29" s="197"/>
      <c r="H29" s="196">
        <f>IF(H$12&gt;'EE.FF Económicos'!$D$53,H28/G28-1,'EE.FF Económicos'!$D$53)</f>
        <v>5.4333561682441633E-2</v>
      </c>
      <c r="I29" s="196">
        <f>IF(I$12&gt;'EE.FF Económicos'!$D$53,I28/H28-1,'EE.FF Económicos'!$D$53)</f>
        <v>4.2105984242544414E-2</v>
      </c>
      <c r="J29" s="196">
        <f>IF(J$12&gt;'EE.FF Económicos'!$D$53,J28/I28-1,'EE.FF Económicos'!$D$53)</f>
        <v>3.41616908081257E-2</v>
      </c>
      <c r="K29" s="196">
        <f>IF(K$12&gt;'EE.FF Económicos'!$D$53,K28/J28-1,'EE.FF Económicos'!$D$53)</f>
        <v>2.8614676854399335E-2</v>
      </c>
      <c r="L29" s="196">
        <f>IF(L$12&gt;'EE.FF Económicos'!$D$53,L28/K28-1,'EE.FF Económicos'!$D$53)</f>
        <v>2.4537792746208487E-2</v>
      </c>
      <c r="M29" s="196">
        <f>IF(M$12&gt;'EE.FF Económicos'!$D$53,M28/L28-1,'EE.FF Económicos'!$D$53)</f>
        <v>2.1424103364495961E-2</v>
      </c>
      <c r="N29" s="196">
        <f>IF(N$12&gt;'EE.FF Económicos'!$D$53,N28/M28-1,'EE.FF Económicos'!$D$53)</f>
        <v>1.8973958848452321E-2</v>
      </c>
      <c r="O29" s="196">
        <f>IF(O$12&gt;'EE.FF Económicos'!$D$53,O28/N28-1,'EE.FF Económicos'!$D$53)</f>
        <v>1.699932284205441E-2</v>
      </c>
      <c r="P29" s="196">
        <f>IF(P$12&gt;'EE.FF Económicos'!$D$53,P28/O28-1,'EE.FF Económicos'!$D$53)</f>
        <v>1.4999999999999999E-2</v>
      </c>
      <c r="Q29" s="196">
        <f>IF(Q$12&gt;'EE.FF Económicos'!$D$53,Q28/P28-1,'EE.FF Económicos'!$D$53)</f>
        <v>1.4999999999999999E-2</v>
      </c>
      <c r="R29" s="196">
        <f>IF(R$12&gt;'EE.FF Económicos'!$D$53,R28/Q28-1,'EE.FF Económicos'!$D$53)</f>
        <v>1.4999999999999999E-2</v>
      </c>
      <c r="S29" s="196">
        <f>IF(S$12&gt;'EE.FF Económicos'!$D$53,S28/R28-1,'EE.FF Económicos'!$D$53)</f>
        <v>1.4999999999999999E-2</v>
      </c>
      <c r="T29" s="196">
        <f>IF(T$12&gt;'EE.FF Económicos'!$D$53,T28/S28-1,'EE.FF Económicos'!$D$53)</f>
        <v>1.4999999999999999E-2</v>
      </c>
      <c r="U29" s="196">
        <f>IF(U$12&gt;'EE.FF Económicos'!$D$53,U28/T28-1,'EE.FF Económicos'!$D$53)</f>
        <v>1.4999999999999999E-2</v>
      </c>
      <c r="V29" s="196">
        <f>IF(V$12&gt;'EE.FF Económicos'!$D$53,V28/U28-1,'EE.FF Económicos'!$D$53)</f>
        <v>1.4999999999999999E-2</v>
      </c>
    </row>
    <row r="30" spans="2:22">
      <c r="B30" s="199" t="s">
        <v>357</v>
      </c>
      <c r="C30" s="229">
        <f>C26</f>
        <v>5042402</v>
      </c>
      <c r="D30" s="203">
        <f>D26</f>
        <v>6244012</v>
      </c>
      <c r="E30" s="203">
        <f>E26</f>
        <v>7420013</v>
      </c>
      <c r="F30" s="203">
        <f>F26</f>
        <v>7712254</v>
      </c>
      <c r="G30" s="230">
        <f>G26</f>
        <v>9831454</v>
      </c>
      <c r="H30" s="203">
        <f>G28*(1+H29)</f>
        <v>9248460.0703783724</v>
      </c>
      <c r="I30" s="203">
        <f t="shared" ref="I30:V30" si="5">H30*(1+I29)</f>
        <v>9637875.5843695253</v>
      </c>
      <c r="J30" s="203">
        <f t="shared" si="5"/>
        <v>9967121.7101299409</v>
      </c>
      <c r="K30" s="203">
        <f t="shared" si="5"/>
        <v>10252327.677033776</v>
      </c>
      <c r="L30" s="203">
        <f t="shared" si="5"/>
        <v>10503897.168739049</v>
      </c>
      <c r="M30" s="203">
        <f t="shared" si="5"/>
        <v>10728933.747412151</v>
      </c>
      <c r="N30" s="203">
        <f t="shared" si="5"/>
        <v>10932504.094823319</v>
      </c>
      <c r="O30" s="203">
        <f t="shared" si="5"/>
        <v>11118349.261403304</v>
      </c>
      <c r="P30" s="203">
        <f t="shared" si="5"/>
        <v>11285124.500324352</v>
      </c>
      <c r="Q30" s="203">
        <f t="shared" si="5"/>
        <v>11454401.367829217</v>
      </c>
      <c r="R30" s="203">
        <f t="shared" si="5"/>
        <v>11626217.388346653</v>
      </c>
      <c r="S30" s="203">
        <f t="shared" si="5"/>
        <v>11800610.649171852</v>
      </c>
      <c r="T30" s="203">
        <f t="shared" si="5"/>
        <v>11977619.808909427</v>
      </c>
      <c r="U30" s="203">
        <f t="shared" si="5"/>
        <v>12157284.106043067</v>
      </c>
      <c r="V30" s="204">
        <f t="shared" si="5"/>
        <v>12339643.367633712</v>
      </c>
    </row>
    <row r="31" spans="2:22"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</row>
    <row r="32" spans="2:22">
      <c r="E32" s="207" t="s">
        <v>358</v>
      </c>
      <c r="F32" s="208" t="s">
        <v>359</v>
      </c>
    </row>
    <row r="33" spans="2:22">
      <c r="E33" s="209" cm="1">
        <f t="array" ref="E33">INDEX(LINEST(INDEX(C27:G27,COUNTBLANK(C27:G27)+1):G27,LN(INDEX(C25:G25,COUNTBLANK(C27:G27)):INDEX(C25:G25,4)),TRUE,),1)</f>
        <v>2135872.0320232841</v>
      </c>
      <c r="F33" s="210" cm="1">
        <f t="array" ref="F33">INDEX(LINEST(INDEX(C27:G27,COUNTBLANK(C27:G27)+1):G27,LN(INDEX(C25:G25,COUNTBLANK(C27:G27)):INDEX(C25:G25,4)),TRUE,),2)</f>
        <v>5506322.6768738385</v>
      </c>
    </row>
    <row r="34" spans="2:22">
      <c r="E34" s="192"/>
      <c r="F34" s="192"/>
    </row>
    <row r="35" spans="2:22">
      <c r="E35" s="801" t="s">
        <v>360</v>
      </c>
      <c r="F35" s="802"/>
    </row>
    <row r="36" spans="2:22">
      <c r="E36" s="213" t="s">
        <v>361</v>
      </c>
      <c r="F36" s="214">
        <f>G27</f>
        <v>8771854</v>
      </c>
    </row>
    <row r="37" spans="2:22">
      <c r="E37" s="215" t="s">
        <v>362</v>
      </c>
      <c r="F37" s="216">
        <f>LN(F25)*E33+F33</f>
        <v>8467270.0309414007</v>
      </c>
    </row>
    <row r="38" spans="2:22">
      <c r="E38" s="217" t="s">
        <v>363</v>
      </c>
      <c r="F38" s="209">
        <f>F36-F37+F33</f>
        <v>5810906.6459324379</v>
      </c>
    </row>
    <row r="42" spans="2:22">
      <c r="B42" s="799" t="s">
        <v>365</v>
      </c>
      <c r="C42" s="173">
        <f>C$7</f>
        <v>2017</v>
      </c>
      <c r="D42" s="174">
        <f>D$7</f>
        <v>2018</v>
      </c>
      <c r="E42" s="174">
        <f>E$7</f>
        <v>2019</v>
      </c>
      <c r="F42" s="174">
        <f>F$7</f>
        <v>2020</v>
      </c>
      <c r="G42" s="175">
        <f>G$7</f>
        <v>2021</v>
      </c>
      <c r="H42" s="174">
        <f>G42+1</f>
        <v>2022</v>
      </c>
      <c r="I42" s="174">
        <f>H42+1</f>
        <v>2023</v>
      </c>
      <c r="J42" s="174">
        <f t="shared" ref="J42:U43" si="6">I42+1</f>
        <v>2024</v>
      </c>
      <c r="K42" s="174">
        <f t="shared" si="6"/>
        <v>2025</v>
      </c>
      <c r="L42" s="174">
        <f t="shared" si="6"/>
        <v>2026</v>
      </c>
      <c r="M42" s="174">
        <f t="shared" si="6"/>
        <v>2027</v>
      </c>
      <c r="N42" s="174">
        <f t="shared" si="6"/>
        <v>2028</v>
      </c>
      <c r="O42" s="174">
        <f t="shared" si="6"/>
        <v>2029</v>
      </c>
      <c r="P42" s="174">
        <f t="shared" si="6"/>
        <v>2030</v>
      </c>
      <c r="Q42" s="174">
        <f t="shared" si="6"/>
        <v>2031</v>
      </c>
      <c r="R42" s="174">
        <f t="shared" si="6"/>
        <v>2032</v>
      </c>
      <c r="S42" s="174">
        <f t="shared" si="6"/>
        <v>2033</v>
      </c>
      <c r="T42" s="174">
        <f t="shared" si="6"/>
        <v>2034</v>
      </c>
      <c r="U42" s="174">
        <f t="shared" si="6"/>
        <v>2035</v>
      </c>
      <c r="V42" s="176">
        <f>U42+1</f>
        <v>2036</v>
      </c>
    </row>
    <row r="43" spans="2:22">
      <c r="B43" s="800"/>
      <c r="C43" s="179">
        <f>C$8</f>
        <v>1</v>
      </c>
      <c r="D43" s="180">
        <f>D$8</f>
        <v>2</v>
      </c>
      <c r="E43" s="180">
        <f>E$8</f>
        <v>3</v>
      </c>
      <c r="F43" s="180">
        <f>F$8</f>
        <v>4</v>
      </c>
      <c r="G43" s="181">
        <f>G$8</f>
        <v>5</v>
      </c>
      <c r="H43" s="180">
        <f>G43+1</f>
        <v>6</v>
      </c>
      <c r="I43" s="180">
        <f>H43+1</f>
        <v>7</v>
      </c>
      <c r="J43" s="180">
        <f t="shared" si="6"/>
        <v>8</v>
      </c>
      <c r="K43" s="180">
        <f t="shared" si="6"/>
        <v>9</v>
      </c>
      <c r="L43" s="180">
        <f t="shared" si="6"/>
        <v>10</v>
      </c>
      <c r="M43" s="180">
        <f t="shared" si="6"/>
        <v>11</v>
      </c>
      <c r="N43" s="180">
        <f t="shared" si="6"/>
        <v>12</v>
      </c>
      <c r="O43" s="180">
        <f t="shared" si="6"/>
        <v>13</v>
      </c>
      <c r="P43" s="180">
        <f t="shared" si="6"/>
        <v>14</v>
      </c>
      <c r="Q43" s="180">
        <f t="shared" si="6"/>
        <v>15</v>
      </c>
      <c r="R43" s="180">
        <f t="shared" si="6"/>
        <v>16</v>
      </c>
      <c r="S43" s="180">
        <f t="shared" si="6"/>
        <v>17</v>
      </c>
      <c r="T43" s="180">
        <f t="shared" si="6"/>
        <v>18</v>
      </c>
      <c r="U43" s="180">
        <f t="shared" si="6"/>
        <v>19</v>
      </c>
      <c r="V43" s="182">
        <f>U43+1</f>
        <v>20</v>
      </c>
    </row>
    <row r="44" spans="2:22">
      <c r="B44" s="218" t="s">
        <v>353</v>
      </c>
      <c r="C44" s="184">
        <f>IF('EE.FF Económicos'!D38=0,"",-'EE.FF Económicos'!D38)</f>
        <v>633605</v>
      </c>
      <c r="D44" s="185">
        <f>IF('EE.FF Económicos'!E38=0,"",-'EE.FF Económicos'!E38)</f>
        <v>681336</v>
      </c>
      <c r="E44" s="185">
        <f>IF('EE.FF Económicos'!F38=0,"",-'EE.FF Económicos'!F38)</f>
        <v>801905</v>
      </c>
      <c r="F44" s="185">
        <f>IF('EE.FF Económicos'!G38=0,"",-'EE.FF Económicos'!G38)</f>
        <v>862157</v>
      </c>
      <c r="G44" s="186">
        <f>IF('EE.FF Económicos'!H38=0,"",-'EE.FF Económicos'!H38)</f>
        <v>786246</v>
      </c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20"/>
    </row>
    <row r="45" spans="2:22">
      <c r="B45" s="221" t="s">
        <v>354</v>
      </c>
      <c r="C45" s="189"/>
      <c r="D45" s="190">
        <f>IF(C44="","",AVERAGE(C44:D44))</f>
        <v>657470.5</v>
      </c>
      <c r="E45" s="190">
        <f>IF(D44="","",AVERAGE(D44:E44))</f>
        <v>741620.5</v>
      </c>
      <c r="F45" s="190">
        <f>IF(E44="","",AVERAGE(E44:F44))</f>
        <v>832031</v>
      </c>
      <c r="G45" s="191">
        <f>IF(F44="","",AVERAGE(F44:G44))</f>
        <v>824201.5</v>
      </c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3"/>
    </row>
    <row r="46" spans="2:22">
      <c r="B46" s="221" t="s">
        <v>355</v>
      </c>
      <c r="C46" s="189"/>
      <c r="D46" s="190"/>
      <c r="E46" s="190"/>
      <c r="F46" s="190"/>
      <c r="G46" s="191">
        <f>LN(F43)*$E$51+$F$56</f>
        <v>824201.5</v>
      </c>
      <c r="H46" s="190">
        <f t="shared" ref="H46:V46" si="7">LN(G43)*$E$51+$F$56</f>
        <v>853678.36874206527</v>
      </c>
      <c r="I46" s="190">
        <f t="shared" si="7"/>
        <v>877762.72415727901</v>
      </c>
      <c r="J46" s="190">
        <f t="shared" si="7"/>
        <v>898125.75651473191</v>
      </c>
      <c r="K46" s="190">
        <f t="shared" si="7"/>
        <v>915765.01747547463</v>
      </c>
      <c r="L46" s="190">
        <f t="shared" si="7"/>
        <v>931323.94831455802</v>
      </c>
      <c r="M46" s="190">
        <f t="shared" si="7"/>
        <v>945241.88621754001</v>
      </c>
      <c r="N46" s="190">
        <f t="shared" si="7"/>
        <v>957832.19251735648</v>
      </c>
      <c r="O46" s="190">
        <f t="shared" si="7"/>
        <v>969326.24163275363</v>
      </c>
      <c r="P46" s="190">
        <f t="shared" si="7"/>
        <v>979899.74184800312</v>
      </c>
      <c r="Q46" s="190">
        <f t="shared" si="7"/>
        <v>989689.27399020665</v>
      </c>
      <c r="R46" s="190">
        <f t="shared" si="7"/>
        <v>998803.11037481891</v>
      </c>
      <c r="S46" s="190">
        <f t="shared" si="7"/>
        <v>1007328.5349509493</v>
      </c>
      <c r="T46" s="190">
        <f t="shared" si="7"/>
        <v>1015336.9403442295</v>
      </c>
      <c r="U46" s="190">
        <f t="shared" si="7"/>
        <v>1022887.4657900325</v>
      </c>
      <c r="V46" s="194">
        <f t="shared" si="7"/>
        <v>1030029.6501607921</v>
      </c>
    </row>
    <row r="47" spans="2:22">
      <c r="B47" s="433" t="s">
        <v>356</v>
      </c>
      <c r="C47" s="195"/>
      <c r="D47" s="196"/>
      <c r="E47" s="196"/>
      <c r="F47" s="196"/>
      <c r="G47" s="197"/>
      <c r="H47" s="196">
        <f>IF(H$12&gt;'EE.FF Económicos'!$D$53,H46/G46-1,'EE.FF Económicos'!$D$53)</f>
        <v>3.5764153234452145E-2</v>
      </c>
      <c r="I47" s="196">
        <f>IF(I$12&gt;'EE.FF Económicos'!$D$53,I46/H46-1,'EE.FF Económicos'!$D$53)</f>
        <v>2.8212446627531529E-2</v>
      </c>
      <c r="J47" s="196">
        <f>IF(J$12&gt;'EE.FF Económicos'!$D$53,J46/I46-1,'EE.FF Económicos'!$D$53)</f>
        <v>2.3198789145441268E-2</v>
      </c>
      <c r="K47" s="196">
        <f>IF(K$12&gt;'EE.FF Económicos'!$D$53,K46/J46-1,'EE.FF Económicos'!$D$53)</f>
        <v>1.9640079167970503E-2</v>
      </c>
      <c r="L47" s="196">
        <f>IF(L$12&gt;'EE.FF Económicos'!$D$53,L46/K46-1,'EE.FF Económicos'!$D$53)</f>
        <v>1.699009084445624E-2</v>
      </c>
      <c r="M47" s="196">
        <f>IF(M$12&gt;'EE.FF Económicos'!$D$53,M46/L46-1,'EE.FF Económicos'!$D$53)</f>
        <v>1.4944249987525415E-2</v>
      </c>
      <c r="N47" s="196">
        <f>IF(N$12&gt;'EE.FF Económicos'!$D$53,N46/M46-1,'EE.FF Económicos'!$D$53)</f>
        <v>1.3319666091181848E-2</v>
      </c>
      <c r="O47" s="196">
        <f>IF(O$12&gt;'EE.FF Económicos'!$D$53,O46/N46-1,'EE.FF Económicos'!$D$53)</f>
        <v>1.2000065570137775E-2</v>
      </c>
      <c r="P47" s="196">
        <f>IF(P$12&gt;'EE.FF Económicos'!$D$53,P46/O46-1,'EE.FF Económicos'!$D$53)</f>
        <v>1.4999999999999999E-2</v>
      </c>
      <c r="Q47" s="196">
        <f>IF(Q$12&gt;'EE.FF Económicos'!$D$53,Q46/P46-1,'EE.FF Económicos'!$D$53)</f>
        <v>1.4999999999999999E-2</v>
      </c>
      <c r="R47" s="196">
        <f>IF(R$12&gt;'EE.FF Económicos'!$D$53,R46/Q46-1,'EE.FF Económicos'!$D$53)</f>
        <v>1.4999999999999999E-2</v>
      </c>
      <c r="S47" s="196">
        <f>IF(S$12&gt;'EE.FF Económicos'!$D$53,S46/R46-1,'EE.FF Económicos'!$D$53)</f>
        <v>1.4999999999999999E-2</v>
      </c>
      <c r="T47" s="196">
        <f>IF(T$12&gt;'EE.FF Económicos'!$D$53,T46/S46-1,'EE.FF Económicos'!$D$53)</f>
        <v>1.4999999999999999E-2</v>
      </c>
      <c r="U47" s="196">
        <f>IF(U$12&gt;'EE.FF Económicos'!$D$53,U46/T46-1,'EE.FF Económicos'!$D$53)</f>
        <v>1.4999999999999999E-2</v>
      </c>
      <c r="V47" s="196">
        <f>IF(V$12&gt;'EE.FF Económicos'!$D$53,V46/U46-1,'EE.FF Económicos'!$D$53)</f>
        <v>1.4999999999999999E-2</v>
      </c>
    </row>
    <row r="48" spans="2:22">
      <c r="B48" s="199" t="s">
        <v>357</v>
      </c>
      <c r="C48" s="229">
        <f>C44</f>
        <v>633605</v>
      </c>
      <c r="D48" s="203">
        <f>D44</f>
        <v>681336</v>
      </c>
      <c r="E48" s="203">
        <f>E44</f>
        <v>801905</v>
      </c>
      <c r="F48" s="203">
        <f>F44</f>
        <v>862157</v>
      </c>
      <c r="G48" s="230">
        <f>G44</f>
        <v>786246</v>
      </c>
      <c r="H48" s="203">
        <f>G46*(1+H47)</f>
        <v>853678.36874206527</v>
      </c>
      <c r="I48" s="203">
        <f t="shared" ref="I48:V48" si="8">H48*(1+I47)</f>
        <v>877762.72415727901</v>
      </c>
      <c r="J48" s="203">
        <f t="shared" si="8"/>
        <v>898125.75651473179</v>
      </c>
      <c r="K48" s="203">
        <f t="shared" si="8"/>
        <v>915765.01747547451</v>
      </c>
      <c r="L48" s="203">
        <f t="shared" si="8"/>
        <v>931323.9483145579</v>
      </c>
      <c r="M48" s="203">
        <f t="shared" si="8"/>
        <v>945241.8862175399</v>
      </c>
      <c r="N48" s="203">
        <f t="shared" si="8"/>
        <v>957832.19251735648</v>
      </c>
      <c r="O48" s="203">
        <f t="shared" si="8"/>
        <v>969326.24163275363</v>
      </c>
      <c r="P48" s="203">
        <f t="shared" si="8"/>
        <v>983866.13525724481</v>
      </c>
      <c r="Q48" s="203">
        <f t="shared" si="8"/>
        <v>998624.12728610344</v>
      </c>
      <c r="R48" s="203">
        <f t="shared" si="8"/>
        <v>1013603.4891953949</v>
      </c>
      <c r="S48" s="203">
        <f t="shared" si="8"/>
        <v>1028807.5415333257</v>
      </c>
      <c r="T48" s="203">
        <f t="shared" si="8"/>
        <v>1044239.6546563255</v>
      </c>
      <c r="U48" s="203">
        <f t="shared" si="8"/>
        <v>1059903.2494761702</v>
      </c>
      <c r="V48" s="204">
        <f t="shared" si="8"/>
        <v>1075801.7982183127</v>
      </c>
    </row>
    <row r="49" spans="2:22">
      <c r="C49" s="222"/>
      <c r="D49" s="222"/>
      <c r="G49" s="223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</row>
    <row r="50" spans="2:22">
      <c r="E50" s="207" t="s">
        <v>358</v>
      </c>
      <c r="F50" s="208" t="s">
        <v>359</v>
      </c>
    </row>
    <row r="51" spans="2:22">
      <c r="E51" s="209" cm="1">
        <f t="array" ref="E51">INDEX(LINEST(INDEX(C45:G45,COUNTBLANK(C45:G45)+1):G45,LN(INDEX(C43:G43,COUNTBLANK(C45:G45)):INDEX(C43:G43,4)),TRUE,),1)</f>
        <v>132098.23258821722</v>
      </c>
      <c r="F51" s="210" cm="1">
        <f t="array" ref="F51">INDEX(LINEST(INDEX(C45:G45,COUNTBLANK(C45:G45)+1):G45,LN(INDEX(C43:G43,COUNTBLANK(C45:G45)):INDEX(C43:G43,4)),TRUE,),2)</f>
        <v>658877.05148520565</v>
      </c>
    </row>
    <row r="52" spans="2:22">
      <c r="E52" s="192"/>
      <c r="F52" s="192"/>
    </row>
    <row r="53" spans="2:22">
      <c r="E53" s="801" t="s">
        <v>360</v>
      </c>
      <c r="F53" s="802"/>
    </row>
    <row r="54" spans="2:22">
      <c r="E54" s="213" t="s">
        <v>361</v>
      </c>
      <c r="F54" s="214">
        <f>G45</f>
        <v>824201.5</v>
      </c>
      <c r="J54" s="190"/>
    </row>
    <row r="55" spans="2:22">
      <c r="E55" s="215" t="s">
        <v>362</v>
      </c>
      <c r="F55" s="216">
        <f>LN(F43)*E51+F51</f>
        <v>842004.0864361549</v>
      </c>
    </row>
    <row r="56" spans="2:22">
      <c r="D56" s="192"/>
      <c r="E56" s="217" t="s">
        <v>363</v>
      </c>
      <c r="F56" s="209">
        <f>F54-F55+F51</f>
        <v>641074.46504905075</v>
      </c>
      <c r="G56" s="211"/>
    </row>
    <row r="57" spans="2:22">
      <c r="D57" s="192"/>
      <c r="E57" s="192"/>
      <c r="F57" s="190"/>
      <c r="G57" s="211"/>
    </row>
    <row r="58" spans="2:22">
      <c r="D58" s="192"/>
      <c r="E58" s="192"/>
      <c r="F58" s="190"/>
      <c r="G58" s="211"/>
    </row>
    <row r="60" spans="2:22">
      <c r="B60" s="797" t="s">
        <v>366</v>
      </c>
      <c r="C60" s="173">
        <f>C$7</f>
        <v>2017</v>
      </c>
      <c r="D60" s="174">
        <f>D$7</f>
        <v>2018</v>
      </c>
      <c r="E60" s="174">
        <f>E$7</f>
        <v>2019</v>
      </c>
      <c r="F60" s="174">
        <f>F$7</f>
        <v>2020</v>
      </c>
      <c r="G60" s="175">
        <f>G$7</f>
        <v>2021</v>
      </c>
      <c r="H60" s="174">
        <f>G60+1</f>
        <v>2022</v>
      </c>
      <c r="I60" s="174">
        <f>H60+1</f>
        <v>2023</v>
      </c>
      <c r="J60" s="174">
        <f t="shared" ref="J60:U61" si="9">I60+1</f>
        <v>2024</v>
      </c>
      <c r="K60" s="174">
        <f t="shared" si="9"/>
        <v>2025</v>
      </c>
      <c r="L60" s="174">
        <f t="shared" si="9"/>
        <v>2026</v>
      </c>
      <c r="M60" s="174">
        <f t="shared" si="9"/>
        <v>2027</v>
      </c>
      <c r="N60" s="174">
        <f t="shared" si="9"/>
        <v>2028</v>
      </c>
      <c r="O60" s="174">
        <f t="shared" si="9"/>
        <v>2029</v>
      </c>
      <c r="P60" s="174">
        <f t="shared" si="9"/>
        <v>2030</v>
      </c>
      <c r="Q60" s="174">
        <f t="shared" si="9"/>
        <v>2031</v>
      </c>
      <c r="R60" s="174">
        <f t="shared" si="9"/>
        <v>2032</v>
      </c>
      <c r="S60" s="174">
        <f t="shared" si="9"/>
        <v>2033</v>
      </c>
      <c r="T60" s="174">
        <f t="shared" si="9"/>
        <v>2034</v>
      </c>
      <c r="U60" s="174">
        <f t="shared" si="9"/>
        <v>2035</v>
      </c>
      <c r="V60" s="176">
        <f>U60+1</f>
        <v>2036</v>
      </c>
    </row>
    <row r="61" spans="2:22">
      <c r="B61" s="798"/>
      <c r="C61" s="179">
        <f>C$8</f>
        <v>1</v>
      </c>
      <c r="D61" s="180">
        <f>D$8</f>
        <v>2</v>
      </c>
      <c r="E61" s="180">
        <f>E$8</f>
        <v>3</v>
      </c>
      <c r="F61" s="180">
        <f>F$8</f>
        <v>4</v>
      </c>
      <c r="G61" s="181">
        <f>G$8</f>
        <v>5</v>
      </c>
      <c r="H61" s="180">
        <f>G61+1</f>
        <v>6</v>
      </c>
      <c r="I61" s="180">
        <f>H61+1</f>
        <v>7</v>
      </c>
      <c r="J61" s="180">
        <f t="shared" si="9"/>
        <v>8</v>
      </c>
      <c r="K61" s="180">
        <f t="shared" si="9"/>
        <v>9</v>
      </c>
      <c r="L61" s="180">
        <f t="shared" si="9"/>
        <v>10</v>
      </c>
      <c r="M61" s="180">
        <f t="shared" si="9"/>
        <v>11</v>
      </c>
      <c r="N61" s="180">
        <f t="shared" si="9"/>
        <v>12</v>
      </c>
      <c r="O61" s="180">
        <f t="shared" si="9"/>
        <v>13</v>
      </c>
      <c r="P61" s="180">
        <f t="shared" si="9"/>
        <v>14</v>
      </c>
      <c r="Q61" s="180">
        <f t="shared" si="9"/>
        <v>15</v>
      </c>
      <c r="R61" s="180">
        <f t="shared" si="9"/>
        <v>16</v>
      </c>
      <c r="S61" s="180">
        <f t="shared" si="9"/>
        <v>17</v>
      </c>
      <c r="T61" s="180">
        <f t="shared" si="9"/>
        <v>18</v>
      </c>
      <c r="U61" s="180">
        <f t="shared" si="9"/>
        <v>19</v>
      </c>
      <c r="V61" s="182">
        <f>U61+1</f>
        <v>20</v>
      </c>
    </row>
    <row r="62" spans="2:22">
      <c r="B62" s="218" t="s">
        <v>353</v>
      </c>
      <c r="C62" s="184">
        <f>IF('EE.FF Económicos'!D39=0,"",-'EE.FF Económicos'!D39)</f>
        <v>487579</v>
      </c>
      <c r="D62" s="185">
        <f>IF('EE.FF Económicos'!E39=0,"",-'EE.FF Económicos'!E39)</f>
        <v>603139</v>
      </c>
      <c r="E62" s="185">
        <f>IF('EE.FF Económicos'!F39=0,"",-'EE.FF Económicos'!F39)</f>
        <v>651838</v>
      </c>
      <c r="F62" s="185">
        <f>IF('EE.FF Económicos'!G39=0,"",-'EE.FF Económicos'!G39)</f>
        <v>688428</v>
      </c>
      <c r="G62" s="186">
        <f>IF('EE.FF Económicos'!H39=0,"",-'EE.FF Económicos'!H39)</f>
        <v>732928</v>
      </c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20"/>
    </row>
    <row r="63" spans="2:22">
      <c r="B63" s="221" t="s">
        <v>354</v>
      </c>
      <c r="C63" s="189"/>
      <c r="D63" s="190">
        <f>IF(C62="","",AVERAGE(C62:D62))</f>
        <v>545359</v>
      </c>
      <c r="E63" s="190">
        <f>IF(D62="","",AVERAGE(D62:E62))</f>
        <v>627488.5</v>
      </c>
      <c r="F63" s="190">
        <f>IF(E62="","",AVERAGE(E62:F62))</f>
        <v>670133</v>
      </c>
      <c r="G63" s="191">
        <f>IF(F62="","",AVERAGE(F62:G62))</f>
        <v>710678</v>
      </c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3"/>
    </row>
    <row r="64" spans="2:22">
      <c r="B64" s="221" t="s">
        <v>355</v>
      </c>
      <c r="C64" s="189"/>
      <c r="D64" s="190"/>
      <c r="E64" s="190"/>
      <c r="F64" s="190"/>
      <c r="G64" s="191">
        <f t="shared" ref="G64:V64" si="10">LN(F61)*$E$69+$F$74</f>
        <v>710678</v>
      </c>
      <c r="H64" s="190">
        <f t="shared" si="10"/>
        <v>736909.03945341019</v>
      </c>
      <c r="I64" s="190">
        <f t="shared" si="10"/>
        <v>758341.35923725716</v>
      </c>
      <c r="J64" s="190">
        <f t="shared" si="10"/>
        <v>776462.12741766986</v>
      </c>
      <c r="K64" s="190">
        <f t="shared" si="10"/>
        <v>792159.05079983175</v>
      </c>
      <c r="L64" s="190">
        <f t="shared" si="10"/>
        <v>806004.71847451443</v>
      </c>
      <c r="M64" s="190">
        <f t="shared" si="10"/>
        <v>818390.09025324206</v>
      </c>
      <c r="N64" s="190">
        <f t="shared" si="10"/>
        <v>829594.02185706643</v>
      </c>
      <c r="O64" s="190">
        <f t="shared" si="10"/>
        <v>839822.41003708914</v>
      </c>
      <c r="P64" s="190">
        <f t="shared" si="10"/>
        <v>849231.61505590612</v>
      </c>
      <c r="Q64" s="190">
        <f t="shared" si="10"/>
        <v>857943.17821750185</v>
      </c>
      <c r="R64" s="190">
        <f t="shared" si="10"/>
        <v>866053.44949049933</v>
      </c>
      <c r="S64" s="190">
        <f t="shared" si="10"/>
        <v>873640.10159966373</v>
      </c>
      <c r="T64" s="190">
        <f t="shared" si="10"/>
        <v>880766.66581068025</v>
      </c>
      <c r="U64" s="190">
        <f t="shared" si="10"/>
        <v>887485.7692743463</v>
      </c>
      <c r="V64" s="194">
        <f t="shared" si="10"/>
        <v>893841.49591723643</v>
      </c>
    </row>
    <row r="65" spans="2:22">
      <c r="B65" s="433" t="s">
        <v>356</v>
      </c>
      <c r="C65" s="195"/>
      <c r="D65" s="196"/>
      <c r="E65" s="196"/>
      <c r="F65" s="196"/>
      <c r="G65" s="197"/>
      <c r="H65" s="196">
        <f>IF(H$12&gt;'EE.FF Económicos'!$D$53,H64/G64-1,'EE.FF Económicos'!$D$53)</f>
        <v>3.6909879654935418E-2</v>
      </c>
      <c r="I65" s="196">
        <f>IF(I$12&gt;'EE.FF Económicos'!$D$53,I64/H64-1,'EE.FF Económicos'!$D$53)</f>
        <v>2.9084077730602953E-2</v>
      </c>
      <c r="J65" s="196">
        <f>IF(J$12&gt;'EE.FF Económicos'!$D$53,J64/I64-1,'EE.FF Económicos'!$D$53)</f>
        <v>2.3895265581503677E-2</v>
      </c>
      <c r="K65" s="196">
        <f>IF(K$12&gt;'EE.FF Económicos'!$D$53,K64/J64-1,'EE.FF Económicos'!$D$53)</f>
        <v>2.0215954942150338E-2</v>
      </c>
      <c r="L65" s="196">
        <f>IF(L$12&gt;'EE.FF Económicos'!$D$53,L64/K64-1,'EE.FF Económicos'!$D$53)</f>
        <v>1.7478393588639785E-2</v>
      </c>
      <c r="M65" s="196">
        <f>IF(M$12&gt;'EE.FF Económicos'!$D$53,M64/L64-1,'EE.FF Económicos'!$D$53)</f>
        <v>1.5366376269073001E-2</v>
      </c>
      <c r="N65" s="196">
        <f>IF(N$12&gt;'EE.FF Económicos'!$D$53,N64/M64-1,'EE.FF Económicos'!$D$53)</f>
        <v>1.3690209274598519E-2</v>
      </c>
      <c r="O65" s="196">
        <f>IF(O$12&gt;'EE.FF Económicos'!$D$53,O64/N64-1,'EE.FF Económicos'!$D$53)</f>
        <v>1.2329389931145185E-2</v>
      </c>
      <c r="P65" s="196">
        <f>IF(P$12&gt;'EE.FF Económicos'!$D$53,P64/O64-1,'EE.FF Económicos'!$D$53)</f>
        <v>1.4999999999999999E-2</v>
      </c>
      <c r="Q65" s="196">
        <f>IF(Q$12&gt;'EE.FF Económicos'!$D$53,Q64/P64-1,'EE.FF Económicos'!$D$53)</f>
        <v>1.4999999999999999E-2</v>
      </c>
      <c r="R65" s="196">
        <f>IF(R$12&gt;'EE.FF Económicos'!$D$53,R64/Q64-1,'EE.FF Económicos'!$D$53)</f>
        <v>1.4999999999999999E-2</v>
      </c>
      <c r="S65" s="196">
        <f>IF(S$12&gt;'EE.FF Económicos'!$D$53,S64/R64-1,'EE.FF Económicos'!$D$53)</f>
        <v>1.4999999999999999E-2</v>
      </c>
      <c r="T65" s="196">
        <f>IF(T$12&gt;'EE.FF Económicos'!$D$53,T64/S64-1,'EE.FF Económicos'!$D$53)</f>
        <v>1.4999999999999999E-2</v>
      </c>
      <c r="U65" s="196">
        <f>IF(U$12&gt;'EE.FF Económicos'!$D$53,U64/T64-1,'EE.FF Económicos'!$D$53)</f>
        <v>1.4999999999999999E-2</v>
      </c>
      <c r="V65" s="196">
        <f>IF(V$12&gt;'EE.FF Económicos'!$D$53,V64/U64-1,'EE.FF Económicos'!$D$53)</f>
        <v>1.4999999999999999E-2</v>
      </c>
    </row>
    <row r="66" spans="2:22">
      <c r="B66" s="199" t="s">
        <v>357</v>
      </c>
      <c r="C66" s="229">
        <f>C62</f>
        <v>487579</v>
      </c>
      <c r="D66" s="203">
        <f>D62</f>
        <v>603139</v>
      </c>
      <c r="E66" s="203">
        <f>E62</f>
        <v>651838</v>
      </c>
      <c r="F66" s="203">
        <f>F62</f>
        <v>688428</v>
      </c>
      <c r="G66" s="230">
        <f>G62</f>
        <v>732928</v>
      </c>
      <c r="H66" s="203">
        <f>G64*(1+H65)</f>
        <v>736909.03945341019</v>
      </c>
      <c r="I66" s="203">
        <f t="shared" ref="I66:V66" si="11">H66*(1+I65)</f>
        <v>758341.35923725716</v>
      </c>
      <c r="J66" s="203">
        <f t="shared" si="11"/>
        <v>776462.12741766986</v>
      </c>
      <c r="K66" s="203">
        <f t="shared" si="11"/>
        <v>792159.05079983163</v>
      </c>
      <c r="L66" s="203">
        <f t="shared" si="11"/>
        <v>806004.71847451443</v>
      </c>
      <c r="M66" s="203">
        <f t="shared" si="11"/>
        <v>818390.09025324206</v>
      </c>
      <c r="N66" s="203">
        <f t="shared" si="11"/>
        <v>829594.02185706655</v>
      </c>
      <c r="O66" s="203">
        <f t="shared" si="11"/>
        <v>839822.41003708926</v>
      </c>
      <c r="P66" s="203">
        <f t="shared" si="11"/>
        <v>852419.74618764548</v>
      </c>
      <c r="Q66" s="203">
        <f t="shared" si="11"/>
        <v>865206.04238046007</v>
      </c>
      <c r="R66" s="203">
        <f t="shared" si="11"/>
        <v>878184.13301616686</v>
      </c>
      <c r="S66" s="203">
        <f t="shared" si="11"/>
        <v>891356.8950114093</v>
      </c>
      <c r="T66" s="203">
        <f t="shared" si="11"/>
        <v>904727.24843658041</v>
      </c>
      <c r="U66" s="203">
        <f t="shared" si="11"/>
        <v>918298.15716312907</v>
      </c>
      <c r="V66" s="204">
        <f t="shared" si="11"/>
        <v>932072.62952057587</v>
      </c>
    </row>
    <row r="68" spans="2:22">
      <c r="E68" s="207" t="s">
        <v>358</v>
      </c>
      <c r="F68" s="208" t="s">
        <v>359</v>
      </c>
    </row>
    <row r="69" spans="2:22">
      <c r="E69" s="209" cm="1">
        <f t="array" ref="E69">INDEX(LINEST(INDEX(C63:G63,COUNTBLANK(C63:G63)+1):G63,LN(INDEX(C61:G61,COUNTBLANK(C63:G63)):INDEX(C61:G61,4)),TRUE,),1)</f>
        <v>117552.30791533917</v>
      </c>
      <c r="F69" s="210" cm="1">
        <f t="array" ref="F69">INDEX(LINEST(INDEX(C63:G63,COUNTBLANK(C63:G63)+1):G63,LN(INDEX(C61:G61,COUNTBLANK(C63:G63)):INDEX(C61:G61,4)),TRUE,),2)</f>
        <v>545017.73439085379</v>
      </c>
    </row>
    <row r="70" spans="2:22">
      <c r="E70" s="192"/>
      <c r="F70" s="192"/>
    </row>
    <row r="71" spans="2:22">
      <c r="E71" s="801" t="s">
        <v>360</v>
      </c>
      <c r="F71" s="802"/>
    </row>
    <row r="72" spans="2:22">
      <c r="E72" s="213" t="s">
        <v>361</v>
      </c>
      <c r="F72" s="214">
        <f>G63</f>
        <v>710678</v>
      </c>
      <c r="J72" s="190"/>
    </row>
    <row r="73" spans="2:22">
      <c r="E73" s="215" t="s">
        <v>362</v>
      </c>
      <c r="F73" s="216">
        <f>LN(F61)*E69+F69</f>
        <v>707979.83599051763</v>
      </c>
    </row>
    <row r="74" spans="2:22">
      <c r="E74" s="217" t="s">
        <v>363</v>
      </c>
      <c r="F74" s="209">
        <f>F72-F73+F69</f>
        <v>547715.89840033615</v>
      </c>
    </row>
    <row r="78" spans="2:22">
      <c r="B78" s="797" t="s">
        <v>367</v>
      </c>
      <c r="C78" s="173">
        <f>C$7</f>
        <v>2017</v>
      </c>
      <c r="D78" s="174">
        <f>D$7</f>
        <v>2018</v>
      </c>
      <c r="E78" s="174">
        <f>E$7</f>
        <v>2019</v>
      </c>
      <c r="F78" s="174">
        <f>F$7</f>
        <v>2020</v>
      </c>
      <c r="G78" s="175">
        <f>G$7</f>
        <v>2021</v>
      </c>
      <c r="H78" s="174">
        <f>G78+1</f>
        <v>2022</v>
      </c>
      <c r="I78" s="174">
        <f>H78+1</f>
        <v>2023</v>
      </c>
      <c r="J78" s="174">
        <f t="shared" ref="J78:U79" si="12">I78+1</f>
        <v>2024</v>
      </c>
      <c r="K78" s="174">
        <f t="shared" si="12"/>
        <v>2025</v>
      </c>
      <c r="L78" s="174">
        <f t="shared" si="12"/>
        <v>2026</v>
      </c>
      <c r="M78" s="174">
        <f t="shared" si="12"/>
        <v>2027</v>
      </c>
      <c r="N78" s="174">
        <f t="shared" si="12"/>
        <v>2028</v>
      </c>
      <c r="O78" s="174">
        <f t="shared" si="12"/>
        <v>2029</v>
      </c>
      <c r="P78" s="174">
        <f t="shared" si="12"/>
        <v>2030</v>
      </c>
      <c r="Q78" s="174">
        <f t="shared" si="12"/>
        <v>2031</v>
      </c>
      <c r="R78" s="174">
        <f t="shared" si="12"/>
        <v>2032</v>
      </c>
      <c r="S78" s="174">
        <f t="shared" si="12"/>
        <v>2033</v>
      </c>
      <c r="T78" s="174">
        <f t="shared" si="12"/>
        <v>2034</v>
      </c>
      <c r="U78" s="174">
        <f t="shared" si="12"/>
        <v>2035</v>
      </c>
      <c r="V78" s="176">
        <f>U78+1</f>
        <v>2036</v>
      </c>
    </row>
    <row r="79" spans="2:22">
      <c r="B79" s="798"/>
      <c r="C79" s="179">
        <f>C$8</f>
        <v>1</v>
      </c>
      <c r="D79" s="180">
        <f>D$8</f>
        <v>2</v>
      </c>
      <c r="E79" s="180">
        <f>E$8</f>
        <v>3</v>
      </c>
      <c r="F79" s="180">
        <f>F$8</f>
        <v>4</v>
      </c>
      <c r="G79" s="181">
        <f>G$8</f>
        <v>5</v>
      </c>
      <c r="H79" s="180">
        <f>G79+1</f>
        <v>6</v>
      </c>
      <c r="I79" s="180">
        <f>H79+1</f>
        <v>7</v>
      </c>
      <c r="J79" s="180">
        <f t="shared" si="12"/>
        <v>8</v>
      </c>
      <c r="K79" s="180">
        <f t="shared" si="12"/>
        <v>9</v>
      </c>
      <c r="L79" s="180">
        <f t="shared" si="12"/>
        <v>10</v>
      </c>
      <c r="M79" s="180">
        <f t="shared" si="12"/>
        <v>11</v>
      </c>
      <c r="N79" s="180">
        <f t="shared" si="12"/>
        <v>12</v>
      </c>
      <c r="O79" s="180">
        <f t="shared" si="12"/>
        <v>13</v>
      </c>
      <c r="P79" s="180">
        <f t="shared" si="12"/>
        <v>14</v>
      </c>
      <c r="Q79" s="180">
        <f t="shared" si="12"/>
        <v>15</v>
      </c>
      <c r="R79" s="180">
        <f t="shared" si="12"/>
        <v>16</v>
      </c>
      <c r="S79" s="180">
        <f t="shared" si="12"/>
        <v>17</v>
      </c>
      <c r="T79" s="180">
        <f t="shared" si="12"/>
        <v>18</v>
      </c>
      <c r="U79" s="180">
        <f t="shared" si="12"/>
        <v>19</v>
      </c>
      <c r="V79" s="182">
        <f>U79+1</f>
        <v>20</v>
      </c>
    </row>
    <row r="80" spans="2:22">
      <c r="B80" s="218" t="s">
        <v>353</v>
      </c>
      <c r="C80" s="184">
        <f>IF('EE.FF Económicos'!D40=0,"",'EE.FF Económicos'!D40)</f>
        <v>-42607</v>
      </c>
      <c r="D80" s="185">
        <f>IF('EE.FF Económicos'!E40=0,"",'EE.FF Económicos'!E40)</f>
        <v>26059</v>
      </c>
      <c r="E80" s="185">
        <f>IF('EE.FF Económicos'!F40=0,"",'EE.FF Económicos'!F40)</f>
        <v>-49856</v>
      </c>
      <c r="F80" s="185">
        <f>IF('EE.FF Económicos'!G40=0,"",'EE.FF Económicos'!G40)</f>
        <v>-75085</v>
      </c>
      <c r="G80" s="186">
        <f>IF('EE.FF Económicos'!H40=0,"",'EE.FF Económicos'!H40)</f>
        <v>39531</v>
      </c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20"/>
    </row>
    <row r="81" spans="2:22">
      <c r="B81" s="221" t="s">
        <v>354</v>
      </c>
      <c r="C81" s="189"/>
      <c r="D81" s="190">
        <f>IF(C80="","",AVERAGE(C80:D80))</f>
        <v>-8274</v>
      </c>
      <c r="E81" s="190">
        <f>IF(D80="","",AVERAGE(D80:E80))</f>
        <v>-11898.5</v>
      </c>
      <c r="F81" s="190">
        <f>IF(E80="","",AVERAGE(E80:F80))</f>
        <v>-62470.5</v>
      </c>
      <c r="G81" s="191">
        <f>IF(F80="","",AVERAGE(F80:G80))</f>
        <v>-17777</v>
      </c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3"/>
    </row>
    <row r="82" spans="2:22">
      <c r="B82" s="221" t="s">
        <v>355</v>
      </c>
      <c r="C82" s="189"/>
      <c r="D82" s="190"/>
      <c r="E82" s="190"/>
      <c r="F82" s="190"/>
      <c r="G82" s="191">
        <f t="shared" ref="G82:V82" si="13">LN(F79)*$E$87+$F$92</f>
        <v>-17777</v>
      </c>
      <c r="H82" s="190">
        <f>LN(G79)*$E$87+$F$92</f>
        <v>-22250.827313081259</v>
      </c>
      <c r="I82" s="190">
        <f t="shared" si="13"/>
        <v>-25906.210387090563</v>
      </c>
      <c r="J82" s="190">
        <f t="shared" si="13"/>
        <v>-28996.79273948013</v>
      </c>
      <c r="K82" s="190">
        <f t="shared" si="13"/>
        <v>-31673.976946502851</v>
      </c>
      <c r="L82" s="190">
        <f t="shared" si="13"/>
        <v>-34035.420774181133</v>
      </c>
      <c r="M82" s="190">
        <f t="shared" si="13"/>
        <v>-36147.804259584111</v>
      </c>
      <c r="N82" s="190">
        <f t="shared" si="13"/>
        <v>-38058.687559199861</v>
      </c>
      <c r="O82" s="190">
        <f t="shared" si="13"/>
        <v>-39803.187333593414</v>
      </c>
      <c r="P82" s="190">
        <f t="shared" si="13"/>
        <v>-41407.971561924562</v>
      </c>
      <c r="Q82" s="190">
        <f t="shared" si="13"/>
        <v>-42893.769685982974</v>
      </c>
      <c r="R82" s="190">
        <f t="shared" si="13"/>
        <v>-44277.014646674674</v>
      </c>
      <c r="S82" s="190">
        <f t="shared" si="13"/>
        <v>-45570.953893005702</v>
      </c>
      <c r="T82" s="190">
        <f t="shared" si="13"/>
        <v>-46786.422981537311</v>
      </c>
      <c r="U82" s="190">
        <f t="shared" si="13"/>
        <v>-47932.397720683977</v>
      </c>
      <c r="V82" s="194">
        <f t="shared" si="13"/>
        <v>-49016.396831734979</v>
      </c>
    </row>
    <row r="83" spans="2:22">
      <c r="B83" s="433" t="s">
        <v>356</v>
      </c>
      <c r="C83" s="195"/>
      <c r="D83" s="196"/>
      <c r="E83" s="196"/>
      <c r="F83" s="196"/>
      <c r="G83" s="197"/>
      <c r="H83" s="196">
        <f>IF(H$12&gt;'EE.FF Económicos'!$D$53,H82/G82-1,'EE.FF Económicos'!$D$53)</f>
        <v>0.2516637966519244</v>
      </c>
      <c r="I83" s="196">
        <f>IF(I$12&gt;'EE.FF Económicos'!$D$53,I82/H82-1,'EE.FF Económicos'!$D$53)</f>
        <v>0.16428077134283914</v>
      </c>
      <c r="J83" s="196">
        <f>IF(J$12&gt;'EE.FF Económicos'!$D$53,J82/I82-1,'EE.FF Económicos'!$D$53)</f>
        <v>0.11929889807154681</v>
      </c>
      <c r="K83" s="196">
        <f>IF(K$12&gt;'EE.FF Económicos'!$D$53,K82/J82-1,'EE.FF Económicos'!$D$53)</f>
        <v>9.2326907705818195E-2</v>
      </c>
      <c r="L83" s="196">
        <f>IF(L$12&gt;'EE.FF Económicos'!$D$53,L82/K82-1,'EE.FF Económicos'!$D$53)</f>
        <v>7.4554699325150908E-2</v>
      </c>
      <c r="M83" s="196">
        <f>IF(M$12&gt;'EE.FF Económicos'!$D$53,M82/L82-1,'EE.FF Económicos'!$D$53)</f>
        <v>6.2064268263884781E-2</v>
      </c>
      <c r="N83" s="196">
        <f>IF(N$12&gt;'EE.FF Económicos'!$D$53,N82/M82-1,'EE.FF Económicos'!$D$53)</f>
        <v>5.2863053199396104E-2</v>
      </c>
      <c r="O83" s="196">
        <f>IF(O$12&gt;'EE.FF Económicos'!$D$53,O82/N82-1,'EE.FF Económicos'!$D$53)</f>
        <v>4.5837097553088402E-2</v>
      </c>
      <c r="P83" s="196">
        <f>IF(P$12&gt;'EE.FF Económicos'!$D$53,P82/O82-1,'EE.FF Económicos'!$D$53)</f>
        <v>1.4999999999999999E-2</v>
      </c>
      <c r="Q83" s="196">
        <f>IF(Q$12&gt;'EE.FF Económicos'!$D$53,Q82/P82-1,'EE.FF Económicos'!$D$53)</f>
        <v>1.4999999999999999E-2</v>
      </c>
      <c r="R83" s="196">
        <f>IF(R$12&gt;'EE.FF Económicos'!$D$53,R82/Q82-1,'EE.FF Económicos'!$D$53)</f>
        <v>1.4999999999999999E-2</v>
      </c>
      <c r="S83" s="196">
        <f>IF(S$12&gt;'EE.FF Económicos'!$D$53,S82/R82-1,'EE.FF Económicos'!$D$53)</f>
        <v>1.4999999999999999E-2</v>
      </c>
      <c r="T83" s="196">
        <f>IF(T$12&gt;'EE.FF Económicos'!$D$53,T82/S82-1,'EE.FF Económicos'!$D$53)</f>
        <v>1.4999999999999999E-2</v>
      </c>
      <c r="U83" s="196">
        <f>IF(U$12&gt;'EE.FF Económicos'!$D$53,U82/T82-1,'EE.FF Económicos'!$D$53)</f>
        <v>1.4999999999999999E-2</v>
      </c>
      <c r="V83" s="196">
        <f>IF(V$12&gt;'EE.FF Económicos'!$D$53,V82/U82-1,'EE.FF Económicos'!$D$53)</f>
        <v>1.4999999999999999E-2</v>
      </c>
    </row>
    <row r="84" spans="2:22">
      <c r="B84" s="199" t="s">
        <v>357</v>
      </c>
      <c r="C84" s="200"/>
      <c r="D84" s="201"/>
      <c r="E84" s="201"/>
      <c r="F84" s="201"/>
      <c r="G84" s="202"/>
      <c r="H84" s="203">
        <f>G82*(1+H83)</f>
        <v>-22250.827313081259</v>
      </c>
      <c r="I84" s="203">
        <f t="shared" ref="I84:V84" si="14">H84*(1+I83)</f>
        <v>-25906.210387090563</v>
      </c>
      <c r="J84" s="203">
        <f t="shared" si="14"/>
        <v>-28996.792739480126</v>
      </c>
      <c r="K84" s="203">
        <f t="shared" si="14"/>
        <v>-31673.976946502848</v>
      </c>
      <c r="L84" s="203">
        <f t="shared" si="14"/>
        <v>-34035.420774181126</v>
      </c>
      <c r="M84" s="203">
        <f t="shared" si="14"/>
        <v>-36147.804259584103</v>
      </c>
      <c r="N84" s="203">
        <f t="shared" si="14"/>
        <v>-38058.687559199854</v>
      </c>
      <c r="O84" s="203">
        <f t="shared" si="14"/>
        <v>-39803.187333593407</v>
      </c>
      <c r="P84" s="203">
        <f t="shared" si="14"/>
        <v>-40400.235143597303</v>
      </c>
      <c r="Q84" s="203">
        <f t="shared" si="14"/>
        <v>-41006.238670751256</v>
      </c>
      <c r="R84" s="203">
        <f t="shared" si="14"/>
        <v>-41621.33225081252</v>
      </c>
      <c r="S84" s="203">
        <f t="shared" si="14"/>
        <v>-42245.652234574707</v>
      </c>
      <c r="T84" s="203">
        <f t="shared" si="14"/>
        <v>-42879.337018093327</v>
      </c>
      <c r="U84" s="203">
        <f t="shared" si="14"/>
        <v>-43522.527073364719</v>
      </c>
      <c r="V84" s="204">
        <f t="shared" si="14"/>
        <v>-44175.364979465186</v>
      </c>
    </row>
    <row r="85" spans="2:22"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</row>
    <row r="86" spans="2:22">
      <c r="E86" s="207" t="s">
        <v>358</v>
      </c>
      <c r="F86" s="208" t="s">
        <v>359</v>
      </c>
    </row>
    <row r="87" spans="2:22">
      <c r="E87" s="209" cm="1">
        <f t="array" ref="E87">INDEX(LINEST(INDEX(C81:G81,COUNTBLANK(C81:G81)+1):G81,LN(INDEX(C79:G79,COUNTBLANK(C81:G81)):INDEX(C79:G79,4)),TRUE,),1)</f>
        <v>-20049.09972406791</v>
      </c>
      <c r="F87" s="210" cm="1">
        <f t="array" ref="F87">INDEX(LINEST(INDEX(C81:G81,COUNTBLANK(C81:G81)+1):G81,LN(INDEX(C79:G79,COUNTBLANK(C81:G81)):INDEX(C79:G79,4)),TRUE,),2)</f>
        <v>-9175.7204567245117</v>
      </c>
    </row>
    <row r="88" spans="2:22">
      <c r="E88" s="192"/>
      <c r="F88" s="192"/>
    </row>
    <row r="89" spans="2:22">
      <c r="E89" s="801" t="s">
        <v>360</v>
      </c>
      <c r="F89" s="802"/>
    </row>
    <row r="90" spans="2:22">
      <c r="E90" s="213" t="s">
        <v>361</v>
      </c>
      <c r="F90" s="214">
        <f>G81</f>
        <v>-17777</v>
      </c>
    </row>
    <row r="91" spans="2:22">
      <c r="E91" s="215" t="s">
        <v>362</v>
      </c>
      <c r="F91" s="216">
        <f>LN(F79)*E87+F87</f>
        <v>-36969.674349730209</v>
      </c>
    </row>
    <row r="92" spans="2:22" s="192" customFormat="1">
      <c r="E92" s="217" t="s">
        <v>363</v>
      </c>
      <c r="F92" s="209">
        <f>F90-F91+F87</f>
        <v>10016.953893005697</v>
      </c>
      <c r="G92" s="211"/>
    </row>
    <row r="96" spans="2:22">
      <c r="B96" s="797" t="s">
        <v>342</v>
      </c>
      <c r="C96" s="173">
        <f>C$7</f>
        <v>2017</v>
      </c>
      <c r="D96" s="174">
        <f>D$7</f>
        <v>2018</v>
      </c>
      <c r="E96" s="174">
        <f>E$7</f>
        <v>2019</v>
      </c>
      <c r="F96" s="174">
        <f>F$7</f>
        <v>2020</v>
      </c>
      <c r="G96" s="175">
        <f>G$7</f>
        <v>2021</v>
      </c>
      <c r="H96" s="174">
        <f>G96+1</f>
        <v>2022</v>
      </c>
      <c r="I96" s="174">
        <f>H96+1</f>
        <v>2023</v>
      </c>
      <c r="J96" s="174">
        <f t="shared" ref="J96:U97" si="15">I96+1</f>
        <v>2024</v>
      </c>
      <c r="K96" s="174">
        <f t="shared" si="15"/>
        <v>2025</v>
      </c>
      <c r="L96" s="174">
        <f t="shared" si="15"/>
        <v>2026</v>
      </c>
      <c r="M96" s="174">
        <f t="shared" si="15"/>
        <v>2027</v>
      </c>
      <c r="N96" s="174">
        <f t="shared" si="15"/>
        <v>2028</v>
      </c>
      <c r="O96" s="174">
        <f t="shared" si="15"/>
        <v>2029</v>
      </c>
      <c r="P96" s="174">
        <f t="shared" si="15"/>
        <v>2030</v>
      </c>
      <c r="Q96" s="174">
        <f t="shared" si="15"/>
        <v>2031</v>
      </c>
      <c r="R96" s="174">
        <f t="shared" si="15"/>
        <v>2032</v>
      </c>
      <c r="S96" s="174">
        <f t="shared" si="15"/>
        <v>2033</v>
      </c>
      <c r="T96" s="174">
        <f t="shared" si="15"/>
        <v>2034</v>
      </c>
      <c r="U96" s="174">
        <f t="shared" si="15"/>
        <v>2035</v>
      </c>
      <c r="V96" s="176">
        <f>U96+1</f>
        <v>2036</v>
      </c>
    </row>
    <row r="97" spans="2:23">
      <c r="B97" s="798"/>
      <c r="C97" s="179">
        <f>C$8</f>
        <v>1</v>
      </c>
      <c r="D97" s="180">
        <f>D$8</f>
        <v>2</v>
      </c>
      <c r="E97" s="180">
        <f>E$8</f>
        <v>3</v>
      </c>
      <c r="F97" s="180">
        <f>F$8</f>
        <v>4</v>
      </c>
      <c r="G97" s="181">
        <f>G$8</f>
        <v>5</v>
      </c>
      <c r="H97" s="180">
        <f>G97+1</f>
        <v>6</v>
      </c>
      <c r="I97" s="180">
        <f>H97+1</f>
        <v>7</v>
      </c>
      <c r="J97" s="180">
        <f t="shared" si="15"/>
        <v>8</v>
      </c>
      <c r="K97" s="180">
        <f t="shared" si="15"/>
        <v>9</v>
      </c>
      <c r="L97" s="180">
        <f t="shared" si="15"/>
        <v>10</v>
      </c>
      <c r="M97" s="180">
        <f t="shared" si="15"/>
        <v>11</v>
      </c>
      <c r="N97" s="180">
        <f t="shared" si="15"/>
        <v>12</v>
      </c>
      <c r="O97" s="180">
        <f t="shared" si="15"/>
        <v>13</v>
      </c>
      <c r="P97" s="180">
        <f t="shared" si="15"/>
        <v>14</v>
      </c>
      <c r="Q97" s="180">
        <f t="shared" si="15"/>
        <v>15</v>
      </c>
      <c r="R97" s="180">
        <f t="shared" si="15"/>
        <v>16</v>
      </c>
      <c r="S97" s="180">
        <f t="shared" si="15"/>
        <v>17</v>
      </c>
      <c r="T97" s="180">
        <f t="shared" si="15"/>
        <v>18</v>
      </c>
      <c r="U97" s="180">
        <f t="shared" si="15"/>
        <v>19</v>
      </c>
      <c r="V97" s="182">
        <f>U97+1</f>
        <v>20</v>
      </c>
    </row>
    <row r="98" spans="2:23">
      <c r="B98" s="218" t="s">
        <v>353</v>
      </c>
      <c r="C98" s="184">
        <f>IF('EE.FF Económicos'!D43=0,"",'EE.FF Económicos'!D43)</f>
        <v>164314</v>
      </c>
      <c r="D98" s="185">
        <f>IF('EE.FF Económicos'!E43=0,"",'EE.FF Económicos'!E43)</f>
        <v>202775</v>
      </c>
      <c r="E98" s="185">
        <f>IF('EE.FF Económicos'!F43=0,"",'EE.FF Económicos'!F43)</f>
        <v>298028</v>
      </c>
      <c r="F98" s="185">
        <f>IF('EE.FF Económicos'!G43=0,"",'EE.FF Económicos'!G43)</f>
        <v>286071</v>
      </c>
      <c r="G98" s="186">
        <f>IF('EE.FF Económicos'!H43=0,"",'EE.FF Económicos'!H43)</f>
        <v>232476</v>
      </c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20"/>
    </row>
    <row r="99" spans="2:23">
      <c r="B99" s="221" t="s">
        <v>354</v>
      </c>
      <c r="C99" s="189"/>
      <c r="D99" s="190">
        <f>IF(C98="","",AVERAGE(C98:D98))</f>
        <v>183544.5</v>
      </c>
      <c r="E99" s="190">
        <f>IF(D98="","",AVERAGE(D98:E98))</f>
        <v>250401.5</v>
      </c>
      <c r="F99" s="190">
        <f>IF(E98="","",AVERAGE(E98:F98))</f>
        <v>292049.5</v>
      </c>
      <c r="G99" s="191">
        <f>IF(F98="","",AVERAGE(F98:G98))</f>
        <v>259273.5</v>
      </c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3"/>
    </row>
    <row r="100" spans="2:23">
      <c r="B100" s="221" t="s">
        <v>355</v>
      </c>
      <c r="C100" s="189"/>
      <c r="D100" s="190"/>
      <c r="E100" s="190"/>
      <c r="F100" s="190"/>
      <c r="G100" s="191">
        <f t="shared" ref="G100:V100" si="16">LN(F97)*$E$105+$F$110</f>
        <v>259273.5</v>
      </c>
      <c r="H100" s="190">
        <f t="shared" si="16"/>
        <v>273893.22737432458</v>
      </c>
      <c r="I100" s="190">
        <f t="shared" si="16"/>
        <v>285838.41440344369</v>
      </c>
      <c r="J100" s="190">
        <f t="shared" si="16"/>
        <v>295937.92613196297</v>
      </c>
      <c r="K100" s="190">
        <f t="shared" si="16"/>
        <v>304686.52112647181</v>
      </c>
      <c r="L100" s="190">
        <f t="shared" si="16"/>
        <v>312403.32880688732</v>
      </c>
      <c r="M100" s="190">
        <f t="shared" si="16"/>
        <v>319306.2485007965</v>
      </c>
      <c r="N100" s="190">
        <f t="shared" si="16"/>
        <v>325550.6989298166</v>
      </c>
      <c r="O100" s="190">
        <f t="shared" si="16"/>
        <v>331251.4355299155</v>
      </c>
      <c r="P100" s="190">
        <f t="shared" si="16"/>
        <v>336495.60484423325</v>
      </c>
      <c r="Q100" s="190">
        <f t="shared" si="16"/>
        <v>341350.94725843484</v>
      </c>
      <c r="R100" s="190">
        <f t="shared" si="16"/>
        <v>345871.16290424007</v>
      </c>
      <c r="S100" s="190">
        <f t="shared" si="16"/>
        <v>350099.54225294368</v>
      </c>
      <c r="T100" s="190">
        <f t="shared" si="16"/>
        <v>354071.49411042663</v>
      </c>
      <c r="U100" s="190">
        <f t="shared" si="16"/>
        <v>357816.34993335919</v>
      </c>
      <c r="V100" s="194">
        <f t="shared" si="16"/>
        <v>361358.67965879082</v>
      </c>
    </row>
    <row r="101" spans="2:23">
      <c r="B101" s="433" t="s">
        <v>356</v>
      </c>
      <c r="C101" s="195"/>
      <c r="D101" s="196"/>
      <c r="E101" s="196"/>
      <c r="F101" s="196"/>
      <c r="G101" s="197"/>
      <c r="H101" s="196">
        <f>IF(H$12&gt;'EE.FF Económicos'!$D$53,H100/G100-1,'EE.FF Económicos'!$D$53)</f>
        <v>5.6387279742528884E-2</v>
      </c>
      <c r="I101" s="196">
        <f>IF(I$12&gt;'EE.FF Económicos'!$D$53,I100/H100-1,'EE.FF Económicos'!$D$53)</f>
        <v>4.3612568093163828E-2</v>
      </c>
      <c r="J101" s="196">
        <f>IF(J$12&gt;'EE.FF Económicos'!$D$53,J100/I100-1,'EE.FF Económicos'!$D$53)</f>
        <v>3.5332940639197785E-2</v>
      </c>
      <c r="K101" s="196">
        <f>IF(K$12&gt;'EE.FF Económicos'!$D$53,K100/J100-1,'EE.FF Económicos'!$D$53)</f>
        <v>2.9562263643787556E-2</v>
      </c>
      <c r="L101" s="196">
        <f>IF(L$12&gt;'EE.FF Económicos'!$D$53,L100/K100-1,'EE.FF Económicos'!$D$53)</f>
        <v>2.5327039909364357E-2</v>
      </c>
      <c r="M101" s="196">
        <f>IF(M$12&gt;'EE.FF Económicos'!$D$53,M100/L100-1,'EE.FF Económicos'!$D$53)</f>
        <v>2.2096178425090374E-2</v>
      </c>
      <c r="N101" s="196">
        <f>IF(N$12&gt;'EE.FF Económicos'!$D$53,N100/M100-1,'EE.FF Económicos'!$D$53)</f>
        <v>1.9556305140719932E-2</v>
      </c>
      <c r="O101" s="196">
        <f>IF(O$12&gt;'EE.FF Económicos'!$D$53,O100/N100-1,'EE.FF Económicos'!$D$53)</f>
        <v>1.7511056246658274E-2</v>
      </c>
      <c r="P101" s="196">
        <f>IF(P$12&gt;'EE.FF Económicos'!$D$53,P100/O100-1,'EE.FF Económicos'!$D$53)</f>
        <v>1.4999999999999999E-2</v>
      </c>
      <c r="Q101" s="196">
        <f>IF(Q$12&gt;'EE.FF Económicos'!$D$53,Q100/P100-1,'EE.FF Económicos'!$D$53)</f>
        <v>1.4999999999999999E-2</v>
      </c>
      <c r="R101" s="196">
        <f>IF(R$12&gt;'EE.FF Económicos'!$D$53,R100/Q100-1,'EE.FF Económicos'!$D$53)</f>
        <v>1.4999999999999999E-2</v>
      </c>
      <c r="S101" s="196">
        <f>IF(S$12&gt;'EE.FF Económicos'!$D$53,S100/R100-1,'EE.FF Económicos'!$D$53)</f>
        <v>1.4999999999999999E-2</v>
      </c>
      <c r="T101" s="196">
        <f>IF(T$12&gt;'EE.FF Económicos'!$D$53,T100/S100-1,'EE.FF Económicos'!$D$53)</f>
        <v>1.4999999999999999E-2</v>
      </c>
      <c r="U101" s="196">
        <f>IF(U$12&gt;'EE.FF Económicos'!$D$53,U100/T100-1,'EE.FF Económicos'!$D$53)</f>
        <v>1.4999999999999999E-2</v>
      </c>
      <c r="V101" s="196">
        <f>IF(V$12&gt;'EE.FF Económicos'!$D$53,V100/U100-1,'EE.FF Económicos'!$D$53)</f>
        <v>1.4999999999999999E-2</v>
      </c>
    </row>
    <row r="102" spans="2:23">
      <c r="B102" s="199" t="s">
        <v>357</v>
      </c>
      <c r="C102" s="200"/>
      <c r="D102" s="201"/>
      <c r="E102" s="201"/>
      <c r="F102" s="201"/>
      <c r="G102" s="202"/>
      <c r="H102" s="203">
        <f>G100*(1+H101)</f>
        <v>273893.22737432458</v>
      </c>
      <c r="I102" s="203">
        <f t="shared" ref="I102:V102" si="17">H102*(1+I101)</f>
        <v>285838.41440344369</v>
      </c>
      <c r="J102" s="203">
        <f t="shared" si="17"/>
        <v>295937.92613196297</v>
      </c>
      <c r="K102" s="203">
        <f t="shared" si="17"/>
        <v>304686.52112647181</v>
      </c>
      <c r="L102" s="203">
        <f t="shared" si="17"/>
        <v>312403.32880688732</v>
      </c>
      <c r="M102" s="203">
        <f t="shared" si="17"/>
        <v>319306.2485007965</v>
      </c>
      <c r="N102" s="203">
        <f t="shared" si="17"/>
        <v>325550.6989298166</v>
      </c>
      <c r="O102" s="203">
        <f t="shared" si="17"/>
        <v>331251.43552991556</v>
      </c>
      <c r="P102" s="203">
        <f t="shared" si="17"/>
        <v>336220.20706286427</v>
      </c>
      <c r="Q102" s="203">
        <f t="shared" si="17"/>
        <v>341263.51016880717</v>
      </c>
      <c r="R102" s="203">
        <f t="shared" si="17"/>
        <v>346382.46282133926</v>
      </c>
      <c r="S102" s="203">
        <f t="shared" si="17"/>
        <v>351578.19976365933</v>
      </c>
      <c r="T102" s="203">
        <f t="shared" si="17"/>
        <v>356851.8727601142</v>
      </c>
      <c r="U102" s="203">
        <f t="shared" si="17"/>
        <v>362204.65085151588</v>
      </c>
      <c r="V102" s="204">
        <f t="shared" si="17"/>
        <v>367637.72061428858</v>
      </c>
    </row>
    <row r="103" spans="2:23"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</row>
    <row r="104" spans="2:23">
      <c r="E104" s="207" t="s">
        <v>358</v>
      </c>
      <c r="F104" s="208" t="s">
        <v>359</v>
      </c>
    </row>
    <row r="105" spans="2:23">
      <c r="E105" s="209" cm="1">
        <f t="array" ref="E105">INDEX(LINEST(INDEX(C99:G99,COUNTBLANK(C99:G99)+1):G99,LN(INDEX(C97:G97,COUNTBLANK(C99:G99)):INDEX(C97:G97,4)),TRUE,),1)</f>
        <v>65517.140370946647</v>
      </c>
      <c r="F105" s="210" cm="1">
        <f t="array" ref="F105">INDEX(LINEST(INDEX(C99:G99,COUNTBLANK(C99:G99)+1):G99,LN(INDEX(C97:G97,COUNTBLANK(C99:G99)):INDEX(C97:G97,4)),TRUE,),2)</f>
        <v>194263.00027266727</v>
      </c>
    </row>
    <row r="106" spans="2:23">
      <c r="E106" s="192"/>
      <c r="F106" s="192"/>
    </row>
    <row r="107" spans="2:23">
      <c r="E107" s="795" t="s">
        <v>360</v>
      </c>
      <c r="F107" s="796"/>
    </row>
    <row r="108" spans="2:23">
      <c r="C108" s="222"/>
      <c r="D108" s="222"/>
      <c r="E108" s="213" t="s">
        <v>361</v>
      </c>
      <c r="F108" s="214">
        <f>G99</f>
        <v>259273.5</v>
      </c>
      <c r="G108" s="223"/>
    </row>
    <row r="109" spans="2:23">
      <c r="C109" s="222"/>
      <c r="D109" s="222"/>
      <c r="E109" s="215" t="s">
        <v>362</v>
      </c>
      <c r="F109" s="216">
        <f>LN(F97)*E105+F105</f>
        <v>285089.04252561094</v>
      </c>
      <c r="G109" s="223"/>
      <c r="J109" s="190"/>
    </row>
    <row r="110" spans="2:23">
      <c r="C110" s="224"/>
      <c r="D110" s="224"/>
      <c r="E110" s="217" t="s">
        <v>363</v>
      </c>
      <c r="F110" s="209">
        <f>F108-F109+F105</f>
        <v>168447.45774705632</v>
      </c>
      <c r="G110" s="225"/>
    </row>
    <row r="111" spans="2:23">
      <c r="C111" s="224"/>
      <c r="D111" s="224"/>
      <c r="G111" s="225"/>
    </row>
    <row r="112" spans="2:23">
      <c r="C112" s="224"/>
      <c r="D112" s="224"/>
      <c r="G112" s="225"/>
      <c r="W112" s="226"/>
    </row>
    <row r="113" spans="2:23">
      <c r="C113" s="224"/>
      <c r="D113" s="224"/>
      <c r="G113" s="225"/>
      <c r="W113" s="226"/>
    </row>
    <row r="114" spans="2:23">
      <c r="C114" s="224"/>
      <c r="D114" s="224"/>
      <c r="G114" s="225"/>
      <c r="W114" s="226"/>
    </row>
    <row r="115" spans="2:23">
      <c r="B115" s="797" t="s">
        <v>368</v>
      </c>
      <c r="C115" s="173">
        <f>C$7</f>
        <v>2017</v>
      </c>
      <c r="D115" s="174">
        <f>D$7</f>
        <v>2018</v>
      </c>
      <c r="E115" s="174">
        <f>E$7</f>
        <v>2019</v>
      </c>
      <c r="F115" s="174">
        <f>F$7</f>
        <v>2020</v>
      </c>
      <c r="G115" s="175">
        <f>G$7</f>
        <v>2021</v>
      </c>
      <c r="H115" s="174">
        <f>G115+1</f>
        <v>2022</v>
      </c>
      <c r="I115" s="174">
        <f>H115+1</f>
        <v>2023</v>
      </c>
      <c r="J115" s="174">
        <f t="shared" ref="J115:U116" si="18">I115+1</f>
        <v>2024</v>
      </c>
      <c r="K115" s="174">
        <f t="shared" si="18"/>
        <v>2025</v>
      </c>
      <c r="L115" s="174">
        <f t="shared" si="18"/>
        <v>2026</v>
      </c>
      <c r="M115" s="174">
        <f t="shared" si="18"/>
        <v>2027</v>
      </c>
      <c r="N115" s="174">
        <f t="shared" si="18"/>
        <v>2028</v>
      </c>
      <c r="O115" s="174">
        <f t="shared" si="18"/>
        <v>2029</v>
      </c>
      <c r="P115" s="174">
        <f t="shared" si="18"/>
        <v>2030</v>
      </c>
      <c r="Q115" s="174">
        <f t="shared" si="18"/>
        <v>2031</v>
      </c>
      <c r="R115" s="174">
        <f t="shared" si="18"/>
        <v>2032</v>
      </c>
      <c r="S115" s="174">
        <f t="shared" si="18"/>
        <v>2033</v>
      </c>
      <c r="T115" s="174">
        <f t="shared" si="18"/>
        <v>2034</v>
      </c>
      <c r="U115" s="174">
        <f t="shared" si="18"/>
        <v>2035</v>
      </c>
      <c r="V115" s="176">
        <f>U115+1</f>
        <v>2036</v>
      </c>
      <c r="W115" s="226"/>
    </row>
    <row r="116" spans="2:23">
      <c r="B116" s="798"/>
      <c r="C116" s="237">
        <f>C$8</f>
        <v>1</v>
      </c>
      <c r="D116" s="238">
        <f>D$8</f>
        <v>2</v>
      </c>
      <c r="E116" s="238">
        <f>E$8</f>
        <v>3</v>
      </c>
      <c r="F116" s="238">
        <f>F$8</f>
        <v>4</v>
      </c>
      <c r="G116" s="239">
        <f>G$8</f>
        <v>5</v>
      </c>
      <c r="H116" s="180">
        <f>G116+1</f>
        <v>6</v>
      </c>
      <c r="I116" s="180">
        <f>H116+1</f>
        <v>7</v>
      </c>
      <c r="J116" s="180">
        <f t="shared" si="18"/>
        <v>8</v>
      </c>
      <c r="K116" s="180">
        <f t="shared" si="18"/>
        <v>9</v>
      </c>
      <c r="L116" s="180">
        <f t="shared" si="18"/>
        <v>10</v>
      </c>
      <c r="M116" s="180">
        <f t="shared" si="18"/>
        <v>11</v>
      </c>
      <c r="N116" s="180">
        <f t="shared" si="18"/>
        <v>12</v>
      </c>
      <c r="O116" s="180">
        <f t="shared" si="18"/>
        <v>13</v>
      </c>
      <c r="P116" s="180">
        <f t="shared" si="18"/>
        <v>14</v>
      </c>
      <c r="Q116" s="180">
        <f t="shared" si="18"/>
        <v>15</v>
      </c>
      <c r="R116" s="180">
        <f t="shared" si="18"/>
        <v>16</v>
      </c>
      <c r="S116" s="180">
        <f t="shared" si="18"/>
        <v>17</v>
      </c>
      <c r="T116" s="180">
        <f t="shared" si="18"/>
        <v>18</v>
      </c>
      <c r="U116" s="180">
        <f t="shared" si="18"/>
        <v>19</v>
      </c>
      <c r="V116" s="182">
        <f>U116+1</f>
        <v>20</v>
      </c>
      <c r="W116" s="226"/>
    </row>
    <row r="117" spans="2:23">
      <c r="B117" s="183" t="s">
        <v>353</v>
      </c>
      <c r="C117" s="184">
        <f>IF('EE.FF Económicos'!D50=0,"",'EE.FF Económicos'!D50)</f>
        <v>3063714</v>
      </c>
      <c r="D117" s="185">
        <f>IF('EE.FF Económicos'!E50=0,"",'EE.FF Económicos'!E50)</f>
        <v>3898978</v>
      </c>
      <c r="E117" s="185">
        <f>IF('EE.FF Económicos'!F50=0,"",'EE.FF Económicos'!F50)</f>
        <v>4863313</v>
      </c>
      <c r="F117" s="185">
        <f>IF('EE.FF Económicos'!G50=0,"",'EE.FF Económicos'!G50)</f>
        <v>5212083</v>
      </c>
      <c r="G117" s="186">
        <f>IF('EE.FF Económicos'!H50=0,"",'EE.FF Económicos'!H50)</f>
        <v>5317443</v>
      </c>
      <c r="H117" s="185">
        <f>G117+H122</f>
        <v>5418532.5654780231</v>
      </c>
      <c r="I117" s="185">
        <f t="shared" ref="I117:V117" si="19">H117+I122</f>
        <v>5523510.712121129</v>
      </c>
      <c r="J117" s="185">
        <f t="shared" si="19"/>
        <v>5631776.6072932724</v>
      </c>
      <c r="K117" s="185">
        <f t="shared" si="19"/>
        <v>5742890.4797832808</v>
      </c>
      <c r="L117" s="185">
        <f t="shared" si="19"/>
        <v>5856516.44630141</v>
      </c>
      <c r="M117" s="185">
        <f t="shared" si="19"/>
        <v>5972389.557501358</v>
      </c>
      <c r="N117" s="185">
        <f t="shared" si="19"/>
        <v>6090295.4583315887</v>
      </c>
      <c r="O117" s="185">
        <f t="shared" si="19"/>
        <v>6210057.1506966203</v>
      </c>
      <c r="P117" s="185">
        <f t="shared" si="19"/>
        <v>6331615.2684471272</v>
      </c>
      <c r="Q117" s="185">
        <f t="shared" si="19"/>
        <v>6454996.7579638921</v>
      </c>
      <c r="R117" s="185">
        <f t="shared" si="19"/>
        <v>6580228.9698234079</v>
      </c>
      <c r="S117" s="185">
        <f t="shared" si="19"/>
        <v>6707339.6648608167</v>
      </c>
      <c r="T117" s="185">
        <f t="shared" si="19"/>
        <v>6836357.0203237869</v>
      </c>
      <c r="U117" s="185">
        <f t="shared" si="19"/>
        <v>6967309.6361187017</v>
      </c>
      <c r="V117" s="185">
        <f t="shared" si="19"/>
        <v>7100226.5411505401</v>
      </c>
      <c r="W117" s="226"/>
    </row>
    <row r="118" spans="2:23">
      <c r="B118" s="188" t="s">
        <v>369</v>
      </c>
      <c r="C118" s="189" t="str">
        <f>IFERROR(C117-B117,"")</f>
        <v/>
      </c>
      <c r="D118" s="190">
        <f>IFERROR(D117-C117,"")</f>
        <v>835264</v>
      </c>
      <c r="E118" s="190">
        <f>IFERROR(E117-D117,"")</f>
        <v>964335</v>
      </c>
      <c r="F118" s="190">
        <f>IFERROR(F117-E117,"")</f>
        <v>348770</v>
      </c>
      <c r="G118" s="191">
        <f>IFERROR(G117-F117,"")</f>
        <v>105360</v>
      </c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4"/>
      <c r="W118" s="226"/>
    </row>
    <row r="119" spans="2:23">
      <c r="B119" s="188" t="s">
        <v>370</v>
      </c>
      <c r="C119" s="189" t="str">
        <f>IFERROR(C118/C9,"")</f>
        <v/>
      </c>
      <c r="D119" s="196">
        <f>IFERROR(D118/D9,"")</f>
        <v>0.10077138736559717</v>
      </c>
      <c r="E119" s="196">
        <f>IFERROR(E118/E9,"")</f>
        <v>9.7682002984748967E-2</v>
      </c>
      <c r="F119" s="196">
        <f>IFERROR(F118/F9,"")</f>
        <v>3.4423413013741827E-2</v>
      </c>
      <c r="G119" s="197">
        <f>IFERROR(G118/G9,"")</f>
        <v>8.6165279497807546E-3</v>
      </c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3"/>
      <c r="W119" s="226"/>
    </row>
    <row r="120" spans="2:23">
      <c r="B120" s="188" t="s">
        <v>355</v>
      </c>
      <c r="C120" s="195"/>
      <c r="D120" s="196"/>
      <c r="E120" s="196"/>
      <c r="F120" s="196"/>
      <c r="G120" s="197">
        <f t="shared" ref="G120:V120" si="20">LN(F116)*$E$125+$F$130</f>
        <v>8.6165279497807529E-3</v>
      </c>
      <c r="H120" s="196">
        <f t="shared" si="20"/>
        <v>-6.6956545418065533E-3</v>
      </c>
      <c r="I120" s="196">
        <f t="shared" si="20"/>
        <v>-1.9206618597623085E-2</v>
      </c>
      <c r="J120" s="196">
        <f t="shared" si="20"/>
        <v>-2.9784487986255145E-2</v>
      </c>
      <c r="K120" s="196">
        <f t="shared" si="20"/>
        <v>-3.8947455233932352E-2</v>
      </c>
      <c r="L120" s="196">
        <f t="shared" si="20"/>
        <v>-4.702976514502695E-2</v>
      </c>
      <c r="M120" s="196">
        <f t="shared" si="20"/>
        <v>-5.4259637725519685E-2</v>
      </c>
      <c r="N120" s="196">
        <f t="shared" si="20"/>
        <v>-6.0799853016862873E-2</v>
      </c>
      <c r="O120" s="196">
        <f t="shared" si="20"/>
        <v>-6.6770601781336217E-2</v>
      </c>
      <c r="P120" s="196">
        <f t="shared" si="20"/>
        <v>-7.2263158208800013E-2</v>
      </c>
      <c r="Q120" s="196">
        <f t="shared" si="20"/>
        <v>-7.734847116996825E-2</v>
      </c>
      <c r="R120" s="196">
        <f t="shared" si="20"/>
        <v>-8.2082784272923495E-2</v>
      </c>
      <c r="S120" s="196">
        <f t="shared" si="20"/>
        <v>-8.6511438417645456E-2</v>
      </c>
      <c r="T120" s="196">
        <f t="shared" si="20"/>
        <v>-9.067151952807638E-2</v>
      </c>
      <c r="U120" s="196">
        <f t="shared" si="20"/>
        <v>-9.4593748328740027E-2</v>
      </c>
      <c r="V120" s="196">
        <f t="shared" si="20"/>
        <v>-9.8303858497855959E-2</v>
      </c>
      <c r="W120" s="226"/>
    </row>
    <row r="121" spans="2:23">
      <c r="B121" s="443" t="s">
        <v>422</v>
      </c>
      <c r="C121" s="354"/>
      <c r="D121" s="355"/>
      <c r="E121" s="355"/>
      <c r="F121" s="355"/>
      <c r="G121" s="356"/>
      <c r="H121" s="196">
        <f>IF(GESTEP(H120,0)=1,H120,G120)</f>
        <v>8.6165279497807529E-3</v>
      </c>
      <c r="I121" s="196">
        <f t="shared" ref="I121:V121" si="21">IF(GESTEP(I120,0)=1,I120,H121)</f>
        <v>8.6165279497807529E-3</v>
      </c>
      <c r="J121" s="196">
        <f t="shared" si="21"/>
        <v>8.6165279497807529E-3</v>
      </c>
      <c r="K121" s="196">
        <f t="shared" si="21"/>
        <v>8.6165279497807529E-3</v>
      </c>
      <c r="L121" s="196">
        <f t="shared" si="21"/>
        <v>8.6165279497807529E-3</v>
      </c>
      <c r="M121" s="196">
        <f t="shared" si="21"/>
        <v>8.6165279497807529E-3</v>
      </c>
      <c r="N121" s="196">
        <f t="shared" si="21"/>
        <v>8.6165279497807529E-3</v>
      </c>
      <c r="O121" s="196">
        <f t="shared" si="21"/>
        <v>8.6165279497807529E-3</v>
      </c>
      <c r="P121" s="196">
        <f t="shared" si="21"/>
        <v>8.6165279497807529E-3</v>
      </c>
      <c r="Q121" s="196">
        <f t="shared" si="21"/>
        <v>8.6165279497807529E-3</v>
      </c>
      <c r="R121" s="196">
        <f t="shared" si="21"/>
        <v>8.6165279497807529E-3</v>
      </c>
      <c r="S121" s="196">
        <f t="shared" si="21"/>
        <v>8.6165279497807529E-3</v>
      </c>
      <c r="T121" s="196">
        <f t="shared" si="21"/>
        <v>8.6165279497807529E-3</v>
      </c>
      <c r="U121" s="196">
        <f t="shared" si="21"/>
        <v>8.6165279497807529E-3</v>
      </c>
      <c r="V121" s="196">
        <f t="shared" si="21"/>
        <v>8.6165279497807529E-3</v>
      </c>
      <c r="W121" s="226"/>
    </row>
    <row r="122" spans="2:23">
      <c r="B122" s="413" t="s">
        <v>420</v>
      </c>
      <c r="C122" s="229"/>
      <c r="D122" s="203"/>
      <c r="E122" s="203"/>
      <c r="F122" s="203"/>
      <c r="G122" s="230">
        <f>$G$120*G11</f>
        <v>96330.326768083134</v>
      </c>
      <c r="H122" s="203">
        <f>H121*H13</f>
        <v>101089.56547802276</v>
      </c>
      <c r="I122" s="203">
        <f>I121*I13</f>
        <v>104978.14664310614</v>
      </c>
      <c r="J122" s="203">
        <f>J121*J13</f>
        <v>108265.89517214318</v>
      </c>
      <c r="K122" s="203">
        <f t="shared" ref="K122:V122" si="22">K121*K13</f>
        <v>111113.87249000848</v>
      </c>
      <c r="L122" s="203">
        <f t="shared" si="22"/>
        <v>113625.96651812913</v>
      </c>
      <c r="M122" s="203">
        <f t="shared" si="22"/>
        <v>115873.11119994811</v>
      </c>
      <c r="N122" s="203">
        <f t="shared" si="22"/>
        <v>117905.90083023111</v>
      </c>
      <c r="O122" s="203">
        <f t="shared" si="22"/>
        <v>119761.69236503149</v>
      </c>
      <c r="P122" s="203">
        <f t="shared" si="22"/>
        <v>121558.11775050694</v>
      </c>
      <c r="Q122" s="203">
        <f t="shared" si="22"/>
        <v>123381.48951676453</v>
      </c>
      <c r="R122" s="203">
        <f t="shared" si="22"/>
        <v>125232.21185951598</v>
      </c>
      <c r="S122" s="203">
        <f t="shared" si="22"/>
        <v>127110.69503740872</v>
      </c>
      <c r="T122" s="203">
        <f t="shared" si="22"/>
        <v>129017.35546296983</v>
      </c>
      <c r="U122" s="203">
        <f t="shared" si="22"/>
        <v>130952.61579491437</v>
      </c>
      <c r="V122" s="203">
        <f t="shared" si="22"/>
        <v>132916.90503183808</v>
      </c>
    </row>
    <row r="123" spans="2:23">
      <c r="H123" s="224"/>
      <c r="I123" s="224"/>
      <c r="J123" s="224"/>
      <c r="K123" s="224"/>
      <c r="L123" s="224"/>
      <c r="M123" s="224"/>
      <c r="N123" s="224"/>
      <c r="O123" s="224"/>
      <c r="P123" s="224"/>
      <c r="Q123" s="224"/>
      <c r="R123" s="224"/>
      <c r="S123" s="224"/>
      <c r="T123" s="224"/>
      <c r="U123" s="224"/>
      <c r="V123" s="224"/>
    </row>
    <row r="124" spans="2:23">
      <c r="E124" s="231" t="s">
        <v>358</v>
      </c>
      <c r="F124" s="212" t="s">
        <v>359</v>
      </c>
    </row>
    <row r="125" spans="2:23">
      <c r="E125" s="232" cm="1">
        <f t="array" ref="E125">INDEX(LINEST(INDEX(C119:G119,COUNTBLANK(C119:G119)+1):G119,LN(INDEX(C116:G116,COUNTBLANK(C119:G119)):INDEX(C116:G116,4)),TRUE,),1)</f>
        <v>-6.862032266406895E-2</v>
      </c>
      <c r="F125" s="233" cm="1">
        <f t="array" ref="F125">INDEX(LINEST(INDEX(C119:G119,COUNTBLANK(C119:G119)+1):G119,LN(INDEX(C116:G116,COUNTBLANK(C119:G119)):INDEX(C116:G116,4)),TRUE,),2)</f>
        <v>0.11489310264903124</v>
      </c>
      <c r="K125" s="206"/>
      <c r="L125" s="206"/>
      <c r="M125" s="206"/>
      <c r="N125" s="206"/>
    </row>
    <row r="126" spans="2:23">
      <c r="K126" s="222"/>
      <c r="L126" s="222"/>
      <c r="M126" s="222"/>
    </row>
    <row r="127" spans="2:23">
      <c r="E127" s="795" t="s">
        <v>360</v>
      </c>
      <c r="F127" s="796"/>
    </row>
    <row r="128" spans="2:23">
      <c r="E128" s="213" t="s">
        <v>361</v>
      </c>
      <c r="F128" s="234">
        <f>G119</f>
        <v>8.6165279497807546E-3</v>
      </c>
    </row>
    <row r="129" spans="2:22">
      <c r="E129" s="215" t="s">
        <v>362</v>
      </c>
      <c r="F129" s="235">
        <f>LN(F116)*E125+F125</f>
        <v>1.9765136281605034E-2</v>
      </c>
    </row>
    <row r="130" spans="2:22">
      <c r="E130" s="217" t="s">
        <v>363</v>
      </c>
      <c r="F130" s="236">
        <f>F128-F129+F125</f>
        <v>0.10374449431720696</v>
      </c>
    </row>
    <row r="131" spans="2:22">
      <c r="F131" s="206"/>
    </row>
    <row r="132" spans="2:22">
      <c r="F132" s="206"/>
    </row>
    <row r="133" spans="2:22">
      <c r="F133" s="206"/>
    </row>
    <row r="134" spans="2:22">
      <c r="F134" s="206"/>
    </row>
    <row r="135" spans="2:22">
      <c r="B135" s="797" t="s">
        <v>371</v>
      </c>
      <c r="C135" s="173">
        <f>C$7</f>
        <v>2017</v>
      </c>
      <c r="D135" s="174">
        <f>D$7</f>
        <v>2018</v>
      </c>
      <c r="E135" s="174">
        <f>E$7</f>
        <v>2019</v>
      </c>
      <c r="F135" s="174">
        <f>F$7</f>
        <v>2020</v>
      </c>
      <c r="G135" s="175">
        <f>G$7</f>
        <v>2021</v>
      </c>
      <c r="H135" s="174">
        <f>G135+1</f>
        <v>2022</v>
      </c>
      <c r="I135" s="174">
        <f>H135+1</f>
        <v>2023</v>
      </c>
      <c r="J135" s="174">
        <f t="shared" ref="J135:U136" si="23">I135+1</f>
        <v>2024</v>
      </c>
      <c r="K135" s="174">
        <f t="shared" si="23"/>
        <v>2025</v>
      </c>
      <c r="L135" s="174">
        <f t="shared" si="23"/>
        <v>2026</v>
      </c>
      <c r="M135" s="174">
        <f t="shared" si="23"/>
        <v>2027</v>
      </c>
      <c r="N135" s="174">
        <f t="shared" si="23"/>
        <v>2028</v>
      </c>
      <c r="O135" s="174">
        <f t="shared" si="23"/>
        <v>2029</v>
      </c>
      <c r="P135" s="174">
        <f t="shared" si="23"/>
        <v>2030</v>
      </c>
      <c r="Q135" s="174">
        <f t="shared" si="23"/>
        <v>2031</v>
      </c>
      <c r="R135" s="174">
        <f t="shared" si="23"/>
        <v>2032</v>
      </c>
      <c r="S135" s="174">
        <f t="shared" si="23"/>
        <v>2033</v>
      </c>
      <c r="T135" s="174">
        <f t="shared" si="23"/>
        <v>2034</v>
      </c>
      <c r="U135" s="174">
        <f t="shared" si="23"/>
        <v>2035</v>
      </c>
      <c r="V135" s="176">
        <f>U135+1</f>
        <v>2036</v>
      </c>
    </row>
    <row r="136" spans="2:22">
      <c r="B136" s="798"/>
      <c r="C136" s="237">
        <f>C$8</f>
        <v>1</v>
      </c>
      <c r="D136" s="238">
        <f>D$8</f>
        <v>2</v>
      </c>
      <c r="E136" s="238">
        <f>E$8</f>
        <v>3</v>
      </c>
      <c r="F136" s="238">
        <f>F$8</f>
        <v>4</v>
      </c>
      <c r="G136" s="239">
        <f>G$8</f>
        <v>5</v>
      </c>
      <c r="H136" s="180">
        <f>G136+1</f>
        <v>6</v>
      </c>
      <c r="I136" s="180">
        <f>H136+1</f>
        <v>7</v>
      </c>
      <c r="J136" s="180">
        <f t="shared" si="23"/>
        <v>8</v>
      </c>
      <c r="K136" s="180">
        <f t="shared" si="23"/>
        <v>9</v>
      </c>
      <c r="L136" s="180">
        <f t="shared" si="23"/>
        <v>10</v>
      </c>
      <c r="M136" s="180">
        <f t="shared" si="23"/>
        <v>11</v>
      </c>
      <c r="N136" s="180">
        <f t="shared" si="23"/>
        <v>12</v>
      </c>
      <c r="O136" s="180">
        <f t="shared" si="23"/>
        <v>13</v>
      </c>
      <c r="P136" s="180">
        <f t="shared" si="23"/>
        <v>14</v>
      </c>
      <c r="Q136" s="180">
        <f t="shared" si="23"/>
        <v>15</v>
      </c>
      <c r="R136" s="180">
        <f t="shared" si="23"/>
        <v>16</v>
      </c>
      <c r="S136" s="180">
        <f t="shared" si="23"/>
        <v>17</v>
      </c>
      <c r="T136" s="180">
        <f t="shared" si="23"/>
        <v>18</v>
      </c>
      <c r="U136" s="180">
        <f t="shared" si="23"/>
        <v>19</v>
      </c>
      <c r="V136" s="182">
        <f>U136+1</f>
        <v>20</v>
      </c>
    </row>
    <row r="137" spans="2:22">
      <c r="B137" s="183" t="s">
        <v>372</v>
      </c>
      <c r="C137" s="184">
        <f>IF('EE.FF Económicos'!D8=0,"",'EE.FF Económicos'!D8)</f>
        <v>3289719</v>
      </c>
      <c r="D137" s="185">
        <f>IF('EE.FF Económicos'!E8=0,"",'EE.FF Económicos'!E8)</f>
        <v>4103986</v>
      </c>
      <c r="E137" s="185">
        <f>IF('EE.FF Económicos'!F8=0,"",'EE.FF Económicos'!F8)</f>
        <v>4490817</v>
      </c>
      <c r="F137" s="185">
        <f>IF('EE.FF Económicos'!G8=0,"",'EE.FF Económicos'!G8)</f>
        <v>4618768</v>
      </c>
      <c r="G137" s="186">
        <f>IF('EE.FF Económicos'!H8=0,"",'EE.FF Económicos'!H8)</f>
        <v>6509850</v>
      </c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8"/>
    </row>
    <row r="138" spans="2:22">
      <c r="B138" s="188" t="s">
        <v>373</v>
      </c>
      <c r="C138" s="189">
        <f>IF('EE.FF Económicos'!D20=0,"",'EE.FF Económicos'!D20)</f>
        <v>2823965</v>
      </c>
      <c r="D138" s="190">
        <f>IF('EE.FF Económicos'!E20=0,"",'EE.FF Económicos'!E20)</f>
        <v>3084554</v>
      </c>
      <c r="E138" s="190">
        <f>IF('EE.FF Económicos'!F20=0,"",'EE.FF Económicos'!F20)</f>
        <v>3462553</v>
      </c>
      <c r="F138" s="190">
        <f>IF('EE.FF Económicos'!G20=0,"",'EE.FF Económicos'!G20)</f>
        <v>3604331</v>
      </c>
      <c r="G138" s="191">
        <f>IF('EE.FF Económicos'!H20=0,"",'EE.FF Económicos'!H20)</f>
        <v>4645551</v>
      </c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3"/>
    </row>
    <row r="139" spans="2:22">
      <c r="B139" s="188" t="s">
        <v>371</v>
      </c>
      <c r="C139" s="189">
        <f>IFERROR(C137-C138,"")</f>
        <v>465754</v>
      </c>
      <c r="D139" s="190">
        <f>IFERROR(D137-D138,"")</f>
        <v>1019432</v>
      </c>
      <c r="E139" s="190">
        <f>IFERROR(E137-E138,"")</f>
        <v>1028264</v>
      </c>
      <c r="F139" s="190">
        <f>IFERROR(F137-F138,"")</f>
        <v>1014437</v>
      </c>
      <c r="G139" s="191">
        <f>IFERROR(G137-G138,"")</f>
        <v>1864299</v>
      </c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3"/>
    </row>
    <row r="140" spans="2:22">
      <c r="B140" s="188" t="s">
        <v>374</v>
      </c>
      <c r="C140" s="189"/>
      <c r="D140" s="190">
        <f>IF(C139="","",AVERAGE(C139:D139))</f>
        <v>742593</v>
      </c>
      <c r="E140" s="190">
        <f>IF(D139="","",AVERAGE(D139:E139))</f>
        <v>1023848</v>
      </c>
      <c r="F140" s="190">
        <f>IF(E139="","",AVERAGE(E139:F139))</f>
        <v>1021350.5</v>
      </c>
      <c r="G140" s="191">
        <f>IF(F139="","",AVERAGE(F139:G139))</f>
        <v>1439368</v>
      </c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3"/>
    </row>
    <row r="141" spans="2:22">
      <c r="B141" s="188" t="s">
        <v>375</v>
      </c>
      <c r="C141" s="188"/>
      <c r="D141" s="192"/>
      <c r="E141" s="192"/>
      <c r="F141" s="192"/>
      <c r="G141" s="191">
        <f t="shared" ref="G141:V141" si="24">LN(F136)*$E$147+$F$152</f>
        <v>1439368.0000000002</v>
      </c>
      <c r="H141" s="190">
        <f t="shared" si="24"/>
        <v>1535811.4081167113</v>
      </c>
      <c r="I141" s="190">
        <f t="shared" si="24"/>
        <v>1614611.4102086099</v>
      </c>
      <c r="J141" s="190">
        <f t="shared" si="24"/>
        <v>1681235.8626675326</v>
      </c>
      <c r="K141" s="190">
        <f t="shared" si="24"/>
        <v>1738948.5884865534</v>
      </c>
      <c r="L141" s="190">
        <f t="shared" si="24"/>
        <v>1789854.8204172198</v>
      </c>
      <c r="M141" s="190">
        <f t="shared" si="24"/>
        <v>1835391.9966032645</v>
      </c>
      <c r="N141" s="190">
        <f t="shared" si="24"/>
        <v>1876585.3831672447</v>
      </c>
      <c r="O141" s="190">
        <f t="shared" si="24"/>
        <v>1914191.9986951633</v>
      </c>
      <c r="P141" s="190">
        <f t="shared" si="24"/>
        <v>1948786.7314466173</v>
      </c>
      <c r="Q141" s="190">
        <f t="shared" si="24"/>
        <v>1980816.4511540858</v>
      </c>
      <c r="R141" s="190">
        <f t="shared" si="24"/>
        <v>2010635.4068118741</v>
      </c>
      <c r="S141" s="190">
        <f t="shared" si="24"/>
        <v>2038529.1769731066</v>
      </c>
      <c r="T141" s="190">
        <f t="shared" si="24"/>
        <v>2064731.3464255894</v>
      </c>
      <c r="U141" s="190">
        <f t="shared" si="24"/>
        <v>2089435.4089037729</v>
      </c>
      <c r="V141" s="194">
        <f t="shared" si="24"/>
        <v>2112803.4473525435</v>
      </c>
    </row>
    <row r="142" spans="2:22">
      <c r="B142" s="188" t="s">
        <v>376</v>
      </c>
      <c r="C142" s="188"/>
      <c r="D142" s="192"/>
      <c r="E142" s="192"/>
      <c r="F142" s="192"/>
      <c r="G142" s="197">
        <f>G141/G11</f>
        <v>0.12874818365226665</v>
      </c>
      <c r="H142" s="196">
        <f t="shared" ref="H142:V142" si="25">H141/H13</f>
        <v>0.13090729850359045</v>
      </c>
      <c r="I142" s="196">
        <f t="shared" si="25"/>
        <v>0.13252609985004932</v>
      </c>
      <c r="J142" s="196">
        <f t="shared" si="25"/>
        <v>0.13380405507953447</v>
      </c>
      <c r="K142" s="196">
        <f t="shared" si="25"/>
        <v>0.13484994069731063</v>
      </c>
      <c r="L142" s="196">
        <f t="shared" si="25"/>
        <v>0.13572895843059021</v>
      </c>
      <c r="M142" s="196">
        <f t="shared" si="25"/>
        <v>0.13648297067165494</v>
      </c>
      <c r="N142" s="196">
        <f t="shared" si="25"/>
        <v>0.13714029824082125</v>
      </c>
      <c r="O142" s="196">
        <f t="shared" si="25"/>
        <v>0.13772090667966758</v>
      </c>
      <c r="P142" s="196">
        <f t="shared" si="25"/>
        <v>0.13813783604428698</v>
      </c>
      <c r="Q142" s="196">
        <f t="shared" si="25"/>
        <v>0.13833323281800397</v>
      </c>
      <c r="R142" s="196">
        <f t="shared" si="25"/>
        <v>0.13834057485982876</v>
      </c>
      <c r="S142" s="196">
        <f t="shared" si="25"/>
        <v>0.13818698438131372</v>
      </c>
      <c r="T142" s="196">
        <f t="shared" si="25"/>
        <v>0.13789474517923136</v>
      </c>
      <c r="U142" s="196">
        <f t="shared" si="25"/>
        <v>0.13748239002935686</v>
      </c>
      <c r="V142" s="198">
        <f t="shared" si="25"/>
        <v>0.13696549699337041</v>
      </c>
    </row>
    <row r="143" spans="2:22">
      <c r="B143" s="188" t="s">
        <v>377</v>
      </c>
      <c r="C143" s="188"/>
      <c r="D143" s="192"/>
      <c r="E143" s="192"/>
      <c r="F143" s="192"/>
      <c r="G143" s="191">
        <f>$G$142*G10</f>
        <v>1439368.0000000002</v>
      </c>
      <c r="H143" s="190">
        <f>$H$142*H13</f>
        <v>1535811.4081167115</v>
      </c>
      <c r="I143" s="190">
        <f t="shared" ref="I143:V143" si="26">I142*I13</f>
        <v>1614611.4102086099</v>
      </c>
      <c r="J143" s="190">
        <f t="shared" si="26"/>
        <v>1681235.8626675329</v>
      </c>
      <c r="K143" s="190">
        <f t="shared" si="26"/>
        <v>1738948.5884865536</v>
      </c>
      <c r="L143" s="190">
        <f t="shared" si="26"/>
        <v>1789854.8204172198</v>
      </c>
      <c r="M143" s="190">
        <f t="shared" si="26"/>
        <v>1835391.9966032645</v>
      </c>
      <c r="N143" s="190">
        <f t="shared" si="26"/>
        <v>1876585.383167245</v>
      </c>
      <c r="O143" s="190">
        <f t="shared" si="26"/>
        <v>1914191.9986951633</v>
      </c>
      <c r="P143" s="190">
        <f t="shared" si="26"/>
        <v>1948786.7314466175</v>
      </c>
      <c r="Q143" s="190">
        <f t="shared" si="26"/>
        <v>1980816.451154086</v>
      </c>
      <c r="R143" s="190">
        <f t="shared" si="26"/>
        <v>2010635.4068118739</v>
      </c>
      <c r="S143" s="190">
        <f t="shared" si="26"/>
        <v>2038529.1769731066</v>
      </c>
      <c r="T143" s="190">
        <f t="shared" si="26"/>
        <v>2064731.3464255896</v>
      </c>
      <c r="U143" s="190">
        <f t="shared" si="26"/>
        <v>2089435.4089037727</v>
      </c>
      <c r="V143" s="194">
        <f t="shared" si="26"/>
        <v>2112803.4473525435</v>
      </c>
    </row>
    <row r="144" spans="2:22">
      <c r="B144" s="200" t="s">
        <v>369</v>
      </c>
      <c r="C144" s="200"/>
      <c r="D144" s="201"/>
      <c r="E144" s="201"/>
      <c r="F144" s="201"/>
      <c r="G144" s="202"/>
      <c r="H144" s="203">
        <f>H143-G143</f>
        <v>96443.408116711304</v>
      </c>
      <c r="I144" s="203">
        <f>I143-H143</f>
        <v>78800.00209189835</v>
      </c>
      <c r="J144" s="203">
        <f t="shared" ref="J144:V144" si="27">J143-I143</f>
        <v>66624.452458922984</v>
      </c>
      <c r="K144" s="203">
        <f t="shared" si="27"/>
        <v>57712.725819020765</v>
      </c>
      <c r="L144" s="203">
        <f t="shared" si="27"/>
        <v>50906.231930666137</v>
      </c>
      <c r="M144" s="203">
        <f t="shared" si="27"/>
        <v>45537.1761860447</v>
      </c>
      <c r="N144" s="203">
        <f t="shared" si="27"/>
        <v>41193.386563980486</v>
      </c>
      <c r="O144" s="203">
        <f t="shared" si="27"/>
        <v>37606.615527918329</v>
      </c>
      <c r="P144" s="203">
        <f t="shared" si="27"/>
        <v>34594.732751454227</v>
      </c>
      <c r="Q144" s="203">
        <f t="shared" si="27"/>
        <v>32029.719707468525</v>
      </c>
      <c r="R144" s="203">
        <f t="shared" si="27"/>
        <v>29818.955657787854</v>
      </c>
      <c r="S144" s="203">
        <f t="shared" si="27"/>
        <v>27893.770161232678</v>
      </c>
      <c r="T144" s="203">
        <f t="shared" si="27"/>
        <v>26202.169452483067</v>
      </c>
      <c r="U144" s="203">
        <f t="shared" si="27"/>
        <v>24704.06247818307</v>
      </c>
      <c r="V144" s="204">
        <f t="shared" si="27"/>
        <v>23368.038448770763</v>
      </c>
    </row>
    <row r="145" spans="2:22">
      <c r="H145" s="224"/>
      <c r="I145" s="224"/>
      <c r="J145" s="224"/>
      <c r="K145" s="224"/>
      <c r="L145" s="224"/>
      <c r="M145" s="224"/>
      <c r="N145" s="224"/>
      <c r="O145" s="224"/>
      <c r="P145" s="224"/>
      <c r="Q145" s="224"/>
      <c r="R145" s="224"/>
      <c r="S145" s="224"/>
      <c r="T145" s="224"/>
      <c r="U145" s="224"/>
      <c r="V145" s="224"/>
    </row>
    <row r="146" spans="2:22">
      <c r="E146" s="231" t="s">
        <v>358</v>
      </c>
      <c r="F146" s="212" t="s">
        <v>359</v>
      </c>
    </row>
    <row r="147" spans="2:22">
      <c r="E147" s="209" cm="1">
        <f t="array" ref="E147">INDEX(LINEST(INDEX(C140:G140,COUNTBLANK(C140:G140)+1):G140,LN(INDEX(C136:G136,COUNTBLANK(C140:G140)):INDEX(C136:G136,4)),TRUE,),1)</f>
        <v>432203.42935614759</v>
      </c>
      <c r="F147" s="210" cm="1">
        <f t="array" ref="F147">INDEX(LINEST(INDEX(C140:G140,COUNTBLANK(C140:G140)+1):G140,LN(INDEX(C136:G136,COUNTBLANK(C140:G140)):INDEX(C136:G136,4)),TRUE,),2)</f>
        <v>713398.43396129436</v>
      </c>
    </row>
    <row r="149" spans="2:22">
      <c r="E149" s="795" t="s">
        <v>360</v>
      </c>
      <c r="F149" s="796"/>
    </row>
    <row r="150" spans="2:22">
      <c r="E150" s="213" t="s">
        <v>361</v>
      </c>
      <c r="F150" s="214">
        <f>G140</f>
        <v>1439368</v>
      </c>
    </row>
    <row r="151" spans="2:22">
      <c r="E151" s="215" t="s">
        <v>362</v>
      </c>
      <c r="F151" s="216">
        <f>LN(F136)*E147+F147</f>
        <v>1312559.6109344007</v>
      </c>
    </row>
    <row r="152" spans="2:22">
      <c r="E152" s="217" t="s">
        <v>363</v>
      </c>
      <c r="F152" s="209">
        <f>F147+F150-F151</f>
        <v>840206.82302689389</v>
      </c>
    </row>
    <row r="156" spans="2:22" s="171" customFormat="1" ht="15.6">
      <c r="B156" s="170" t="s">
        <v>378</v>
      </c>
      <c r="G156" s="172"/>
    </row>
    <row r="157" spans="2:22" s="192" customFormat="1">
      <c r="B157" s="240"/>
      <c r="G157" s="211"/>
    </row>
    <row r="158" spans="2:22">
      <c r="B158" s="241"/>
    </row>
    <row r="159" spans="2:22">
      <c r="B159" s="797"/>
      <c r="C159" s="173">
        <f>D159-1</f>
        <v>2017</v>
      </c>
      <c r="D159" s="174">
        <f>E159-1</f>
        <v>2018</v>
      </c>
      <c r="E159" s="174">
        <f>F159-1</f>
        <v>2019</v>
      </c>
      <c r="F159" s="174">
        <f>G159-1</f>
        <v>2020</v>
      </c>
      <c r="G159" s="175">
        <v>2021</v>
      </c>
      <c r="H159" s="174">
        <f>G159+1</f>
        <v>2022</v>
      </c>
      <c r="I159" s="174">
        <f>H159+1</f>
        <v>2023</v>
      </c>
      <c r="J159" s="174">
        <f t="shared" ref="J159:U160" si="28">I159+1</f>
        <v>2024</v>
      </c>
      <c r="K159" s="174">
        <f t="shared" si="28"/>
        <v>2025</v>
      </c>
      <c r="L159" s="174">
        <f t="shared" si="28"/>
        <v>2026</v>
      </c>
      <c r="M159" s="174">
        <f t="shared" si="28"/>
        <v>2027</v>
      </c>
      <c r="N159" s="174">
        <f t="shared" si="28"/>
        <v>2028</v>
      </c>
      <c r="O159" s="174">
        <f t="shared" si="28"/>
        <v>2029</v>
      </c>
      <c r="P159" s="174">
        <f t="shared" si="28"/>
        <v>2030</v>
      </c>
      <c r="Q159" s="174">
        <f t="shared" si="28"/>
        <v>2031</v>
      </c>
      <c r="R159" s="174">
        <f t="shared" si="28"/>
        <v>2032</v>
      </c>
      <c r="S159" s="174">
        <f t="shared" si="28"/>
        <v>2033</v>
      </c>
      <c r="T159" s="174">
        <f t="shared" si="28"/>
        <v>2034</v>
      </c>
      <c r="U159" s="174">
        <f t="shared" si="28"/>
        <v>2035</v>
      </c>
      <c r="V159" s="176">
        <f>U159+1</f>
        <v>2036</v>
      </c>
    </row>
    <row r="160" spans="2:22">
      <c r="B160" s="798"/>
      <c r="C160" s="242">
        <v>1</v>
      </c>
      <c r="D160" s="243">
        <v>2</v>
      </c>
      <c r="E160" s="243">
        <v>3</v>
      </c>
      <c r="F160" s="243">
        <v>4</v>
      </c>
      <c r="G160" s="244">
        <v>5</v>
      </c>
      <c r="H160" s="180">
        <f>G160+1</f>
        <v>6</v>
      </c>
      <c r="I160" s="180">
        <f>H160+1</f>
        <v>7</v>
      </c>
      <c r="J160" s="180">
        <f t="shared" si="28"/>
        <v>8</v>
      </c>
      <c r="K160" s="180">
        <f t="shared" si="28"/>
        <v>9</v>
      </c>
      <c r="L160" s="180">
        <f t="shared" si="28"/>
        <v>10</v>
      </c>
      <c r="M160" s="180">
        <f t="shared" si="28"/>
        <v>11</v>
      </c>
      <c r="N160" s="180">
        <f t="shared" si="28"/>
        <v>12</v>
      </c>
      <c r="O160" s="180">
        <f t="shared" si="28"/>
        <v>13</v>
      </c>
      <c r="P160" s="180">
        <f t="shared" si="28"/>
        <v>14</v>
      </c>
      <c r="Q160" s="180">
        <f t="shared" si="28"/>
        <v>15</v>
      </c>
      <c r="R160" s="180">
        <f t="shared" si="28"/>
        <v>16</v>
      </c>
      <c r="S160" s="180">
        <f t="shared" si="28"/>
        <v>17</v>
      </c>
      <c r="T160" s="180">
        <f t="shared" si="28"/>
        <v>18</v>
      </c>
      <c r="U160" s="180">
        <f t="shared" si="28"/>
        <v>19</v>
      </c>
      <c r="V160" s="182">
        <f>U160+1</f>
        <v>20</v>
      </c>
    </row>
    <row r="161" spans="2:22">
      <c r="B161" s="245" t="s">
        <v>352</v>
      </c>
      <c r="C161" s="246">
        <f>'M. por conceptos'!C9</f>
        <v>6949265</v>
      </c>
      <c r="D161" s="247">
        <f>'M. por conceptos'!D9</f>
        <v>8288702</v>
      </c>
      <c r="E161" s="247">
        <f>'M. por conceptos'!E9</f>
        <v>9872187</v>
      </c>
      <c r="F161" s="247">
        <f>'M. por conceptos'!F9</f>
        <v>10131767</v>
      </c>
      <c r="G161" s="248">
        <f>'M. por conceptos'!G9</f>
        <v>12227663</v>
      </c>
      <c r="H161" s="247">
        <f>'M. por conceptos'!H13</f>
        <v>11732053.336006992</v>
      </c>
      <c r="I161" s="247">
        <f>'M. por conceptos'!I13</f>
        <v>12183346.616519395</v>
      </c>
      <c r="J161" s="247">
        <f>'M. por conceptos'!J13</f>
        <v>12564909.648427242</v>
      </c>
      <c r="K161" s="247">
        <f>'M. por conceptos'!K13</f>
        <v>12895434.580797218</v>
      </c>
      <c r="L161" s="247">
        <f>'M. por conceptos'!L13</f>
        <v>13186978.233038789</v>
      </c>
      <c r="M161" s="247">
        <f>'M. por conceptos'!M13</f>
        <v>13447772.916804209</v>
      </c>
      <c r="N161" s="247">
        <f>'M. por conceptos'!N13</f>
        <v>13683690.404930588</v>
      </c>
      <c r="O161" s="247">
        <f>'M. por conceptos'!O13</f>
        <v>13899066.197316613</v>
      </c>
      <c r="P161" s="247">
        <f>'M. por conceptos'!P13</f>
        <v>14107552.19027636</v>
      </c>
      <c r="Q161" s="247">
        <f>'M. por conceptos'!Q13</f>
        <v>14319165.473130504</v>
      </c>
      <c r="R161" s="247">
        <f>'M. por conceptos'!R13</f>
        <v>14533952.955227461</v>
      </c>
      <c r="S161" s="247">
        <f>'M. por conceptos'!S13</f>
        <v>14751962.249555871</v>
      </c>
      <c r="T161" s="247">
        <f>'M. por conceptos'!T13</f>
        <v>14973241.683299208</v>
      </c>
      <c r="U161" s="247">
        <f>'M. por conceptos'!U13</f>
        <v>15197840.308548694</v>
      </c>
      <c r="V161" s="249">
        <f>'M. por conceptos'!V13</f>
        <v>15425807.913176924</v>
      </c>
    </row>
    <row r="162" spans="2:22">
      <c r="B162" s="250" t="s">
        <v>364</v>
      </c>
      <c r="C162" s="251">
        <f>'M. por conceptos'!C26</f>
        <v>5042402</v>
      </c>
      <c r="D162" s="252">
        <f>'M. por conceptos'!D26</f>
        <v>6244012</v>
      </c>
      <c r="E162" s="252">
        <f>'M. por conceptos'!E26</f>
        <v>7420013</v>
      </c>
      <c r="F162" s="252">
        <f>'M. por conceptos'!F26</f>
        <v>7712254</v>
      </c>
      <c r="G162" s="253">
        <f>'M. por conceptos'!G26</f>
        <v>9831454</v>
      </c>
      <c r="H162" s="252">
        <f>'M. por conceptos'!H30</f>
        <v>9248460.0703783724</v>
      </c>
      <c r="I162" s="252">
        <f>'M. por conceptos'!I30</f>
        <v>9637875.5843695253</v>
      </c>
      <c r="J162" s="252">
        <f>'M. por conceptos'!J30</f>
        <v>9967121.7101299409</v>
      </c>
      <c r="K162" s="252">
        <f>'M. por conceptos'!K30</f>
        <v>10252327.677033776</v>
      </c>
      <c r="L162" s="252">
        <f>'M. por conceptos'!L30</f>
        <v>10503897.168739049</v>
      </c>
      <c r="M162" s="252">
        <f>'M. por conceptos'!M30</f>
        <v>10728933.747412151</v>
      </c>
      <c r="N162" s="252">
        <f>'M. por conceptos'!N30</f>
        <v>10932504.094823319</v>
      </c>
      <c r="O162" s="252">
        <f>'M. por conceptos'!O30</f>
        <v>11118349.261403304</v>
      </c>
      <c r="P162" s="252">
        <f>'M. por conceptos'!P30</f>
        <v>11285124.500324352</v>
      </c>
      <c r="Q162" s="252">
        <f>'M. por conceptos'!Q30</f>
        <v>11454401.367829217</v>
      </c>
      <c r="R162" s="252">
        <f>'M. por conceptos'!R30</f>
        <v>11626217.388346653</v>
      </c>
      <c r="S162" s="252">
        <f>'M. por conceptos'!S30</f>
        <v>11800610.649171852</v>
      </c>
      <c r="T162" s="252">
        <f>'M. por conceptos'!T30</f>
        <v>11977619.808909427</v>
      </c>
      <c r="U162" s="252">
        <f>'M. por conceptos'!U30</f>
        <v>12157284.106043067</v>
      </c>
      <c r="V162" s="254">
        <f>'M. por conceptos'!V30</f>
        <v>12339643.367633712</v>
      </c>
    </row>
    <row r="163" spans="2:22">
      <c r="B163" s="255" t="s">
        <v>379</v>
      </c>
      <c r="C163" s="256">
        <f t="shared" ref="C163:V163" si="29">C161-C162</f>
        <v>1906863</v>
      </c>
      <c r="D163" s="257">
        <f t="shared" si="29"/>
        <v>2044690</v>
      </c>
      <c r="E163" s="257">
        <f t="shared" si="29"/>
        <v>2452174</v>
      </c>
      <c r="F163" s="257">
        <f t="shared" si="29"/>
        <v>2419513</v>
      </c>
      <c r="G163" s="258">
        <f t="shared" si="29"/>
        <v>2396209</v>
      </c>
      <c r="H163" s="257">
        <f>H161-H162</f>
        <v>2483593.2656286191</v>
      </c>
      <c r="I163" s="257">
        <f t="shared" si="29"/>
        <v>2545471.0321498699</v>
      </c>
      <c r="J163" s="257">
        <f t="shared" si="29"/>
        <v>2597787.9382973015</v>
      </c>
      <c r="K163" s="257">
        <f t="shared" si="29"/>
        <v>2643106.9037634414</v>
      </c>
      <c r="L163" s="257">
        <f t="shared" si="29"/>
        <v>2683081.0642997399</v>
      </c>
      <c r="M163" s="257">
        <f t="shared" si="29"/>
        <v>2718839.1693920586</v>
      </c>
      <c r="N163" s="257">
        <f t="shared" si="29"/>
        <v>2751186.3101072684</v>
      </c>
      <c r="O163" s="257">
        <f t="shared" si="29"/>
        <v>2780716.9359133095</v>
      </c>
      <c r="P163" s="257">
        <f t="shared" si="29"/>
        <v>2822427.6899520084</v>
      </c>
      <c r="Q163" s="257">
        <f t="shared" si="29"/>
        <v>2864764.105301287</v>
      </c>
      <c r="R163" s="257">
        <f t="shared" si="29"/>
        <v>2907735.5668808073</v>
      </c>
      <c r="S163" s="257">
        <f t="shared" si="29"/>
        <v>2951351.6003840193</v>
      </c>
      <c r="T163" s="257">
        <f t="shared" si="29"/>
        <v>2995621.8743897807</v>
      </c>
      <c r="U163" s="257">
        <f t="shared" si="29"/>
        <v>3040556.2025056276</v>
      </c>
      <c r="V163" s="259">
        <f t="shared" si="29"/>
        <v>3086164.5455432124</v>
      </c>
    </row>
    <row r="164" spans="2:22">
      <c r="B164" s="260" t="s">
        <v>328</v>
      </c>
      <c r="C164" s="251">
        <f>'M. por conceptos'!C44</f>
        <v>633605</v>
      </c>
      <c r="D164" s="252">
        <f>'M. por conceptos'!D44</f>
        <v>681336</v>
      </c>
      <c r="E164" s="252">
        <f>'M. por conceptos'!E44</f>
        <v>801905</v>
      </c>
      <c r="F164" s="252">
        <f>'M. por conceptos'!F44</f>
        <v>862157</v>
      </c>
      <c r="G164" s="253">
        <f>'M. por conceptos'!G44</f>
        <v>786246</v>
      </c>
      <c r="H164" s="252">
        <f>IFERROR(H48,0)</f>
        <v>853678.36874206527</v>
      </c>
      <c r="I164" s="252">
        <f t="shared" ref="I164:V164" si="30">IFERROR(I48,0)</f>
        <v>877762.72415727901</v>
      </c>
      <c r="J164" s="252">
        <f t="shared" si="30"/>
        <v>898125.75651473179</v>
      </c>
      <c r="K164" s="252">
        <f t="shared" si="30"/>
        <v>915765.01747547451</v>
      </c>
      <c r="L164" s="252">
        <f t="shared" si="30"/>
        <v>931323.9483145579</v>
      </c>
      <c r="M164" s="252">
        <f t="shared" si="30"/>
        <v>945241.8862175399</v>
      </c>
      <c r="N164" s="252">
        <f t="shared" si="30"/>
        <v>957832.19251735648</v>
      </c>
      <c r="O164" s="252">
        <f t="shared" si="30"/>
        <v>969326.24163275363</v>
      </c>
      <c r="P164" s="252">
        <f t="shared" si="30"/>
        <v>983866.13525724481</v>
      </c>
      <c r="Q164" s="252">
        <f t="shared" si="30"/>
        <v>998624.12728610344</v>
      </c>
      <c r="R164" s="252">
        <f t="shared" si="30"/>
        <v>1013603.4891953949</v>
      </c>
      <c r="S164" s="252">
        <f t="shared" si="30"/>
        <v>1028807.5415333257</v>
      </c>
      <c r="T164" s="252">
        <f t="shared" si="30"/>
        <v>1044239.6546563255</v>
      </c>
      <c r="U164" s="252">
        <f t="shared" si="30"/>
        <v>1059903.2494761702</v>
      </c>
      <c r="V164" s="252">
        <f t="shared" si="30"/>
        <v>1075801.7982183127</v>
      </c>
    </row>
    <row r="165" spans="2:22">
      <c r="B165" s="260" t="s">
        <v>330</v>
      </c>
      <c r="C165" s="251">
        <f>'M. por conceptos'!C62</f>
        <v>487579</v>
      </c>
      <c r="D165" s="252">
        <f>'M. por conceptos'!D62</f>
        <v>603139</v>
      </c>
      <c r="E165" s="252">
        <f>'M. por conceptos'!E62</f>
        <v>651838</v>
      </c>
      <c r="F165" s="252">
        <f>'M. por conceptos'!F62</f>
        <v>688428</v>
      </c>
      <c r="G165" s="253">
        <f>'M. por conceptos'!G62</f>
        <v>732928</v>
      </c>
      <c r="H165" s="252">
        <f>'M. por conceptos'!H66</f>
        <v>736909.03945341019</v>
      </c>
      <c r="I165" s="252">
        <f>'M. por conceptos'!I66</f>
        <v>758341.35923725716</v>
      </c>
      <c r="J165" s="252">
        <f>'M. por conceptos'!J66</f>
        <v>776462.12741766986</v>
      </c>
      <c r="K165" s="252">
        <f>'M. por conceptos'!K66</f>
        <v>792159.05079983163</v>
      </c>
      <c r="L165" s="252">
        <f>'M. por conceptos'!L66</f>
        <v>806004.71847451443</v>
      </c>
      <c r="M165" s="252">
        <f>'M. por conceptos'!M66</f>
        <v>818390.09025324206</v>
      </c>
      <c r="N165" s="252">
        <f>'M. por conceptos'!N66</f>
        <v>829594.02185706655</v>
      </c>
      <c r="O165" s="252">
        <f>'M. por conceptos'!O66</f>
        <v>839822.41003708926</v>
      </c>
      <c r="P165" s="252">
        <f>'M. por conceptos'!P66</f>
        <v>852419.74618764548</v>
      </c>
      <c r="Q165" s="252">
        <f>'M. por conceptos'!Q66</f>
        <v>865206.04238046007</v>
      </c>
      <c r="R165" s="252">
        <f>'M. por conceptos'!R66</f>
        <v>878184.13301616686</v>
      </c>
      <c r="S165" s="252">
        <f>'M. por conceptos'!S66</f>
        <v>891356.8950114093</v>
      </c>
      <c r="T165" s="252">
        <f>'M. por conceptos'!T66</f>
        <v>904727.24843658041</v>
      </c>
      <c r="U165" s="252">
        <f>'M. por conceptos'!U66</f>
        <v>918298.15716312907</v>
      </c>
      <c r="V165" s="254">
        <f>'M. por conceptos'!V66</f>
        <v>932072.62952057587</v>
      </c>
    </row>
    <row r="166" spans="2:22">
      <c r="B166" s="260" t="s">
        <v>380</v>
      </c>
      <c r="C166" s="251">
        <f>'M. por conceptos'!C80</f>
        <v>-42607</v>
      </c>
      <c r="D166" s="252">
        <f>'M. por conceptos'!D80</f>
        <v>26059</v>
      </c>
      <c r="E166" s="252">
        <f>'M. por conceptos'!E80</f>
        <v>-49856</v>
      </c>
      <c r="F166" s="252">
        <f>'M. por conceptos'!F80</f>
        <v>-75085</v>
      </c>
      <c r="G166" s="253">
        <f>'M. por conceptos'!G80</f>
        <v>39531</v>
      </c>
      <c r="H166" s="252">
        <f>'M. por conceptos'!H84</f>
        <v>-22250.827313081259</v>
      </c>
      <c r="I166" s="252">
        <f>'M. por conceptos'!I84</f>
        <v>-25906.210387090563</v>
      </c>
      <c r="J166" s="252">
        <f>'M. por conceptos'!J84</f>
        <v>-28996.792739480126</v>
      </c>
      <c r="K166" s="252">
        <f>'M. por conceptos'!K84</f>
        <v>-31673.976946502848</v>
      </c>
      <c r="L166" s="252">
        <f>'M. por conceptos'!L84</f>
        <v>-34035.420774181126</v>
      </c>
      <c r="M166" s="252">
        <f>'M. por conceptos'!M84</f>
        <v>-36147.804259584103</v>
      </c>
      <c r="N166" s="252">
        <f>'M. por conceptos'!N84</f>
        <v>-38058.687559199854</v>
      </c>
      <c r="O166" s="252">
        <f>'M. por conceptos'!O84</f>
        <v>-39803.187333593407</v>
      </c>
      <c r="P166" s="252">
        <f>'M. por conceptos'!P84</f>
        <v>-40400.235143597303</v>
      </c>
      <c r="Q166" s="252">
        <f>'M. por conceptos'!Q84</f>
        <v>-41006.238670751256</v>
      </c>
      <c r="R166" s="252">
        <f>'M. por conceptos'!R84</f>
        <v>-41621.33225081252</v>
      </c>
      <c r="S166" s="252">
        <f>'M. por conceptos'!S84</f>
        <v>-42245.652234574707</v>
      </c>
      <c r="T166" s="252">
        <f>'M. por conceptos'!T84</f>
        <v>-42879.337018093327</v>
      </c>
      <c r="U166" s="252">
        <f>'M. por conceptos'!U84</f>
        <v>-43522.527073364719</v>
      </c>
      <c r="V166" s="254">
        <f>'M. por conceptos'!V84</f>
        <v>-44175.364979465186</v>
      </c>
    </row>
    <row r="167" spans="2:22">
      <c r="B167" s="255" t="s">
        <v>381</v>
      </c>
      <c r="C167" s="257">
        <f t="shared" ref="C167:H167" si="31">C163-C164-C165+C166</f>
        <v>743072</v>
      </c>
      <c r="D167" s="257">
        <f t="shared" si="31"/>
        <v>786274</v>
      </c>
      <c r="E167" s="257">
        <f t="shared" si="31"/>
        <v>948575</v>
      </c>
      <c r="F167" s="257">
        <f t="shared" si="31"/>
        <v>793843</v>
      </c>
      <c r="G167" s="258">
        <f t="shared" si="31"/>
        <v>916566</v>
      </c>
      <c r="H167" s="257">
        <f t="shared" si="31"/>
        <v>870755.03012006241</v>
      </c>
      <c r="I167" s="257">
        <f t="shared" ref="I167:V167" si="32">I163-I164-I165+I166</f>
        <v>883460.73836824333</v>
      </c>
      <c r="J167" s="257">
        <f t="shared" si="32"/>
        <v>894203.26162541972</v>
      </c>
      <c r="K167" s="257">
        <f t="shared" si="32"/>
        <v>903508.8585416323</v>
      </c>
      <c r="L167" s="257">
        <f t="shared" si="32"/>
        <v>911716.97673648654</v>
      </c>
      <c r="M167" s="257">
        <f t="shared" si="32"/>
        <v>919059.38866169262</v>
      </c>
      <c r="N167" s="257">
        <f t="shared" si="32"/>
        <v>925701.4081736455</v>
      </c>
      <c r="O167" s="257">
        <f t="shared" si="32"/>
        <v>931765.0969098733</v>
      </c>
      <c r="P167" s="257">
        <f t="shared" si="32"/>
        <v>945741.57336352079</v>
      </c>
      <c r="Q167" s="257">
        <f t="shared" si="32"/>
        <v>959927.69696397218</v>
      </c>
      <c r="R167" s="257">
        <f t="shared" si="32"/>
        <v>974326.61241843307</v>
      </c>
      <c r="S167" s="257">
        <f t="shared" si="32"/>
        <v>988941.51160470955</v>
      </c>
      <c r="T167" s="257">
        <f t="shared" si="32"/>
        <v>1003775.6342787815</v>
      </c>
      <c r="U167" s="257">
        <f t="shared" si="32"/>
        <v>1018832.2687929636</v>
      </c>
      <c r="V167" s="257">
        <f t="shared" si="32"/>
        <v>1034114.7528248586</v>
      </c>
    </row>
    <row r="168" spans="2:22">
      <c r="B168" s="250" t="s">
        <v>382</v>
      </c>
      <c r="C168" s="251">
        <f t="shared" ref="C168:V168" si="33">29.5%*C167</f>
        <v>219206.24</v>
      </c>
      <c r="D168" s="252">
        <f t="shared" si="33"/>
        <v>231950.83</v>
      </c>
      <c r="E168" s="252">
        <f t="shared" si="33"/>
        <v>279829.625</v>
      </c>
      <c r="F168" s="252">
        <f t="shared" si="33"/>
        <v>234183.685</v>
      </c>
      <c r="G168" s="253">
        <f t="shared" si="33"/>
        <v>270386.96999999997</v>
      </c>
      <c r="H168" s="252">
        <f t="shared" si="33"/>
        <v>256872.73388541839</v>
      </c>
      <c r="I168" s="252">
        <f t="shared" si="33"/>
        <v>260620.91781863177</v>
      </c>
      <c r="J168" s="252">
        <f t="shared" si="33"/>
        <v>263789.96217949881</v>
      </c>
      <c r="K168" s="252">
        <f t="shared" si="33"/>
        <v>266535.11326978152</v>
      </c>
      <c r="L168" s="252">
        <f t="shared" si="33"/>
        <v>268956.50813726353</v>
      </c>
      <c r="M168" s="252">
        <f t="shared" si="33"/>
        <v>271122.51965519931</v>
      </c>
      <c r="N168" s="252">
        <f t="shared" si="33"/>
        <v>273081.9154112254</v>
      </c>
      <c r="O168" s="252">
        <f t="shared" si="33"/>
        <v>274870.70358841261</v>
      </c>
      <c r="P168" s="252">
        <f t="shared" si="33"/>
        <v>278993.76414223859</v>
      </c>
      <c r="Q168" s="252">
        <f t="shared" si="33"/>
        <v>283178.67060437176</v>
      </c>
      <c r="R168" s="252">
        <f t="shared" si="33"/>
        <v>287426.35066343774</v>
      </c>
      <c r="S168" s="252">
        <f t="shared" si="33"/>
        <v>291737.74592338927</v>
      </c>
      <c r="T168" s="252">
        <f t="shared" si="33"/>
        <v>296113.81211224053</v>
      </c>
      <c r="U168" s="252">
        <f t="shared" si="33"/>
        <v>300555.51929392427</v>
      </c>
      <c r="V168" s="254">
        <f t="shared" si="33"/>
        <v>305063.8520833333</v>
      </c>
    </row>
    <row r="169" spans="2:22">
      <c r="B169" s="250" t="s">
        <v>383</v>
      </c>
      <c r="C169" s="251">
        <f>'M. por conceptos'!C98</f>
        <v>164314</v>
      </c>
      <c r="D169" s="252">
        <f>'M. por conceptos'!D98</f>
        <v>202775</v>
      </c>
      <c r="E169" s="252">
        <f>'M. por conceptos'!E98</f>
        <v>298028</v>
      </c>
      <c r="F169" s="252">
        <f>'M. por conceptos'!F98</f>
        <v>286071</v>
      </c>
      <c r="G169" s="253">
        <f>'M. por conceptos'!G98</f>
        <v>232476</v>
      </c>
      <c r="H169" s="252">
        <f>'M. por conceptos'!H102</f>
        <v>273893.22737432458</v>
      </c>
      <c r="I169" s="252">
        <f>'M. por conceptos'!I102</f>
        <v>285838.41440344369</v>
      </c>
      <c r="J169" s="252">
        <f>'M. por conceptos'!J102</f>
        <v>295937.92613196297</v>
      </c>
      <c r="K169" s="252">
        <f>'M. por conceptos'!K102</f>
        <v>304686.52112647181</v>
      </c>
      <c r="L169" s="252">
        <f>'M. por conceptos'!L102</f>
        <v>312403.32880688732</v>
      </c>
      <c r="M169" s="252">
        <f>'M. por conceptos'!M102</f>
        <v>319306.2485007965</v>
      </c>
      <c r="N169" s="252">
        <f>'M. por conceptos'!N102</f>
        <v>325550.6989298166</v>
      </c>
      <c r="O169" s="252">
        <f>'M. por conceptos'!O102</f>
        <v>331251.43552991556</v>
      </c>
      <c r="P169" s="252">
        <f>'M. por conceptos'!P102</f>
        <v>336220.20706286427</v>
      </c>
      <c r="Q169" s="252">
        <f>'M. por conceptos'!Q102</f>
        <v>341263.51016880717</v>
      </c>
      <c r="R169" s="252">
        <f>'M. por conceptos'!R102</f>
        <v>346382.46282133926</v>
      </c>
      <c r="S169" s="252">
        <f>'M. por conceptos'!S102</f>
        <v>351578.19976365933</v>
      </c>
      <c r="T169" s="252">
        <f>'M. por conceptos'!T102</f>
        <v>356851.8727601142</v>
      </c>
      <c r="U169" s="252">
        <f>'M. por conceptos'!U102</f>
        <v>362204.65085151588</v>
      </c>
      <c r="V169" s="254">
        <f>'M. por conceptos'!V102</f>
        <v>367637.72061428858</v>
      </c>
    </row>
    <row r="170" spans="2:22">
      <c r="B170" s="255" t="s">
        <v>384</v>
      </c>
      <c r="C170" s="256">
        <f t="shared" ref="C170:V170" si="34">C167-C168+C169</f>
        <v>688179.76</v>
      </c>
      <c r="D170" s="257">
        <f t="shared" si="34"/>
        <v>757098.17</v>
      </c>
      <c r="E170" s="257">
        <f t="shared" si="34"/>
        <v>966773.375</v>
      </c>
      <c r="F170" s="257">
        <f t="shared" si="34"/>
        <v>845730.31499999994</v>
      </c>
      <c r="G170" s="258">
        <f>G167-G168+G169</f>
        <v>878655.03</v>
      </c>
      <c r="H170" s="257">
        <f>H167-H168+H169</f>
        <v>887775.52360896859</v>
      </c>
      <c r="I170" s="257">
        <f t="shared" si="34"/>
        <v>908678.23495305527</v>
      </c>
      <c r="J170" s="257">
        <f t="shared" si="34"/>
        <v>926351.22557788389</v>
      </c>
      <c r="K170" s="257">
        <f t="shared" si="34"/>
        <v>941660.26639832265</v>
      </c>
      <c r="L170" s="257">
        <f t="shared" si="34"/>
        <v>955163.79740611045</v>
      </c>
      <c r="M170" s="257">
        <f t="shared" si="34"/>
        <v>967243.11750728986</v>
      </c>
      <c r="N170" s="257">
        <f t="shared" si="34"/>
        <v>978170.19169223669</v>
      </c>
      <c r="O170" s="257">
        <f t="shared" si="34"/>
        <v>988145.82885137619</v>
      </c>
      <c r="P170" s="257">
        <f t="shared" si="34"/>
        <v>1002968.0162841463</v>
      </c>
      <c r="Q170" s="257">
        <f t="shared" si="34"/>
        <v>1018012.5365284076</v>
      </c>
      <c r="R170" s="257">
        <f t="shared" si="34"/>
        <v>1033282.7245763346</v>
      </c>
      <c r="S170" s="257">
        <f t="shared" si="34"/>
        <v>1048781.9654449797</v>
      </c>
      <c r="T170" s="257">
        <f t="shared" si="34"/>
        <v>1064513.6949266552</v>
      </c>
      <c r="U170" s="257">
        <f t="shared" si="34"/>
        <v>1080481.4003505551</v>
      </c>
      <c r="V170" s="259">
        <f t="shared" si="34"/>
        <v>1096688.6213558139</v>
      </c>
    </row>
    <row r="171" spans="2:22">
      <c r="B171" s="250" t="s">
        <v>368</v>
      </c>
      <c r="C171" s="261"/>
      <c r="D171" s="190">
        <f>-D118</f>
        <v>-835264</v>
      </c>
      <c r="E171" s="190">
        <f>-E118</f>
        <v>-964335</v>
      </c>
      <c r="F171" s="190">
        <f>-F118</f>
        <v>-348770</v>
      </c>
      <c r="G171" s="225">
        <f>-G118</f>
        <v>-105360</v>
      </c>
      <c r="H171" s="252">
        <f>-'M. por conceptos'!H122</f>
        <v>-101089.56547802276</v>
      </c>
      <c r="I171" s="252">
        <f>-'M. por conceptos'!I122</f>
        <v>-104978.14664310614</v>
      </c>
      <c r="J171" s="252">
        <f>-'M. por conceptos'!J122</f>
        <v>-108265.89517214318</v>
      </c>
      <c r="K171" s="252">
        <f>-'M. por conceptos'!K122</f>
        <v>-111113.87249000848</v>
      </c>
      <c r="L171" s="252">
        <f>-'M. por conceptos'!L122</f>
        <v>-113625.96651812913</v>
      </c>
      <c r="M171" s="252">
        <f>-'M. por conceptos'!M122</f>
        <v>-115873.11119994811</v>
      </c>
      <c r="N171" s="252">
        <f>-'M. por conceptos'!N122</f>
        <v>-117905.90083023111</v>
      </c>
      <c r="O171" s="252">
        <f>-'M. por conceptos'!O122</f>
        <v>-119761.69236503149</v>
      </c>
      <c r="P171" s="252">
        <f>-'M. por conceptos'!P122</f>
        <v>-121558.11775050694</v>
      </c>
      <c r="Q171" s="252">
        <f>-'M. por conceptos'!Q122</f>
        <v>-123381.48951676453</v>
      </c>
      <c r="R171" s="252">
        <f>-'M. por conceptos'!R122</f>
        <v>-125232.21185951598</v>
      </c>
      <c r="S171" s="252">
        <f>-'M. por conceptos'!S122</f>
        <v>-127110.69503740872</v>
      </c>
      <c r="T171" s="252">
        <f>-'M. por conceptos'!T122</f>
        <v>-129017.35546296983</v>
      </c>
      <c r="U171" s="252">
        <f>-'M. por conceptos'!U122</f>
        <v>-130952.61579491437</v>
      </c>
      <c r="V171" s="254">
        <f>-'M. por conceptos'!V122</f>
        <v>-132916.90503183808</v>
      </c>
    </row>
    <row r="172" spans="2:22">
      <c r="B172" s="250" t="s">
        <v>385</v>
      </c>
      <c r="C172" s="261"/>
      <c r="D172" s="224">
        <f>-(D139-C139)</f>
        <v>-553678</v>
      </c>
      <c r="E172" s="224">
        <f t="shared" ref="E172:G172" si="35">-(E139-D139)</f>
        <v>-8832</v>
      </c>
      <c r="F172" s="224">
        <f t="shared" si="35"/>
        <v>13827</v>
      </c>
      <c r="G172" s="225">
        <f t="shared" si="35"/>
        <v>-849862</v>
      </c>
      <c r="H172" s="252">
        <f>-'M. por conceptos'!H144</f>
        <v>-96443.408116711304</v>
      </c>
      <c r="I172" s="252">
        <f>-'M. por conceptos'!I144</f>
        <v>-78800.00209189835</v>
      </c>
      <c r="J172" s="252">
        <f>-'M. por conceptos'!J144</f>
        <v>-66624.452458922984</v>
      </c>
      <c r="K172" s="252">
        <f>-'M. por conceptos'!K144</f>
        <v>-57712.725819020765</v>
      </c>
      <c r="L172" s="252">
        <f>-'M. por conceptos'!L144</f>
        <v>-50906.231930666137</v>
      </c>
      <c r="M172" s="252">
        <f>-'M. por conceptos'!M144</f>
        <v>-45537.1761860447</v>
      </c>
      <c r="N172" s="252">
        <f>-'M. por conceptos'!N144</f>
        <v>-41193.386563980486</v>
      </c>
      <c r="O172" s="252">
        <f>-'M. por conceptos'!O144</f>
        <v>-37606.615527918329</v>
      </c>
      <c r="P172" s="252">
        <f>-'M. por conceptos'!P144</f>
        <v>-34594.732751454227</v>
      </c>
      <c r="Q172" s="252">
        <f>-'M. por conceptos'!Q144</f>
        <v>-32029.719707468525</v>
      </c>
      <c r="R172" s="252">
        <f>-'M. por conceptos'!R144</f>
        <v>-29818.955657787854</v>
      </c>
      <c r="S172" s="252">
        <f>-'M. por conceptos'!S144</f>
        <v>-27893.770161232678</v>
      </c>
      <c r="T172" s="252">
        <f>-'M. por conceptos'!T144</f>
        <v>-26202.169452483067</v>
      </c>
      <c r="U172" s="252">
        <f>-'M. por conceptos'!U144</f>
        <v>-24704.06247818307</v>
      </c>
      <c r="V172" s="254">
        <f>-'M. por conceptos'!V144</f>
        <v>-23368.038448770763</v>
      </c>
    </row>
    <row r="173" spans="2:22">
      <c r="B173" s="255" t="s">
        <v>386</v>
      </c>
      <c r="C173" s="262"/>
      <c r="D173" s="257">
        <f t="shared" ref="D173:U173" si="36">SUM(D170:D172)</f>
        <v>-631843.82999999996</v>
      </c>
      <c r="E173" s="257">
        <f t="shared" si="36"/>
        <v>-6393.625</v>
      </c>
      <c r="F173" s="257">
        <f t="shared" si="36"/>
        <v>510787.31499999994</v>
      </c>
      <c r="G173" s="258">
        <f>SUM(G170:G172)</f>
        <v>-76566.969999999972</v>
      </c>
      <c r="H173" s="257">
        <f t="shared" si="36"/>
        <v>690242.5500142345</v>
      </c>
      <c r="I173" s="257">
        <f t="shared" si="36"/>
        <v>724900.0862180508</v>
      </c>
      <c r="J173" s="257">
        <f t="shared" si="36"/>
        <v>751460.87794681778</v>
      </c>
      <c r="K173" s="257">
        <f t="shared" si="36"/>
        <v>772833.66808929341</v>
      </c>
      <c r="L173" s="257">
        <f t="shared" si="36"/>
        <v>790631.5989573152</v>
      </c>
      <c r="M173" s="257">
        <f t="shared" si="36"/>
        <v>805832.83012129704</v>
      </c>
      <c r="N173" s="257">
        <f t="shared" si="36"/>
        <v>819070.90429802507</v>
      </c>
      <c r="O173" s="257">
        <f t="shared" si="36"/>
        <v>830777.52095842641</v>
      </c>
      <c r="P173" s="257">
        <f t="shared" si="36"/>
        <v>846815.16578218515</v>
      </c>
      <c r="Q173" s="257">
        <f t="shared" si="36"/>
        <v>862601.32730417454</v>
      </c>
      <c r="R173" s="257">
        <f t="shared" si="36"/>
        <v>878231.55705903075</v>
      </c>
      <c r="S173" s="257">
        <f t="shared" si="36"/>
        <v>893777.50024633831</v>
      </c>
      <c r="T173" s="257">
        <f t="shared" si="36"/>
        <v>909294.17001120222</v>
      </c>
      <c r="U173" s="257">
        <f t="shared" si="36"/>
        <v>924824.7220774577</v>
      </c>
      <c r="V173" s="259">
        <f>SUM(V170:V172)</f>
        <v>940403.67787520506</v>
      </c>
    </row>
    <row r="174" spans="2:22">
      <c r="B174" s="265" t="s">
        <v>387</v>
      </c>
      <c r="C174" s="188"/>
      <c r="D174" s="192"/>
      <c r="E174" s="192"/>
      <c r="F174" s="192"/>
      <c r="G174" s="211"/>
      <c r="H174" s="192"/>
      <c r="I174" s="192"/>
      <c r="J174" s="192"/>
      <c r="K174" s="192"/>
      <c r="L174" s="192"/>
      <c r="M174" s="192"/>
      <c r="N174" s="192"/>
      <c r="O174" s="192"/>
      <c r="P174" s="266"/>
      <c r="Q174" s="192"/>
      <c r="R174" s="192"/>
      <c r="S174" s="192"/>
      <c r="T174" s="192"/>
      <c r="V174" s="434">
        <f>V173*(1+'EE.FF Económicos'!D53)/(WACC!I44-'EE.FF Económicos'!D53)</f>
        <v>10197753.558155267</v>
      </c>
    </row>
    <row r="175" spans="2:22">
      <c r="B175" s="199" t="s">
        <v>388</v>
      </c>
      <c r="C175" s="200"/>
      <c r="D175" s="201"/>
      <c r="E175" s="201"/>
      <c r="F175" s="201"/>
      <c r="G175" s="202"/>
      <c r="H175" s="203">
        <f t="shared" ref="H175:U175" si="37">H173</f>
        <v>690242.5500142345</v>
      </c>
      <c r="I175" s="203">
        <f t="shared" si="37"/>
        <v>724900.0862180508</v>
      </c>
      <c r="J175" s="203">
        <f t="shared" si="37"/>
        <v>751460.87794681778</v>
      </c>
      <c r="K175" s="203">
        <f t="shared" si="37"/>
        <v>772833.66808929341</v>
      </c>
      <c r="L175" s="203">
        <f t="shared" si="37"/>
        <v>790631.5989573152</v>
      </c>
      <c r="M175" s="203">
        <f t="shared" si="37"/>
        <v>805832.83012129704</v>
      </c>
      <c r="N175" s="203">
        <f t="shared" si="37"/>
        <v>819070.90429802507</v>
      </c>
      <c r="O175" s="203">
        <f t="shared" si="37"/>
        <v>830777.52095842641</v>
      </c>
      <c r="P175" s="203">
        <f t="shared" si="37"/>
        <v>846815.16578218515</v>
      </c>
      <c r="Q175" s="203">
        <f t="shared" si="37"/>
        <v>862601.32730417454</v>
      </c>
      <c r="R175" s="203">
        <f t="shared" si="37"/>
        <v>878231.55705903075</v>
      </c>
      <c r="S175" s="203">
        <f t="shared" si="37"/>
        <v>893777.50024633831</v>
      </c>
      <c r="T175" s="203">
        <f t="shared" si="37"/>
        <v>909294.17001120222</v>
      </c>
      <c r="U175" s="203">
        <f t="shared" si="37"/>
        <v>924824.7220774577</v>
      </c>
      <c r="V175" s="204">
        <f>V173+V174</f>
        <v>11138157.236030472</v>
      </c>
    </row>
    <row r="177" spans="2:22">
      <c r="H177" s="224"/>
      <c r="I177" s="224"/>
      <c r="J177" s="224"/>
      <c r="K177" s="224"/>
      <c r="L177" s="224"/>
      <c r="M177" s="224"/>
      <c r="N177" s="224"/>
      <c r="O177" s="224"/>
      <c r="P177" s="224"/>
      <c r="Q177" s="224"/>
      <c r="T177" s="267"/>
    </row>
    <row r="178" spans="2:22">
      <c r="H178" s="224"/>
      <c r="I178" s="224"/>
      <c r="J178" s="224"/>
      <c r="K178" s="224"/>
      <c r="L178" s="224"/>
      <c r="M178" s="224"/>
      <c r="N178" s="224"/>
      <c r="O178" s="224"/>
      <c r="P178" s="224"/>
      <c r="Q178" s="224"/>
      <c r="T178" s="267"/>
    </row>
    <row r="179" spans="2:22" s="268" customFormat="1" ht="15.6">
      <c r="B179" s="170" t="s">
        <v>413</v>
      </c>
      <c r="G179" s="269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T179" s="271"/>
    </row>
    <row r="180" spans="2:22">
      <c r="B180" s="241"/>
      <c r="H180" s="224"/>
      <c r="I180" s="224"/>
      <c r="J180" s="224"/>
      <c r="K180" s="224"/>
      <c r="L180" s="224"/>
      <c r="M180" s="224"/>
      <c r="N180" s="224"/>
      <c r="O180" s="224"/>
      <c r="P180" s="224"/>
      <c r="Q180" s="224"/>
      <c r="T180" s="267"/>
    </row>
    <row r="181" spans="2:22">
      <c r="C181" s="192"/>
      <c r="D181" s="192"/>
      <c r="L181" s="272" t="s">
        <v>389</v>
      </c>
      <c r="M181" s="273" t="s">
        <v>390</v>
      </c>
      <c r="N181" s="274" t="s">
        <v>391</v>
      </c>
      <c r="P181" s="224"/>
      <c r="Q181" s="224"/>
      <c r="T181" s="267"/>
    </row>
    <row r="182" spans="2:22">
      <c r="C182" s="192"/>
      <c r="D182" s="192"/>
      <c r="I182" s="183" t="s">
        <v>392</v>
      </c>
      <c r="J182" s="227"/>
      <c r="K182" s="227"/>
      <c r="L182" s="435">
        <f>NPV(WACC!I44,H175:V175)</f>
        <v>7957332.0813417425</v>
      </c>
      <c r="M182" s="221"/>
      <c r="N182" s="193"/>
    </row>
    <row r="183" spans="2:22">
      <c r="C183" s="192"/>
      <c r="D183" s="192"/>
      <c r="I183" s="188" t="s">
        <v>393</v>
      </c>
      <c r="J183" s="192"/>
      <c r="K183" s="192"/>
      <c r="L183" s="435">
        <f>'EE.FF Económicos'!$H$24</f>
        <v>5437375</v>
      </c>
      <c r="M183" s="221"/>
      <c r="N183" s="193"/>
    </row>
    <row r="184" spans="2:22">
      <c r="C184" s="192"/>
      <c r="D184" s="192"/>
      <c r="I184" s="275" t="s">
        <v>394</v>
      </c>
      <c r="J184" s="276"/>
      <c r="K184" s="276"/>
      <c r="L184" s="446">
        <f>L182-L183</f>
        <v>2519957.0813417425</v>
      </c>
      <c r="M184" s="277">
        <v>5125509.9725500001</v>
      </c>
      <c r="N184" s="278">
        <v>8556636.4831000008</v>
      </c>
    </row>
    <row r="185" spans="2:22">
      <c r="C185" s="192"/>
      <c r="D185" s="192"/>
      <c r="I185" s="279" t="s">
        <v>395</v>
      </c>
      <c r="J185" s="280"/>
      <c r="K185" s="280"/>
      <c r="L185" s="281">
        <f>L184/'Plantilla Usuario'!C5</f>
        <v>2.9744826219765623</v>
      </c>
      <c r="M185" s="306">
        <v>6.05</v>
      </c>
      <c r="N185" s="368">
        <v>10.1</v>
      </c>
    </row>
    <row r="186" spans="2:22">
      <c r="C186" s="192"/>
      <c r="D186" s="192"/>
    </row>
    <row r="187" spans="2:22">
      <c r="C187" s="192"/>
      <c r="D187" s="192"/>
    </row>
    <row r="188" spans="2:22" s="268" customFormat="1" ht="15.6">
      <c r="B188" s="170" t="s">
        <v>412</v>
      </c>
      <c r="G188" s="269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T188" s="271"/>
    </row>
    <row r="189" spans="2:22" s="192" customFormat="1" ht="15.6">
      <c r="B189" s="296"/>
      <c r="G189" s="211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T189" s="353"/>
    </row>
    <row r="190" spans="2:22" s="192" customFormat="1">
      <c r="B190" s="386" t="s">
        <v>386</v>
      </c>
      <c r="C190" s="387"/>
      <c r="D190" s="388"/>
      <c r="E190" s="388"/>
      <c r="F190" s="388"/>
      <c r="G190" s="389"/>
      <c r="H190" s="390">
        <f t="shared" ref="H190:U190" si="38">H173</f>
        <v>690242.5500142345</v>
      </c>
      <c r="I190" s="390">
        <f t="shared" si="38"/>
        <v>724900.0862180508</v>
      </c>
      <c r="J190" s="390">
        <f t="shared" si="38"/>
        <v>751460.87794681778</v>
      </c>
      <c r="K190" s="390">
        <f t="shared" si="38"/>
        <v>772833.66808929341</v>
      </c>
      <c r="L190" s="390">
        <f t="shared" si="38"/>
        <v>790631.5989573152</v>
      </c>
      <c r="M190" s="390">
        <f t="shared" si="38"/>
        <v>805832.83012129704</v>
      </c>
      <c r="N190" s="390">
        <f t="shared" si="38"/>
        <v>819070.90429802507</v>
      </c>
      <c r="O190" s="390">
        <f t="shared" si="38"/>
        <v>830777.52095842641</v>
      </c>
      <c r="P190" s="390">
        <f t="shared" si="38"/>
        <v>846815.16578218515</v>
      </c>
      <c r="Q190" s="390">
        <f t="shared" si="38"/>
        <v>862601.32730417454</v>
      </c>
      <c r="R190" s="390">
        <f t="shared" si="38"/>
        <v>878231.55705903075</v>
      </c>
      <c r="S190" s="390">
        <f t="shared" si="38"/>
        <v>893777.50024633831</v>
      </c>
      <c r="T190" s="390">
        <f t="shared" si="38"/>
        <v>909294.17001120222</v>
      </c>
      <c r="U190" s="390">
        <f t="shared" si="38"/>
        <v>924824.7220774577</v>
      </c>
      <c r="V190" s="391">
        <f>V173</f>
        <v>940403.67787520506</v>
      </c>
    </row>
    <row r="191" spans="2:22" s="192" customFormat="1">
      <c r="B191" s="265" t="s">
        <v>387</v>
      </c>
      <c r="C191" s="188"/>
      <c r="G191" s="211"/>
      <c r="P191" s="266"/>
      <c r="U191" s="177"/>
      <c r="V191" s="434">
        <f>V173*(1+'EE.FF Económicos'!D53)/(WACC!AO38-'EE.FF Económicos'!D53)</f>
        <v>14843639.32622461</v>
      </c>
    </row>
    <row r="192" spans="2:22" s="192" customFormat="1">
      <c r="B192" s="199" t="s">
        <v>388</v>
      </c>
      <c r="C192" s="200"/>
      <c r="D192" s="201"/>
      <c r="E192" s="201"/>
      <c r="F192" s="201"/>
      <c r="G192" s="202"/>
      <c r="H192" s="203">
        <f t="shared" ref="H192:U192" si="39">SUM(H190:H191)</f>
        <v>690242.5500142345</v>
      </c>
      <c r="I192" s="203">
        <f t="shared" si="39"/>
        <v>724900.0862180508</v>
      </c>
      <c r="J192" s="203">
        <f t="shared" si="39"/>
        <v>751460.87794681778</v>
      </c>
      <c r="K192" s="203">
        <f t="shared" si="39"/>
        <v>772833.66808929341</v>
      </c>
      <c r="L192" s="203">
        <f t="shared" si="39"/>
        <v>790631.5989573152</v>
      </c>
      <c r="M192" s="203">
        <f t="shared" si="39"/>
        <v>805832.83012129704</v>
      </c>
      <c r="N192" s="203">
        <f t="shared" si="39"/>
        <v>819070.90429802507</v>
      </c>
      <c r="O192" s="203">
        <f t="shared" si="39"/>
        <v>830777.52095842641</v>
      </c>
      <c r="P192" s="203">
        <f t="shared" si="39"/>
        <v>846815.16578218515</v>
      </c>
      <c r="Q192" s="203">
        <f t="shared" si="39"/>
        <v>862601.32730417454</v>
      </c>
      <c r="R192" s="203">
        <f t="shared" si="39"/>
        <v>878231.55705903075</v>
      </c>
      <c r="S192" s="203">
        <f t="shared" si="39"/>
        <v>893777.50024633831</v>
      </c>
      <c r="T192" s="203">
        <f t="shared" si="39"/>
        <v>909294.17001120222</v>
      </c>
      <c r="U192" s="203">
        <f t="shared" si="39"/>
        <v>924824.7220774577</v>
      </c>
      <c r="V192" s="204">
        <f>SUM(V190:V191)</f>
        <v>15784043.004099816</v>
      </c>
    </row>
    <row r="193" spans="2:14">
      <c r="C193" s="192"/>
      <c r="D193" s="192"/>
    </row>
    <row r="194" spans="2:14">
      <c r="C194" s="192"/>
      <c r="D194" s="192"/>
      <c r="L194" s="272" t="s">
        <v>389</v>
      </c>
      <c r="M194" s="273" t="s">
        <v>390</v>
      </c>
      <c r="N194" s="274" t="s">
        <v>391</v>
      </c>
    </row>
    <row r="195" spans="2:14">
      <c r="C195" s="192"/>
      <c r="D195" s="192"/>
      <c r="I195" s="183" t="s">
        <v>392</v>
      </c>
      <c r="J195" s="227"/>
      <c r="K195" s="227"/>
      <c r="L195" s="435">
        <f>NPV(WACC!AO38,H192:V192)</f>
        <v>11654106.625181383</v>
      </c>
      <c r="M195" s="221"/>
      <c r="N195" s="193"/>
    </row>
    <row r="196" spans="2:14">
      <c r="C196" s="192"/>
      <c r="D196" s="192"/>
      <c r="I196" s="188" t="s">
        <v>393</v>
      </c>
      <c r="J196" s="192"/>
      <c r="K196" s="192"/>
      <c r="L196" s="437">
        <f>'EE.FF Económicos'!$H$24</f>
        <v>5437375</v>
      </c>
      <c r="M196" s="221"/>
      <c r="N196" s="193"/>
    </row>
    <row r="197" spans="2:14">
      <c r="C197" s="192"/>
      <c r="D197" s="192"/>
      <c r="I197" s="275" t="s">
        <v>394</v>
      </c>
      <c r="J197" s="276"/>
      <c r="K197" s="276"/>
      <c r="L197" s="446">
        <f>L195-L196</f>
        <v>6216731.6251813825</v>
      </c>
      <c r="M197" s="277">
        <v>5125509.9725500001</v>
      </c>
      <c r="N197" s="278">
        <v>8556636.4831000008</v>
      </c>
    </row>
    <row r="198" spans="2:14">
      <c r="C198" s="192"/>
      <c r="D198" s="192"/>
      <c r="I198" s="279" t="s">
        <v>395</v>
      </c>
      <c r="J198" s="280"/>
      <c r="K198" s="280"/>
      <c r="L198" s="281">
        <f>L197/'Plantilla Usuario'!C5</f>
        <v>7.3380456839956834</v>
      </c>
      <c r="M198" s="306">
        <v>6.05</v>
      </c>
      <c r="N198" s="368">
        <v>10.1</v>
      </c>
    </row>
    <row r="199" spans="2:14">
      <c r="C199" s="192"/>
      <c r="D199" s="192"/>
    </row>
    <row r="200" spans="2:14">
      <c r="B200" s="633" t="s">
        <v>456</v>
      </c>
      <c r="C200" s="634" t="s">
        <v>457</v>
      </c>
      <c r="D200" s="192"/>
    </row>
    <row r="201" spans="2:14">
      <c r="B201" s="631" t="s">
        <v>1048</v>
      </c>
      <c r="C201" s="632">
        <f t="shared" ref="C201" si="40">+L184</f>
        <v>2519957.0813417425</v>
      </c>
      <c r="L201" s="282"/>
    </row>
    <row r="202" spans="2:14">
      <c r="B202" s="631" t="s">
        <v>1047</v>
      </c>
      <c r="C202" s="632">
        <f>+L197</f>
        <v>6216731.6251813825</v>
      </c>
    </row>
    <row r="203" spans="2:14">
      <c r="B203" s="635" t="s">
        <v>395</v>
      </c>
      <c r="C203" s="636">
        <f>+L198</f>
        <v>7.3380456839956834</v>
      </c>
    </row>
  </sheetData>
  <mergeCells count="17">
    <mergeCell ref="B115:B116"/>
    <mergeCell ref="E127:F127"/>
    <mergeCell ref="B135:B136"/>
    <mergeCell ref="E149:F149"/>
    <mergeCell ref="B159:B160"/>
    <mergeCell ref="E107:F107"/>
    <mergeCell ref="B7:B8"/>
    <mergeCell ref="E18:F18"/>
    <mergeCell ref="B24:B25"/>
    <mergeCell ref="E35:F35"/>
    <mergeCell ref="B42:B43"/>
    <mergeCell ref="E53:F53"/>
    <mergeCell ref="B60:B61"/>
    <mergeCell ref="E71:F71"/>
    <mergeCell ref="B78:B79"/>
    <mergeCell ref="E89:F89"/>
    <mergeCell ref="B96:B97"/>
  </mergeCells>
  <conditionalFormatting sqref="H12:V12">
    <cfRule type="cellIs" dxfId="5" priority="6" operator="equal">
      <formula>0.015</formula>
    </cfRule>
  </conditionalFormatting>
  <conditionalFormatting sqref="H29:V29">
    <cfRule type="cellIs" dxfId="4" priority="5" operator="equal">
      <formula>0.015</formula>
    </cfRule>
  </conditionalFormatting>
  <conditionalFormatting sqref="H47:V47">
    <cfRule type="cellIs" dxfId="3" priority="4" operator="equal">
      <formula>0.015</formula>
    </cfRule>
  </conditionalFormatting>
  <conditionalFormatting sqref="H65:V65">
    <cfRule type="cellIs" dxfId="2" priority="3" operator="equal">
      <formula>0.015</formula>
    </cfRule>
  </conditionalFormatting>
  <conditionalFormatting sqref="H83:V83">
    <cfRule type="cellIs" dxfId="1" priority="2" operator="equal">
      <formula>0.015</formula>
    </cfRule>
  </conditionalFormatting>
  <conditionalFormatting sqref="H101:V101">
    <cfRule type="cellIs" dxfId="0" priority="1" operator="equal">
      <formula>0.015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331F-CE4C-4CA4-9206-735DB3F0BDD4}">
  <sheetPr codeName="Hoja2"/>
  <dimension ref="B2:K60"/>
  <sheetViews>
    <sheetView showGridLines="0" zoomScale="55" zoomScaleNormal="55" workbookViewId="0">
      <selection activeCell="A21" sqref="A21:XFD21"/>
    </sheetView>
  </sheetViews>
  <sheetFormatPr baseColWidth="10" defaultColWidth="11.5546875" defaultRowHeight="14.4"/>
  <cols>
    <col min="1" max="1" width="11.5546875" style="129" customWidth="1"/>
    <col min="2" max="2" width="5.33203125" style="128" customWidth="1"/>
    <col min="3" max="3" width="50.44140625" style="129" bestFit="1" customWidth="1"/>
    <col min="4" max="5" width="16.109375" style="129" bestFit="1" customWidth="1"/>
    <col min="6" max="6" width="15.6640625" style="129" bestFit="1" customWidth="1"/>
    <col min="7" max="7" width="16.109375" style="129" bestFit="1" customWidth="1"/>
    <col min="8" max="8" width="16.88671875" style="129" bestFit="1" customWidth="1"/>
    <col min="9" max="9" width="11.5546875" style="129"/>
    <col min="10" max="10" width="12.6640625" style="129" bestFit="1" customWidth="1"/>
    <col min="11" max="16384" width="11.5546875" style="129"/>
  </cols>
  <sheetData>
    <row r="2" spans="2:11">
      <c r="B2" s="149" t="s">
        <v>339</v>
      </c>
      <c r="C2" s="150" t="s">
        <v>300</v>
      </c>
      <c r="D2" s="151">
        <f>IFERROR(IF(E2&gt;'Plantilla Usuario'!$C$7,E2-1,""),"")</f>
        <v>2017</v>
      </c>
      <c r="E2" s="151">
        <f>IFERROR(IF(F2&gt;'Plantilla Usuario'!$C$7,F2-1,""),"")</f>
        <v>2018</v>
      </c>
      <c r="F2" s="151">
        <f>IFERROR(IF(G2&gt;'Plantilla Usuario'!$C$7,G2-1,""),"")</f>
        <v>2019</v>
      </c>
      <c r="G2" s="151">
        <f>IFERROR(IF(H2&gt;'Plantilla Usuario'!$C$7,H2-1,""),"")</f>
        <v>2020</v>
      </c>
      <c r="H2" s="151">
        <f>'Plantilla Usuario'!C8</f>
        <v>2021</v>
      </c>
      <c r="J2" s="152"/>
    </row>
    <row r="3" spans="2:11">
      <c r="B3" s="128">
        <v>1</v>
      </c>
      <c r="C3" s="153"/>
      <c r="D3" s="154">
        <f>IFERROR(IF(E3-1&lt;1,"",E3-1),"")</f>
        <v>1</v>
      </c>
      <c r="E3" s="154">
        <f>IFERROR(IF(F3-1&lt;1,"",F3-1),"")</f>
        <v>2</v>
      </c>
      <c r="F3" s="154">
        <f>IFERROR(IF(G3-1&lt;1,"",G3-1),"")</f>
        <v>3</v>
      </c>
      <c r="G3" s="154">
        <f>IFERROR(IF(H3-1&lt;1,"",H3-1),"")</f>
        <v>4</v>
      </c>
      <c r="H3" s="154">
        <f>5-COUNTBLANK(D2:H2)</f>
        <v>5</v>
      </c>
      <c r="J3" s="419"/>
    </row>
    <row r="4" spans="2:11">
      <c r="B4" s="128">
        <v>2</v>
      </c>
      <c r="C4" s="129" t="s">
        <v>301</v>
      </c>
      <c r="D4" s="155">
        <f>IF('EE.FF Económicos'!$D$54="Soles",HLOOKUP(D$2,'Plantilla Usuario'!$B$10:$I$54,$B4),HLOOKUP(D$2,'Plantilla Usuario'!$B$10:$I$54,$B4)/VLOOKUP($H$2,Tablas!$B$52:$C$59,2))</f>
        <v>3289719</v>
      </c>
      <c r="E4" s="155">
        <f>IF('EE.FF Económicos'!$D$54="Soles",HLOOKUP(E$2,'Plantilla Usuario'!$B$10:$I$54,$B4),HLOOKUP(E$2,'Plantilla Usuario'!$B$10:$I$54,$B4)/VLOOKUP($H$2,Tablas!$B$52:$C$59,2))</f>
        <v>4103986</v>
      </c>
      <c r="F4" s="155">
        <f>IF('EE.FF Económicos'!$D$54="Soles",HLOOKUP(F$2,'Plantilla Usuario'!$B$10:$I$54,$B4),HLOOKUP(F$2,'Plantilla Usuario'!$B$10:$I$54,$B4)/VLOOKUP($H$2,Tablas!$B$52:$C$59,2))</f>
        <v>4490817</v>
      </c>
      <c r="G4" s="155">
        <f>IF('EE.FF Económicos'!$D$54="Soles",HLOOKUP(G$2,'Plantilla Usuario'!$B$10:$I$54,$B4),HLOOKUP(G$2,'Plantilla Usuario'!$B$10:$I$54,$B4)/VLOOKUP($H$2,Tablas!$B$52:$C$59,2))</f>
        <v>4618768</v>
      </c>
      <c r="H4" s="155">
        <f>IF('EE.FF Económicos'!$D$54="Soles",HLOOKUP(H$2,'Plantilla Usuario'!$B$10:$I$54,$B4),HLOOKUP(H$2,'Plantilla Usuario'!$B$10:$I$54,$B4)/VLOOKUP($H$2,Tablas!$B$52:$C$59,2))</f>
        <v>6509850</v>
      </c>
      <c r="J4" s="418"/>
      <c r="K4" s="366"/>
    </row>
    <row r="5" spans="2:11">
      <c r="B5" s="128">
        <v>3</v>
      </c>
      <c r="C5" s="129" t="s">
        <v>302</v>
      </c>
      <c r="D5" s="155">
        <f>IF('EE.FF Económicos'!$D$54="Soles",HLOOKUP(D$2,'Plantilla Usuario'!$B$10:$I$54,$B5),HLOOKUP(D$2,'Plantilla Usuario'!$B$10:$I$54,$B5)/VLOOKUP($H$2,Tablas!$B$52:$C$59,2))</f>
        <v>0</v>
      </c>
      <c r="E5" s="155">
        <f>IF('EE.FF Económicos'!$D$54="Soles",HLOOKUP(E$2,'Plantilla Usuario'!$B$10:$I$54,$B5),HLOOKUP(E$2,'Plantilla Usuario'!$B$10:$I$54,$B5)/VLOOKUP($H$2,Tablas!$B$52:$C$59,2))</f>
        <v>0</v>
      </c>
      <c r="F5" s="155">
        <f>IF('EE.FF Económicos'!$D$54="Soles",HLOOKUP(F$2,'Plantilla Usuario'!$B$10:$I$54,$B5),HLOOKUP(F$2,'Plantilla Usuario'!$B$10:$I$54,$B5)/VLOOKUP($H$2,Tablas!$B$52:$C$59,2))</f>
        <v>0</v>
      </c>
      <c r="G5" s="155">
        <f>IF('EE.FF Económicos'!$D$54="Soles",HLOOKUP(G$2,'Plantilla Usuario'!$B$10:$I$54,$B5),HLOOKUP(G$2,'Plantilla Usuario'!$B$10:$I$54,$B5)/VLOOKUP($H$2,Tablas!$B$52:$C$59,2))</f>
        <v>0</v>
      </c>
      <c r="H5" s="155">
        <f>IF('EE.FF Económicos'!$D$54="Soles",HLOOKUP(H$2,'Plantilla Usuario'!$B$10:$I$54,$B5),HLOOKUP(H$2,'Plantilla Usuario'!$B$10:$I$54,$B5)/VLOOKUP($H$2,Tablas!$B$52:$C$59,2))</f>
        <v>0</v>
      </c>
      <c r="J5" s="420"/>
    </row>
    <row r="6" spans="2:11">
      <c r="B6" s="128">
        <v>4</v>
      </c>
      <c r="C6" s="129" t="s">
        <v>303</v>
      </c>
      <c r="D6" s="155">
        <f>IF('EE.FF Económicos'!$D$54="Soles",HLOOKUP(D$2,'Plantilla Usuario'!$B$10:$I$54,$B6),HLOOKUP(D$2,'Plantilla Usuario'!$B$10:$I$54,$B6)/VLOOKUP($H$2,Tablas!$B$52:$C$59,2))</f>
        <v>0</v>
      </c>
      <c r="E6" s="155">
        <f>IF('EE.FF Económicos'!$D$54="Soles",HLOOKUP(E$2,'Plantilla Usuario'!$B$10:$I$54,$B6),HLOOKUP(E$2,'Plantilla Usuario'!$B$10:$I$54,$B6)/VLOOKUP($H$2,Tablas!$B$52:$C$59,2))</f>
        <v>0</v>
      </c>
      <c r="F6" s="155">
        <f>IF('EE.FF Económicos'!$D$54="Soles",HLOOKUP(F$2,'Plantilla Usuario'!$B$10:$I$54,$B6),HLOOKUP(F$2,'Plantilla Usuario'!$B$10:$I$54,$B6)/VLOOKUP($H$2,Tablas!$B$52:$C$59,2))</f>
        <v>0</v>
      </c>
      <c r="G6" s="155">
        <f>IF('EE.FF Económicos'!$D$54="Soles",HLOOKUP(G$2,'Plantilla Usuario'!$B$10:$I$54,$B6),HLOOKUP(G$2,'Plantilla Usuario'!$B$10:$I$54,$B6)/VLOOKUP($H$2,Tablas!$B$52:$C$59,2))</f>
        <v>0</v>
      </c>
      <c r="H6" s="155">
        <f>IF('EE.FF Económicos'!$D$54="Soles",HLOOKUP(H$2,'Plantilla Usuario'!$B$10:$I$54,$B6),HLOOKUP(H$2,'Plantilla Usuario'!$B$10:$I$54,$B6)/VLOOKUP($H$2,Tablas!$B$52:$C$59,2))</f>
        <v>0</v>
      </c>
    </row>
    <row r="7" spans="2:11">
      <c r="B7" s="128">
        <v>5</v>
      </c>
      <c r="C7" s="129" t="s">
        <v>304</v>
      </c>
      <c r="D7" s="155">
        <f>IF('EE.FF Económicos'!$D$54="Soles",HLOOKUP(D$2,'Plantilla Usuario'!$B$10:$I$54,$B7),HLOOKUP(D$2,'Plantilla Usuario'!$B$10:$I$54,$B7)/VLOOKUP($H$2,Tablas!$B$52:$C$59,2))</f>
        <v>0</v>
      </c>
      <c r="E7" s="155">
        <f>IF('EE.FF Económicos'!$D$54="Soles",HLOOKUP(E$2,'Plantilla Usuario'!$B$10:$I$54,$B7),HLOOKUP(E$2,'Plantilla Usuario'!$B$10:$I$54,$B7)/VLOOKUP($H$2,Tablas!$B$52:$C$59,2))</f>
        <v>0</v>
      </c>
      <c r="F7" s="155">
        <f>IF('EE.FF Económicos'!$D$54="Soles",HLOOKUP(F$2,'Plantilla Usuario'!$B$10:$I$54,$B7),HLOOKUP(F$2,'Plantilla Usuario'!$B$10:$I$54,$B7)/VLOOKUP($H$2,Tablas!$B$52:$C$59,2))</f>
        <v>0</v>
      </c>
      <c r="G7" s="155">
        <f>IF('EE.FF Económicos'!$D$54="Soles",HLOOKUP(G$2,'Plantilla Usuario'!$B$10:$I$54,$B7),HLOOKUP(G$2,'Plantilla Usuario'!$B$10:$I$54,$B7)/VLOOKUP($H$2,Tablas!$B$52:$C$59,2))</f>
        <v>0</v>
      </c>
      <c r="H7" s="155">
        <f>IF('EE.FF Económicos'!$D$54="Soles",HLOOKUP(H$2,'Plantilla Usuario'!$B$10:$I$54,$B7),HLOOKUP(H$2,'Plantilla Usuario'!$B$10:$I$54,$B7)/VLOOKUP($H$2,Tablas!$B$52:$C$59,2))</f>
        <v>0</v>
      </c>
    </row>
    <row r="8" spans="2:11">
      <c r="B8" s="128">
        <v>6</v>
      </c>
      <c r="C8" s="131" t="s">
        <v>305</v>
      </c>
      <c r="D8" s="411">
        <f>IF('EE.FF Económicos'!$D$54="Soles",HLOOKUP(D$2,'Plantilla Usuario'!$B$10:$I$54,$B8),HLOOKUP(D$2,'Plantilla Usuario'!$B$10:$I$54,$B8)/VLOOKUP($H$2,Tablas!$B$52:$C$59,2))</f>
        <v>3289719</v>
      </c>
      <c r="E8" s="411">
        <f>IF('EE.FF Económicos'!$D$54="Soles",HLOOKUP(E$2,'Plantilla Usuario'!$B$10:$I$54,$B8),HLOOKUP(E$2,'Plantilla Usuario'!$B$10:$I$54,$B8)/VLOOKUP($H$2,Tablas!$B$52:$C$59,2))</f>
        <v>4103986</v>
      </c>
      <c r="F8" s="411">
        <f>IF('EE.FF Económicos'!$D$54="Soles",HLOOKUP(F$2,'Plantilla Usuario'!$B$10:$I$54,$B8),HLOOKUP(F$2,'Plantilla Usuario'!$B$10:$I$54,$B8)/VLOOKUP($H$2,Tablas!$B$52:$C$59,2))</f>
        <v>4490817</v>
      </c>
      <c r="G8" s="411">
        <f>IF('EE.FF Económicos'!$D$54="Soles",HLOOKUP(G$2,'Plantilla Usuario'!$B$10:$I$54,$B8),HLOOKUP(G$2,'Plantilla Usuario'!$B$10:$I$54,$B8)/VLOOKUP($H$2,Tablas!$B$52:$C$59,2))</f>
        <v>4618768</v>
      </c>
      <c r="H8" s="411">
        <f>IF('EE.FF Económicos'!$D$54="Soles",HLOOKUP(H$2,'Plantilla Usuario'!$B$10:$I$54,$B8),HLOOKUP(H$2,'Plantilla Usuario'!$B$10:$I$54,$B8)/VLOOKUP($H$2,Tablas!$B$52:$C$59,2))</f>
        <v>6509850</v>
      </c>
    </row>
    <row r="9" spans="2:11">
      <c r="B9" s="128">
        <v>7</v>
      </c>
      <c r="C9" s="129" t="s">
        <v>302</v>
      </c>
      <c r="D9" s="155">
        <f>IF('EE.FF Económicos'!$D$54="Soles",HLOOKUP(D$2,'Plantilla Usuario'!$B$10:$I$54,$B9),HLOOKUP(D$2,'Plantilla Usuario'!$B$10:$I$54,$B9)/VLOOKUP($H$2,Tablas!$B$52:$C$59,2))</f>
        <v>3826276</v>
      </c>
      <c r="E9" s="155">
        <f>IF('EE.FF Económicos'!$D$54="Soles",HLOOKUP(E$2,'Plantilla Usuario'!$B$10:$I$54,$B9),HLOOKUP(E$2,'Plantilla Usuario'!$B$10:$I$54,$B9)/VLOOKUP($H$2,Tablas!$B$52:$C$59,2))</f>
        <v>4955240</v>
      </c>
      <c r="F9" s="155">
        <f>IF('EE.FF Económicos'!$D$54="Soles",HLOOKUP(F$2,'Plantilla Usuario'!$B$10:$I$54,$B9),HLOOKUP(F$2,'Plantilla Usuario'!$B$10:$I$54,$B9)/VLOOKUP($H$2,Tablas!$B$52:$C$59,2))</f>
        <v>6751464</v>
      </c>
      <c r="G9" s="155">
        <f>IF('EE.FF Económicos'!$D$54="Soles",HLOOKUP(G$2,'Plantilla Usuario'!$B$10:$I$54,$B9),HLOOKUP(G$2,'Plantilla Usuario'!$B$10:$I$54,$B9)/VLOOKUP($H$2,Tablas!$B$52:$C$59,2))</f>
        <v>7031343</v>
      </c>
      <c r="H9" s="155">
        <f>IF('EE.FF Económicos'!$D$54="Soles",HLOOKUP(H$2,'Plantilla Usuario'!$B$10:$I$54,$B9),HLOOKUP(H$2,'Plantilla Usuario'!$B$10:$I$54,$B9)/VLOOKUP($H$2,Tablas!$B$52:$C$59,2))</f>
        <v>6898453</v>
      </c>
    </row>
    <row r="10" spans="2:11">
      <c r="B10" s="128">
        <v>8</v>
      </c>
      <c r="C10" s="129" t="s">
        <v>306</v>
      </c>
      <c r="D10" s="155">
        <f>IF('EE.FF Económicos'!$D$54="Soles",HLOOKUP(D$2,'Plantilla Usuario'!$B$10:$I$54,$B10),HLOOKUP(D$2,'Plantilla Usuario'!$B$10:$I$54,$B10)/VLOOKUP($H$2,Tablas!$B$52:$C$59,2))</f>
        <v>0</v>
      </c>
      <c r="E10" s="155">
        <f>IF('EE.FF Económicos'!$D$54="Soles",HLOOKUP(E$2,'Plantilla Usuario'!$B$10:$I$54,$B10),HLOOKUP(E$2,'Plantilla Usuario'!$B$10:$I$54,$B10)/VLOOKUP($H$2,Tablas!$B$52:$C$59,2))</f>
        <v>0</v>
      </c>
      <c r="F10" s="155">
        <f>IF('EE.FF Económicos'!$D$54="Soles",HLOOKUP(F$2,'Plantilla Usuario'!$B$10:$I$54,$B10),HLOOKUP(F$2,'Plantilla Usuario'!$B$10:$I$54,$B10)/VLOOKUP($H$2,Tablas!$B$52:$C$59,2))</f>
        <v>0</v>
      </c>
      <c r="G10" s="155">
        <f>IF('EE.FF Económicos'!$D$54="Soles",HLOOKUP(G$2,'Plantilla Usuario'!$B$10:$I$54,$B10),HLOOKUP(G$2,'Plantilla Usuario'!$B$10:$I$54,$B10)/VLOOKUP($H$2,Tablas!$B$52:$C$59,2))</f>
        <v>0</v>
      </c>
      <c r="H10" s="155">
        <f>IF('EE.FF Económicos'!$D$54="Soles",HLOOKUP(H$2,'Plantilla Usuario'!$B$10:$I$54,$B10),HLOOKUP(H$2,'Plantilla Usuario'!$B$10:$I$54,$B10)/VLOOKUP($H$2,Tablas!$B$52:$C$59,2))</f>
        <v>0</v>
      </c>
    </row>
    <row r="11" spans="2:11">
      <c r="B11" s="128">
        <v>9</v>
      </c>
      <c r="C11" s="129" t="s">
        <v>307</v>
      </c>
      <c r="D11" s="155">
        <f>IF('EE.FF Económicos'!$D$54="Soles",HLOOKUP(D$2,'Plantilla Usuario'!$B$10:$I$54,$B11),HLOOKUP(D$2,'Plantilla Usuario'!$B$10:$I$54,$B11)/VLOOKUP($H$2,Tablas!$B$52:$C$59,2))</f>
        <v>1865624</v>
      </c>
      <c r="E11" s="155">
        <f>IF('EE.FF Económicos'!$D$54="Soles",HLOOKUP(E$2,'Plantilla Usuario'!$B$10:$I$54,$B11),HLOOKUP(E$2,'Plantilla Usuario'!$B$10:$I$54,$B11)/VLOOKUP($H$2,Tablas!$B$52:$C$59,2))</f>
        <v>2537852</v>
      </c>
      <c r="F11" s="155">
        <f>IF('EE.FF Económicos'!$D$54="Soles",HLOOKUP(F$2,'Plantilla Usuario'!$B$10:$I$54,$B11),HLOOKUP(F$2,'Plantilla Usuario'!$B$10:$I$54,$B11)/VLOOKUP($H$2,Tablas!$B$52:$C$59,2))</f>
        <v>3323015</v>
      </c>
      <c r="G11" s="155">
        <f>IF('EE.FF Económicos'!$D$54="Soles",HLOOKUP(G$2,'Plantilla Usuario'!$B$10:$I$54,$B11),HLOOKUP(G$2,'Plantilla Usuario'!$B$10:$I$54,$B11)/VLOOKUP($H$2,Tablas!$B$52:$C$59,2))</f>
        <v>3410774</v>
      </c>
      <c r="H11" s="155">
        <f>IF('EE.FF Económicos'!$D$54="Soles",HLOOKUP(H$2,'Plantilla Usuario'!$B$10:$I$54,$B11),HLOOKUP(H$2,'Plantilla Usuario'!$B$10:$I$54,$B11)/VLOOKUP($H$2,Tablas!$B$52:$C$59,2))</f>
        <v>3343589</v>
      </c>
    </row>
    <row r="12" spans="2:11">
      <c r="B12" s="128">
        <v>10</v>
      </c>
      <c r="C12" s="129" t="s">
        <v>340</v>
      </c>
      <c r="D12" s="155">
        <f>IF('EE.FF Económicos'!$D$54="Soles",HLOOKUP(D$2,'Plantilla Usuario'!$B$10:$I$54,$B12),HLOOKUP(D$2,'Plantilla Usuario'!$B$10:$I$54,$B12)/VLOOKUP($H$2,Tablas!$B$52:$C$59,2))</f>
        <v>1198090</v>
      </c>
      <c r="E12" s="155">
        <f>IF('EE.FF Económicos'!$D$54="Soles",HLOOKUP(E$2,'Plantilla Usuario'!$B$10:$I$54,$B12),HLOOKUP(E$2,'Plantilla Usuario'!$B$10:$I$54,$B12)/VLOOKUP($H$2,Tablas!$B$52:$C$59,2))</f>
        <v>1361126</v>
      </c>
      <c r="F12" s="155">
        <f>IF('EE.FF Económicos'!$D$54="Soles",HLOOKUP(F$2,'Plantilla Usuario'!$B$10:$I$54,$B12),HLOOKUP(F$2,'Plantilla Usuario'!$B$10:$I$54,$B12)/VLOOKUP($H$2,Tablas!$B$52:$C$59,2))</f>
        <v>1540298</v>
      </c>
      <c r="G12" s="155">
        <f>IF('EE.FF Económicos'!$D$54="Soles",HLOOKUP(G$2,'Plantilla Usuario'!$B$10:$I$54,$B12),HLOOKUP(G$2,'Plantilla Usuario'!$B$10:$I$54,$B12)/VLOOKUP($H$2,Tablas!$B$52:$C$59,2))</f>
        <v>1801309</v>
      </c>
      <c r="H12" s="155">
        <f>IF('EE.FF Económicos'!$D$54="Soles",HLOOKUP(H$2,'Plantilla Usuario'!$B$10:$I$54,$B12),HLOOKUP(H$2,'Plantilla Usuario'!$B$10:$I$54,$B12)/VLOOKUP($H$2,Tablas!$B$52:$C$59,2))</f>
        <v>1973854</v>
      </c>
    </row>
    <row r="13" spans="2:11">
      <c r="B13" s="128">
        <v>11</v>
      </c>
      <c r="C13" s="129" t="s">
        <v>309</v>
      </c>
      <c r="D13" s="155">
        <f>IF('EE.FF Económicos'!$D$54="Soles",HLOOKUP(D$2,'Plantilla Usuario'!$B$10:$I$54,$B13),HLOOKUP(D$2,'Plantilla Usuario'!$B$10:$I$54,$B13)/VLOOKUP($H$2,Tablas!$B$52:$C$59,2))</f>
        <v>0</v>
      </c>
      <c r="E13" s="155">
        <f>IF('EE.FF Económicos'!$D$54="Soles",HLOOKUP(E$2,'Plantilla Usuario'!$B$10:$I$54,$B13),HLOOKUP(E$2,'Plantilla Usuario'!$B$10:$I$54,$B13)/VLOOKUP($H$2,Tablas!$B$52:$C$59,2))</f>
        <v>0</v>
      </c>
      <c r="F13" s="155">
        <f>IF('EE.FF Económicos'!$D$54="Soles",HLOOKUP(F$2,'Plantilla Usuario'!$B$10:$I$54,$B13),HLOOKUP(F$2,'Plantilla Usuario'!$B$10:$I$54,$B13)/VLOOKUP($H$2,Tablas!$B$52:$C$59,2))</f>
        <v>0</v>
      </c>
      <c r="G13" s="155">
        <f>IF('EE.FF Económicos'!$D$54="Soles",HLOOKUP(G$2,'Plantilla Usuario'!$B$10:$I$54,$B13),HLOOKUP(G$2,'Plantilla Usuario'!$B$10:$I$54,$B13)/VLOOKUP($H$2,Tablas!$B$52:$C$59,2))</f>
        <v>0</v>
      </c>
      <c r="H13" s="155">
        <f>IF('EE.FF Económicos'!$D$54="Soles",HLOOKUP(H$2,'Plantilla Usuario'!$B$10:$I$54,$B13),HLOOKUP(H$2,'Plantilla Usuario'!$B$10:$I$54,$B13)/VLOOKUP($H$2,Tablas!$B$52:$C$59,2))</f>
        <v>0</v>
      </c>
    </row>
    <row r="14" spans="2:11">
      <c r="B14" s="128">
        <v>12</v>
      </c>
      <c r="C14" s="129" t="s">
        <v>304</v>
      </c>
      <c r="D14" s="155">
        <f>IF('EE.FF Económicos'!$D$54="Soles",HLOOKUP(D$2,'Plantilla Usuario'!$B$10:$I$54,$B14),HLOOKUP(D$2,'Plantilla Usuario'!$B$10:$I$54,$B14)/VLOOKUP($H$2,Tablas!$B$52:$C$59,2))</f>
        <v>0</v>
      </c>
      <c r="E14" s="155">
        <f>IF('EE.FF Económicos'!$D$54="Soles",HLOOKUP(E$2,'Plantilla Usuario'!$B$10:$I$54,$B14),HLOOKUP(E$2,'Plantilla Usuario'!$B$10:$I$54,$B14)/VLOOKUP($H$2,Tablas!$B$52:$C$59,2))</f>
        <v>0</v>
      </c>
      <c r="F14" s="155">
        <f>IF('EE.FF Económicos'!$D$54="Soles",HLOOKUP(F$2,'Plantilla Usuario'!$B$10:$I$54,$B14),HLOOKUP(F$2,'Plantilla Usuario'!$B$10:$I$54,$B14)/VLOOKUP($H$2,Tablas!$B$52:$C$59,2))</f>
        <v>0</v>
      </c>
      <c r="G14" s="155">
        <f>IF('EE.FF Económicos'!$D$54="Soles",HLOOKUP(G$2,'Plantilla Usuario'!$B$10:$I$54,$B14),HLOOKUP(G$2,'Plantilla Usuario'!$B$10:$I$54,$B14)/VLOOKUP($H$2,Tablas!$B$52:$C$59,2))</f>
        <v>0</v>
      </c>
      <c r="H14" s="155">
        <f>IF('EE.FF Económicos'!$D$54="Soles",HLOOKUP(H$2,'Plantilla Usuario'!$B$10:$I$54,$B14),HLOOKUP(H$2,'Plantilla Usuario'!$B$10:$I$54,$B14)/VLOOKUP($H$2,Tablas!$B$52:$C$59,2))</f>
        <v>0</v>
      </c>
    </row>
    <row r="15" spans="2:11">
      <c r="B15" s="128">
        <v>13</v>
      </c>
      <c r="C15" s="131" t="s">
        <v>310</v>
      </c>
      <c r="D15" s="411">
        <f>IF('EE.FF Económicos'!$D$54="Soles",HLOOKUP(D$2,'Plantilla Usuario'!$B$10:$I$54,$B15),HLOOKUP(D$2,'Plantilla Usuario'!$B$10:$I$54,$B15)/VLOOKUP($H$2,Tablas!$B$52:$C$59,2))</f>
        <v>3826276</v>
      </c>
      <c r="E15" s="411">
        <f>IF('EE.FF Económicos'!$D$54="Soles",HLOOKUP(E$2,'Plantilla Usuario'!$B$10:$I$54,$B15),HLOOKUP(E$2,'Plantilla Usuario'!$B$10:$I$54,$B15)/VLOOKUP($H$2,Tablas!$B$52:$C$59,2))</f>
        <v>4955240</v>
      </c>
      <c r="F15" s="411">
        <f>IF('EE.FF Económicos'!$D$54="Soles",HLOOKUP(F$2,'Plantilla Usuario'!$B$10:$I$54,$B15),HLOOKUP(F$2,'Plantilla Usuario'!$B$10:$I$54,$B15)/VLOOKUP($H$2,Tablas!$B$52:$C$59,2))</f>
        <v>6751464</v>
      </c>
      <c r="G15" s="411">
        <f>IF('EE.FF Económicos'!$D$54="Soles",HLOOKUP(G$2,'Plantilla Usuario'!$B$10:$I$54,$B15),HLOOKUP(G$2,'Plantilla Usuario'!$B$10:$I$54,$B15)/VLOOKUP($H$2,Tablas!$B$52:$C$59,2))</f>
        <v>7031343</v>
      </c>
      <c r="H15" s="411">
        <f>IF('EE.FF Económicos'!$D$54="Soles",HLOOKUP(H$2,'Plantilla Usuario'!$B$10:$I$54,$B15),HLOOKUP(H$2,'Plantilla Usuario'!$B$10:$I$54,$B15)/VLOOKUP($H$2,Tablas!$B$52:$C$59,2))</f>
        <v>6898453</v>
      </c>
    </row>
    <row r="16" spans="2:11">
      <c r="B16" s="128">
        <v>14</v>
      </c>
      <c r="C16" s="156" t="s">
        <v>311</v>
      </c>
      <c r="D16" s="157">
        <f>IF('EE.FF Económicos'!$D$54="Soles",HLOOKUP(D$2,'Plantilla Usuario'!$B$10:$I$54,$B16),HLOOKUP(D$2,'Plantilla Usuario'!$B$10:$I$54,$B16)/VLOOKUP($H$2,Tablas!$B$52:$C$59,2))</f>
        <v>7115995</v>
      </c>
      <c r="E16" s="157">
        <f>IF('EE.FF Económicos'!$D$54="Soles",HLOOKUP(E$2,'Plantilla Usuario'!$B$10:$I$54,$B16),HLOOKUP(E$2,'Plantilla Usuario'!$B$10:$I$54,$B16)/VLOOKUP($H$2,Tablas!$B$52:$C$59,2))</f>
        <v>9059226</v>
      </c>
      <c r="F16" s="157">
        <f>IF('EE.FF Económicos'!$D$54="Soles",HLOOKUP(F$2,'Plantilla Usuario'!$B$10:$I$54,$B16),HLOOKUP(F$2,'Plantilla Usuario'!$B$10:$I$54,$B16)/VLOOKUP($H$2,Tablas!$B$52:$C$59,2))</f>
        <v>11242281</v>
      </c>
      <c r="G16" s="157">
        <f>IF('EE.FF Económicos'!$D$54="Soles",HLOOKUP(G$2,'Plantilla Usuario'!$B$10:$I$54,$B16),HLOOKUP(G$2,'Plantilla Usuario'!$B$10:$I$54,$B16)/VLOOKUP($H$2,Tablas!$B$52:$C$59,2))</f>
        <v>11650111</v>
      </c>
      <c r="H16" s="157">
        <f>IF('EE.FF Económicos'!$D$54="Soles",HLOOKUP(H$2,'Plantilla Usuario'!$B$10:$I$54,$B16),HLOOKUP(H$2,'Plantilla Usuario'!$B$10:$I$54,$B16)/VLOOKUP($H$2,Tablas!$B$52:$C$59,2))</f>
        <v>13408303</v>
      </c>
    </row>
    <row r="17" spans="2:8">
      <c r="B17" s="128">
        <v>15</v>
      </c>
      <c r="C17" s="129" t="s">
        <v>312</v>
      </c>
      <c r="D17" s="155">
        <f>IF('EE.FF Económicos'!$D$54="Soles",HLOOKUP(D$2,'Plantilla Usuario'!$B$10:$I$54,$B17),HLOOKUP(D$2,'Plantilla Usuario'!$B$10:$I$54,$B17)/VLOOKUP($H$2,Tablas!$B$52:$C$59,2))</f>
        <v>0</v>
      </c>
      <c r="E17" s="155">
        <f>IF('EE.FF Económicos'!$D$54="Soles",HLOOKUP(E$2,'Plantilla Usuario'!$B$10:$I$54,$B17),HLOOKUP(E$2,'Plantilla Usuario'!$B$10:$I$54,$B17)/VLOOKUP($H$2,Tablas!$B$52:$C$59,2))</f>
        <v>0</v>
      </c>
      <c r="F17" s="155">
        <f>IF('EE.FF Económicos'!$D$54="Soles",HLOOKUP(F$2,'Plantilla Usuario'!$B$10:$I$54,$B17),HLOOKUP(F$2,'Plantilla Usuario'!$B$10:$I$54,$B17)/VLOOKUP($H$2,Tablas!$B$52:$C$59,2))</f>
        <v>0</v>
      </c>
      <c r="G17" s="155">
        <f>IF('EE.FF Económicos'!$D$54="Soles",HLOOKUP(G$2,'Plantilla Usuario'!$B$10:$I$54,$B17),HLOOKUP(G$2,'Plantilla Usuario'!$B$10:$I$54,$B17)/VLOOKUP($H$2,Tablas!$B$52:$C$59,2))</f>
        <v>558545</v>
      </c>
      <c r="H17" s="155">
        <f>IF('EE.FF Económicos'!$D$54="Soles",HLOOKUP(H$2,'Plantilla Usuario'!$B$10:$I$54,$B17),HLOOKUP(H$2,'Plantilla Usuario'!$B$10:$I$54,$B17)/VLOOKUP($H$2,Tablas!$B$52:$C$59,2))</f>
        <v>639174</v>
      </c>
    </row>
    <row r="18" spans="2:8">
      <c r="B18" s="128">
        <v>16</v>
      </c>
      <c r="C18" s="129" t="s">
        <v>313</v>
      </c>
      <c r="D18" s="155">
        <f>IF('EE.FF Económicos'!$D$54="Soles",HLOOKUP(D$2,'Plantilla Usuario'!$B$10:$I$54,$B18),HLOOKUP(D$2,'Plantilla Usuario'!$B$10:$I$54,$B18)/VLOOKUP($H$2,Tablas!$B$52:$C$59,2))</f>
        <v>0</v>
      </c>
      <c r="E18" s="155">
        <f>IF('EE.FF Económicos'!$D$54="Soles",HLOOKUP(E$2,'Plantilla Usuario'!$B$10:$I$54,$B18),HLOOKUP(E$2,'Plantilla Usuario'!$B$10:$I$54,$B18)/VLOOKUP($H$2,Tablas!$B$52:$C$59,2))</f>
        <v>0</v>
      </c>
      <c r="F18" s="155">
        <f>IF('EE.FF Económicos'!$D$54="Soles",HLOOKUP(F$2,'Plantilla Usuario'!$B$10:$I$54,$B18),HLOOKUP(F$2,'Plantilla Usuario'!$B$10:$I$54,$B18)/VLOOKUP($H$2,Tablas!$B$52:$C$59,2))</f>
        <v>0</v>
      </c>
      <c r="G18" s="155">
        <f>IF('EE.FF Económicos'!$D$54="Soles",HLOOKUP(G$2,'Plantilla Usuario'!$B$10:$I$54,$B18),HLOOKUP(G$2,'Plantilla Usuario'!$B$10:$I$54,$B18)/VLOOKUP($H$2,Tablas!$B$52:$C$59,2))</f>
        <v>0</v>
      </c>
      <c r="H18" s="155">
        <f>IF('EE.FF Económicos'!$D$54="Soles",HLOOKUP(H$2,'Plantilla Usuario'!$B$10:$I$54,$B18),HLOOKUP(H$2,'Plantilla Usuario'!$B$10:$I$54,$B18)/VLOOKUP($H$2,Tablas!$B$52:$C$59,2))</f>
        <v>0</v>
      </c>
    </row>
    <row r="19" spans="2:8">
      <c r="B19" s="128">
        <v>17</v>
      </c>
      <c r="C19" s="129" t="s">
        <v>314</v>
      </c>
      <c r="D19" s="155">
        <f>IF('EE.FF Económicos'!$D$54="Soles",HLOOKUP(D$2,'Plantilla Usuario'!$B$10:$I$54,$B19),HLOOKUP(D$2,'Plantilla Usuario'!$B$10:$I$54,$B19)/VLOOKUP($H$2,Tablas!$B$52:$C$59,2))</f>
        <v>0</v>
      </c>
      <c r="E19" s="155">
        <f>IF('EE.FF Económicos'!$D$54="Soles",HLOOKUP(E$2,'Plantilla Usuario'!$B$10:$I$54,$B19),HLOOKUP(E$2,'Plantilla Usuario'!$B$10:$I$54,$B19)/VLOOKUP($H$2,Tablas!$B$52:$C$59,2))</f>
        <v>0</v>
      </c>
      <c r="F19" s="155">
        <f>IF('EE.FF Económicos'!$D$54="Soles",HLOOKUP(F$2,'Plantilla Usuario'!$B$10:$I$54,$B19),HLOOKUP(F$2,'Plantilla Usuario'!$B$10:$I$54,$B19)/VLOOKUP($H$2,Tablas!$B$52:$C$59,2))</f>
        <v>0</v>
      </c>
      <c r="G19" s="155">
        <f>IF('EE.FF Económicos'!$D$54="Soles",HLOOKUP(G$2,'Plantilla Usuario'!$B$10:$I$54,$B19),HLOOKUP(G$2,'Plantilla Usuario'!$B$10:$I$54,$B19)/VLOOKUP($H$2,Tablas!$B$52:$C$59,2))</f>
        <v>0</v>
      </c>
      <c r="H19" s="155">
        <f>IF('EE.FF Económicos'!$D$54="Soles",HLOOKUP(H$2,'Plantilla Usuario'!$B$10:$I$54,$B19),HLOOKUP(H$2,'Plantilla Usuario'!$B$10:$I$54,$B19)/VLOOKUP($H$2,Tablas!$B$52:$C$59,2))</f>
        <v>0</v>
      </c>
    </row>
    <row r="20" spans="2:8">
      <c r="B20" s="128">
        <v>18</v>
      </c>
      <c r="C20" s="131" t="s">
        <v>315</v>
      </c>
      <c r="D20" s="411">
        <f>IF('EE.FF Económicos'!$D$54="Soles",HLOOKUP(D$2,'Plantilla Usuario'!$B$10:$I$54,$B20),HLOOKUP(D$2,'Plantilla Usuario'!$B$10:$I$54,$B20)/VLOOKUP($H$2,Tablas!$B$52:$C$59,2))</f>
        <v>2823965</v>
      </c>
      <c r="E20" s="411">
        <f>IF('EE.FF Económicos'!$D$54="Soles",HLOOKUP(E$2,'Plantilla Usuario'!$B$10:$I$54,$B20),HLOOKUP(E$2,'Plantilla Usuario'!$B$10:$I$54,$B20)/VLOOKUP($H$2,Tablas!$B$52:$C$59,2))</f>
        <v>3084554</v>
      </c>
      <c r="F20" s="411">
        <f>IF('EE.FF Económicos'!$D$54="Soles",HLOOKUP(F$2,'Plantilla Usuario'!$B$10:$I$54,$B20),HLOOKUP(F$2,'Plantilla Usuario'!$B$10:$I$54,$B20)/VLOOKUP($H$2,Tablas!$B$52:$C$59,2))</f>
        <v>3462553</v>
      </c>
      <c r="G20" s="411">
        <f>IF('EE.FF Económicos'!$D$54="Soles",HLOOKUP(G$2,'Plantilla Usuario'!$B$10:$I$54,$B20),HLOOKUP(G$2,'Plantilla Usuario'!$B$10:$I$54,$B20)/VLOOKUP($H$2,Tablas!$B$52:$C$59,2))</f>
        <v>3604331</v>
      </c>
      <c r="H20" s="411">
        <f>IF('EE.FF Económicos'!$D$54="Soles",HLOOKUP(H$2,'Plantilla Usuario'!$B$10:$I$54,$B20),HLOOKUP(H$2,'Plantilla Usuario'!$B$10:$I$54,$B20)/VLOOKUP($H$2,Tablas!$B$52:$C$59,2))</f>
        <v>4645551</v>
      </c>
    </row>
    <row r="21" spans="2:8">
      <c r="B21" s="128">
        <v>19</v>
      </c>
      <c r="C21" s="129" t="s">
        <v>312</v>
      </c>
      <c r="D21" s="155">
        <f>IF('EE.FF Económicos'!$D$54="Soles",HLOOKUP(D$2,'Plantilla Usuario'!$B$10:$I$54,$B21),HLOOKUP(D$2,'Plantilla Usuario'!$B$10:$I$54,$B21)/VLOOKUP($H$2,Tablas!$B$52:$C$59,2))</f>
        <v>0</v>
      </c>
      <c r="E21" s="155">
        <f>IF('EE.FF Económicos'!$D$54="Soles",HLOOKUP(E$2,'Plantilla Usuario'!$B$10:$I$54,$B21),HLOOKUP(E$2,'Plantilla Usuario'!$B$10:$I$54,$B21)/VLOOKUP($H$2,Tablas!$B$52:$C$59,2))</f>
        <v>0</v>
      </c>
      <c r="F21" s="155">
        <f>IF('EE.FF Económicos'!$D$54="Soles",HLOOKUP(F$2,'Plantilla Usuario'!$B$10:$I$54,$B21),HLOOKUP(F$2,'Plantilla Usuario'!$B$10:$I$54,$B21)/VLOOKUP($H$2,Tablas!$B$52:$C$59,2))</f>
        <v>0</v>
      </c>
      <c r="G21" s="155">
        <f>IF('EE.FF Económicos'!$D$54="Soles",HLOOKUP(G$2,'Plantilla Usuario'!$B$10:$I$54,$B21),HLOOKUP(G$2,'Plantilla Usuario'!$B$10:$I$54,$B21)/VLOOKUP($H$2,Tablas!$B$52:$C$59,2))</f>
        <v>3515304</v>
      </c>
      <c r="H21" s="155">
        <f>IF('EE.FF Económicos'!$D$54="Soles",HLOOKUP(H$2,'Plantilla Usuario'!$B$10:$I$54,$B21),HLOOKUP(H$2,'Plantilla Usuario'!$B$10:$I$54,$B21)/VLOOKUP($H$2,Tablas!$B$52:$C$59,2))</f>
        <v>4676131</v>
      </c>
    </row>
    <row r="22" spans="2:8">
      <c r="B22" s="128">
        <v>20</v>
      </c>
      <c r="C22" s="129" t="s">
        <v>313</v>
      </c>
      <c r="D22" s="155">
        <f>IF('EE.FF Económicos'!$D$54="Soles",HLOOKUP(D$2,'Plantilla Usuario'!$B$10:$I$54,$B22),HLOOKUP(D$2,'Plantilla Usuario'!$B$10:$I$54,$B22)/VLOOKUP($H$2,Tablas!$B$52:$C$59,2))</f>
        <v>0</v>
      </c>
      <c r="E22" s="155">
        <f>IF('EE.FF Económicos'!$D$54="Soles",HLOOKUP(E$2,'Plantilla Usuario'!$B$10:$I$54,$B22),HLOOKUP(E$2,'Plantilla Usuario'!$B$10:$I$54,$B22)/VLOOKUP($H$2,Tablas!$B$52:$C$59,2))</f>
        <v>0</v>
      </c>
      <c r="F22" s="155">
        <f>IF('EE.FF Económicos'!$D$54="Soles",HLOOKUP(F$2,'Plantilla Usuario'!$B$10:$I$54,$B22),HLOOKUP(F$2,'Plantilla Usuario'!$B$10:$I$54,$B22)/VLOOKUP($H$2,Tablas!$B$52:$C$59,2))</f>
        <v>0</v>
      </c>
      <c r="G22" s="155">
        <f>IF('EE.FF Económicos'!$D$54="Soles",HLOOKUP(G$2,'Plantilla Usuario'!$B$10:$I$54,$B22),HLOOKUP(G$2,'Plantilla Usuario'!$B$10:$I$54,$B22)/VLOOKUP($H$2,Tablas!$B$52:$C$59,2))</f>
        <v>0</v>
      </c>
      <c r="H22" s="155">
        <f>IF('EE.FF Económicos'!$D$54="Soles",HLOOKUP(H$2,'Plantilla Usuario'!$B$10:$I$54,$B22),HLOOKUP(H$2,'Plantilla Usuario'!$B$10:$I$54,$B22)/VLOOKUP($H$2,Tablas!$B$52:$C$59,2))</f>
        <v>0</v>
      </c>
    </row>
    <row r="23" spans="2:8">
      <c r="B23" s="128">
        <v>21</v>
      </c>
      <c r="C23" s="129" t="s">
        <v>314</v>
      </c>
      <c r="D23" s="155">
        <f>IF('EE.FF Económicos'!$D$54="Soles",HLOOKUP(D$2,'Plantilla Usuario'!$B$10:$I$54,$B23),HLOOKUP(D$2,'Plantilla Usuario'!$B$10:$I$54,$B23)/VLOOKUP($H$2,Tablas!$B$52:$C$59,2))</f>
        <v>0</v>
      </c>
      <c r="E23" s="155">
        <f>IF('EE.FF Económicos'!$D$54="Soles",HLOOKUP(E$2,'Plantilla Usuario'!$B$10:$I$54,$B23),HLOOKUP(E$2,'Plantilla Usuario'!$B$10:$I$54,$B23)/VLOOKUP($H$2,Tablas!$B$52:$C$59,2))</f>
        <v>0</v>
      </c>
      <c r="F23" s="155">
        <f>IF('EE.FF Económicos'!$D$54="Soles",HLOOKUP(F$2,'Plantilla Usuario'!$B$10:$I$54,$B23),HLOOKUP(F$2,'Plantilla Usuario'!$B$10:$I$54,$B23)/VLOOKUP($H$2,Tablas!$B$52:$C$59,2))</f>
        <v>0</v>
      </c>
      <c r="G23" s="155">
        <f>IF('EE.FF Económicos'!$D$54="Soles",HLOOKUP(G$2,'Plantilla Usuario'!$B$10:$I$54,$B23),HLOOKUP(G$2,'Plantilla Usuario'!$B$10:$I$54,$B23)/VLOOKUP($H$2,Tablas!$B$52:$C$59,2))</f>
        <v>0</v>
      </c>
      <c r="H23" s="155">
        <f>IF('EE.FF Económicos'!$D$54="Soles",HLOOKUP(H$2,'Plantilla Usuario'!$B$10:$I$54,$B23),HLOOKUP(H$2,'Plantilla Usuario'!$B$10:$I$54,$B23)/VLOOKUP($H$2,Tablas!$B$52:$C$59,2))</f>
        <v>0</v>
      </c>
    </row>
    <row r="24" spans="2:8">
      <c r="B24" s="128">
        <v>22</v>
      </c>
      <c r="C24" s="131" t="s">
        <v>316</v>
      </c>
      <c r="D24" s="411">
        <f>IF('EE.FF Económicos'!$D$54="Soles",HLOOKUP(D$2,'Plantilla Usuario'!$B$10:$I$54,$B24),HLOOKUP(D$2,'Plantilla Usuario'!$B$10:$I$54,$B24)/VLOOKUP($H$2,Tablas!$B$52:$C$59,2))</f>
        <v>1391745</v>
      </c>
      <c r="E24" s="411">
        <f>IF('EE.FF Económicos'!$D$54="Soles",HLOOKUP(E$2,'Plantilla Usuario'!$B$10:$I$54,$B24),HLOOKUP(E$2,'Plantilla Usuario'!$B$10:$I$54,$B24)/VLOOKUP($H$2,Tablas!$B$52:$C$59,2))</f>
        <v>2729104</v>
      </c>
      <c r="F24" s="411">
        <f>IF('EE.FF Económicos'!$D$54="Soles",HLOOKUP(F$2,'Plantilla Usuario'!$B$10:$I$54,$B24),HLOOKUP(F$2,'Plantilla Usuario'!$B$10:$I$54,$B24)/VLOOKUP($H$2,Tablas!$B$52:$C$59,2))</f>
        <v>4321222</v>
      </c>
      <c r="G24" s="411">
        <f>IF('EE.FF Económicos'!$D$54="Soles",HLOOKUP(G$2,'Plantilla Usuario'!$B$10:$I$54,$B24),HLOOKUP(G$2,'Plantilla Usuario'!$B$10:$I$54,$B24)/VLOOKUP($H$2,Tablas!$B$52:$C$59,2))</f>
        <v>4364956</v>
      </c>
      <c r="H24" s="411">
        <f>IF('EE.FF Económicos'!$D$54="Soles",HLOOKUP(H$2,'Plantilla Usuario'!$B$10:$I$54,$B24),HLOOKUP(H$2,'Plantilla Usuario'!$B$10:$I$54,$B24)/VLOOKUP($H$2,Tablas!$B$52:$C$59,2))</f>
        <v>5437375</v>
      </c>
    </row>
    <row r="25" spans="2:8">
      <c r="B25" s="128">
        <v>23</v>
      </c>
      <c r="C25" s="156" t="s">
        <v>317</v>
      </c>
      <c r="D25" s="157">
        <f>IF('EE.FF Económicos'!$D$54="Soles",HLOOKUP(D$2,'Plantilla Usuario'!$B$10:$I$54,$B25),HLOOKUP(D$2,'Plantilla Usuario'!$B$10:$I$54,$B25)/VLOOKUP($H$2,Tablas!$B$52:$C$59,2))</f>
        <v>4215710</v>
      </c>
      <c r="E25" s="157">
        <f>IF('EE.FF Económicos'!$D$54="Soles",HLOOKUP(E$2,'Plantilla Usuario'!$B$10:$I$54,$B25),HLOOKUP(E$2,'Plantilla Usuario'!$B$10:$I$54,$B25)/VLOOKUP($H$2,Tablas!$B$52:$C$59,2))</f>
        <v>5813658</v>
      </c>
      <c r="F25" s="157">
        <f>IF('EE.FF Económicos'!$D$54="Soles",HLOOKUP(F$2,'Plantilla Usuario'!$B$10:$I$54,$B25),HLOOKUP(F$2,'Plantilla Usuario'!$B$10:$I$54,$B25)/VLOOKUP($H$2,Tablas!$B$52:$C$59,2))</f>
        <v>7783775</v>
      </c>
      <c r="G25" s="157">
        <f>IF('EE.FF Económicos'!$D$54="Soles",HLOOKUP(G$2,'Plantilla Usuario'!$B$10:$I$54,$B25),HLOOKUP(G$2,'Plantilla Usuario'!$B$10:$I$54,$B25)/VLOOKUP($H$2,Tablas!$B$52:$C$59,2))</f>
        <v>7969287</v>
      </c>
      <c r="H25" s="157">
        <f>IF('EE.FF Económicos'!$D$54="Soles",HLOOKUP(H$2,'Plantilla Usuario'!$B$10:$I$54,$B25),HLOOKUP(H$2,'Plantilla Usuario'!$B$10:$I$54,$B25)/VLOOKUP($H$2,Tablas!$B$52:$C$59,2))</f>
        <v>10082926</v>
      </c>
    </row>
    <row r="26" spans="2:8">
      <c r="B26" s="128">
        <v>24</v>
      </c>
      <c r="C26" s="129" t="s">
        <v>318</v>
      </c>
      <c r="D26" s="155">
        <f>IF('EE.FF Económicos'!$D$54="Soles",HLOOKUP(D$2,'Plantilla Usuario'!$B$10:$I$54,$B26),HLOOKUP(D$2,'Plantilla Usuario'!$B$10:$I$54,$B26)/VLOOKUP($H$2,Tablas!$B$52:$C$59,2))</f>
        <v>2900285</v>
      </c>
      <c r="E26" s="155">
        <f>IF('EE.FF Económicos'!$D$54="Soles",HLOOKUP(E$2,'Plantilla Usuario'!$B$10:$I$54,$B26),HLOOKUP(E$2,'Plantilla Usuario'!$B$10:$I$54,$B26)/VLOOKUP($H$2,Tablas!$B$52:$C$59,2))</f>
        <v>3245568</v>
      </c>
      <c r="F26" s="155">
        <f>IF('EE.FF Económicos'!$D$54="Soles",HLOOKUP(F$2,'Plantilla Usuario'!$B$10:$I$54,$B26),HLOOKUP(F$2,'Plantilla Usuario'!$B$10:$I$54,$B26)/VLOOKUP($H$2,Tablas!$B$52:$C$59,2))</f>
        <v>3458506</v>
      </c>
      <c r="G26" s="155">
        <f>IF('EE.FF Económicos'!$D$54="Soles",HLOOKUP(G$2,'Plantilla Usuario'!$B$10:$I$54,$B26),HLOOKUP(G$2,'Plantilla Usuario'!$B$10:$I$54,$B26)/VLOOKUP($H$2,Tablas!$B$52:$C$59,2))</f>
        <v>3680824</v>
      </c>
      <c r="H26" s="155">
        <f>IF('EE.FF Económicos'!$D$54="Soles",HLOOKUP(H$2,'Plantilla Usuario'!$B$10:$I$54,$B26),HLOOKUP(H$2,'Plantilla Usuario'!$B$10:$I$54,$B26)/VLOOKUP($H$2,Tablas!$B$52:$C$59,2))</f>
        <v>3325377</v>
      </c>
    </row>
    <row r="27" spans="2:8">
      <c r="B27" s="128">
        <v>25</v>
      </c>
      <c r="C27" s="129" t="s">
        <v>319</v>
      </c>
      <c r="D27" s="155">
        <f>IF('EE.FF Económicos'!$D$54="Soles",HLOOKUP(D$2,'Plantilla Usuario'!$B$10:$I$54,$B27),HLOOKUP(D$2,'Plantilla Usuario'!$B$10:$I$54,$B27)/VLOOKUP($H$2,Tablas!$B$52:$C$59,2))</f>
        <v>0</v>
      </c>
      <c r="E27" s="155">
        <f>IF('EE.FF Económicos'!$D$54="Soles",HLOOKUP(E$2,'Plantilla Usuario'!$B$10:$I$54,$B27),HLOOKUP(E$2,'Plantilla Usuario'!$B$10:$I$54,$B27)/VLOOKUP($H$2,Tablas!$B$52:$C$59,2))</f>
        <v>0</v>
      </c>
      <c r="F27" s="155">
        <f>IF('EE.FF Económicos'!$D$54="Soles",HLOOKUP(F$2,'Plantilla Usuario'!$B$10:$I$54,$B27),HLOOKUP(F$2,'Plantilla Usuario'!$B$10:$I$54,$B27)/VLOOKUP($H$2,Tablas!$B$52:$C$59,2))</f>
        <v>0</v>
      </c>
      <c r="G27" s="155">
        <f>IF('EE.FF Económicos'!$D$54="Soles",HLOOKUP(G$2,'Plantilla Usuario'!$B$10:$I$54,$B27),HLOOKUP(G$2,'Plantilla Usuario'!$B$10:$I$54,$B27)/VLOOKUP($H$2,Tablas!$B$52:$C$59,2))</f>
        <v>0</v>
      </c>
      <c r="H27" s="155">
        <f>IF('EE.FF Económicos'!$D$54="Soles",HLOOKUP(H$2,'Plantilla Usuario'!$B$10:$I$54,$B27),HLOOKUP(H$2,'Plantilla Usuario'!$B$10:$I$54,$B27)/VLOOKUP($H$2,Tablas!$B$52:$C$59,2))</f>
        <v>0</v>
      </c>
    </row>
    <row r="28" spans="2:8">
      <c r="B28" s="128">
        <v>26</v>
      </c>
      <c r="C28" s="129" t="s">
        <v>320</v>
      </c>
      <c r="D28" s="155">
        <f>IF('EE.FF Económicos'!$D$54="Soles",HLOOKUP(D$2,'Plantilla Usuario'!$B$10:$I$54,$B28),HLOOKUP(D$2,'Plantilla Usuario'!$B$10:$I$54,$B28)/VLOOKUP($H$2,Tablas!$B$52:$C$59,2))</f>
        <v>0</v>
      </c>
      <c r="E28" s="155">
        <f>IF('EE.FF Económicos'!$D$54="Soles",HLOOKUP(E$2,'Plantilla Usuario'!$B$10:$I$54,$B28),HLOOKUP(E$2,'Plantilla Usuario'!$B$10:$I$54,$B28)/VLOOKUP($H$2,Tablas!$B$52:$C$59,2))</f>
        <v>0</v>
      </c>
      <c r="F28" s="155">
        <f>IF('EE.FF Económicos'!$D$54="Soles",HLOOKUP(F$2,'Plantilla Usuario'!$B$10:$I$54,$B28),HLOOKUP(F$2,'Plantilla Usuario'!$B$10:$I$54,$B28)/VLOOKUP($H$2,Tablas!$B$52:$C$59,2))</f>
        <v>0</v>
      </c>
      <c r="G28" s="155">
        <f>IF('EE.FF Económicos'!$D$54="Soles",HLOOKUP(G$2,'Plantilla Usuario'!$B$10:$I$54,$B28),HLOOKUP(G$2,'Plantilla Usuario'!$B$10:$I$54,$B28)/VLOOKUP($H$2,Tablas!$B$52:$C$59,2))</f>
        <v>0</v>
      </c>
      <c r="H28" s="155">
        <f>IF('EE.FF Económicos'!$D$54="Soles",HLOOKUP(H$2,'Plantilla Usuario'!$B$10:$I$54,$B28),HLOOKUP(H$2,'Plantilla Usuario'!$B$10:$I$54,$B28)/VLOOKUP($H$2,Tablas!$B$52:$C$59,2))</f>
        <v>0</v>
      </c>
    </row>
    <row r="29" spans="2:8">
      <c r="B29" s="128">
        <v>27</v>
      </c>
      <c r="C29" s="129" t="s">
        <v>321</v>
      </c>
      <c r="D29" s="155">
        <f>IF('EE.FF Económicos'!$D$54="Soles",HLOOKUP(D$2,'Plantilla Usuario'!$B$10:$I$54,$B29),HLOOKUP(D$2,'Plantilla Usuario'!$B$10:$I$54,$B29)/VLOOKUP($H$2,Tablas!$B$52:$C$59,2))</f>
        <v>0</v>
      </c>
      <c r="E29" s="155">
        <f>IF('EE.FF Económicos'!$D$54="Soles",HLOOKUP(E$2,'Plantilla Usuario'!$B$10:$I$54,$B29),HLOOKUP(E$2,'Plantilla Usuario'!$B$10:$I$54,$B29)/VLOOKUP($H$2,Tablas!$B$52:$C$59,2))</f>
        <v>0</v>
      </c>
      <c r="F29" s="155">
        <f>IF('EE.FF Económicos'!$D$54="Soles",HLOOKUP(F$2,'Plantilla Usuario'!$B$10:$I$54,$B29),HLOOKUP(F$2,'Plantilla Usuario'!$B$10:$I$54,$B29)/VLOOKUP($H$2,Tablas!$B$52:$C$59,2))</f>
        <v>0</v>
      </c>
      <c r="G29" s="155">
        <f>IF('EE.FF Económicos'!$D$54="Soles",HLOOKUP(G$2,'Plantilla Usuario'!$B$10:$I$54,$B29),HLOOKUP(G$2,'Plantilla Usuario'!$B$10:$I$54,$B29)/VLOOKUP($H$2,Tablas!$B$52:$C$59,2))</f>
        <v>0</v>
      </c>
      <c r="H29" s="155">
        <f>IF('EE.FF Económicos'!$D$54="Soles",HLOOKUP(H$2,'Plantilla Usuario'!$B$10:$I$54,$B29),HLOOKUP(H$2,'Plantilla Usuario'!$B$10:$I$54,$B29)/VLOOKUP($H$2,Tablas!$B$52:$C$59,2))</f>
        <v>0</v>
      </c>
    </row>
    <row r="30" spans="2:8">
      <c r="B30" s="128">
        <v>28</v>
      </c>
      <c r="C30" s="131" t="s">
        <v>322</v>
      </c>
      <c r="D30" s="411">
        <f>IF('EE.FF Económicos'!$D$54="Soles",HLOOKUP(D$2,'Plantilla Usuario'!$B$10:$I$54,$B30),HLOOKUP(D$2,'Plantilla Usuario'!$B$10:$I$54,$B30)/VLOOKUP($H$2,Tablas!$B$52:$C$59,2))</f>
        <v>2900285</v>
      </c>
      <c r="E30" s="411">
        <f>IF('EE.FF Económicos'!$D$54="Soles",HLOOKUP(E$2,'Plantilla Usuario'!$B$10:$I$54,$B30),HLOOKUP(E$2,'Plantilla Usuario'!$B$10:$I$54,$B30)/VLOOKUP($H$2,Tablas!$B$52:$C$59,2))</f>
        <v>3245568</v>
      </c>
      <c r="F30" s="411">
        <f>IF('EE.FF Económicos'!$D$54="Soles",HLOOKUP(F$2,'Plantilla Usuario'!$B$10:$I$54,$B30),HLOOKUP(F$2,'Plantilla Usuario'!$B$10:$I$54,$B30)/VLOOKUP($H$2,Tablas!$B$52:$C$59,2))</f>
        <v>3458506</v>
      </c>
      <c r="G30" s="411">
        <f>IF('EE.FF Económicos'!$D$54="Soles",HLOOKUP(G$2,'Plantilla Usuario'!$B$10:$I$54,$B30),HLOOKUP(G$2,'Plantilla Usuario'!$B$10:$I$54,$B30)/VLOOKUP($H$2,Tablas!$B$52:$C$59,2))</f>
        <v>3680824</v>
      </c>
      <c r="H30" s="411">
        <f>IF('EE.FF Económicos'!$D$54="Soles",HLOOKUP(H$2,'Plantilla Usuario'!$B$10:$I$54,$B30),HLOOKUP(H$2,'Plantilla Usuario'!$B$10:$I$54,$B30)/VLOOKUP($H$2,Tablas!$B$52:$C$59,2))</f>
        <v>3325377</v>
      </c>
    </row>
    <row r="31" spans="2:8">
      <c r="B31" s="128">
        <v>29</v>
      </c>
      <c r="C31" s="156" t="s">
        <v>323</v>
      </c>
      <c r="D31" s="157">
        <f>IF('EE.FF Económicos'!$D$54="Soles",HLOOKUP(D$2,'Plantilla Usuario'!$B$10:$I$54,$B31),HLOOKUP(D$2,'Plantilla Usuario'!$B$10:$I$54,$B31)/VLOOKUP($H$2,Tablas!$B$52:$C$59,2))</f>
        <v>7115995</v>
      </c>
      <c r="E31" s="157">
        <f>IF('EE.FF Económicos'!$D$54="Soles",HLOOKUP(E$2,'Plantilla Usuario'!$B$10:$I$54,$B31),HLOOKUP(E$2,'Plantilla Usuario'!$B$10:$I$54,$B31)/VLOOKUP($H$2,Tablas!$B$52:$C$59,2))</f>
        <v>9059226</v>
      </c>
      <c r="F31" s="157">
        <f>IF('EE.FF Económicos'!$D$54="Soles",HLOOKUP(F$2,'Plantilla Usuario'!$B$10:$I$54,$B31),HLOOKUP(F$2,'Plantilla Usuario'!$B$10:$I$54,$B31)/VLOOKUP($H$2,Tablas!$B$52:$C$59,2))</f>
        <v>11242281</v>
      </c>
      <c r="G31" s="157">
        <f>IF('EE.FF Económicos'!$D$54="Soles",HLOOKUP(G$2,'Plantilla Usuario'!$B$10:$I$54,$B31),HLOOKUP(G$2,'Plantilla Usuario'!$B$10:$I$54,$B31)/VLOOKUP($H$2,Tablas!$B$52:$C$59,2))</f>
        <v>11650111</v>
      </c>
      <c r="H31" s="157">
        <f>IF('EE.FF Económicos'!$D$54="Soles",HLOOKUP(H$2,'Plantilla Usuario'!$B$10:$I$54,$B31),HLOOKUP(H$2,'Plantilla Usuario'!$B$10:$I$54,$B31)/VLOOKUP($H$2,Tablas!$B$52:$C$59,2))</f>
        <v>13408303</v>
      </c>
    </row>
    <row r="32" spans="2:8">
      <c r="B32" s="128">
        <v>30</v>
      </c>
    </row>
    <row r="33" spans="2:8">
      <c r="B33" s="128">
        <v>31</v>
      </c>
    </row>
    <row r="34" spans="2:8">
      <c r="B34" s="128">
        <v>32</v>
      </c>
      <c r="C34" s="150" t="s">
        <v>324</v>
      </c>
      <c r="D34" s="151">
        <f>D2</f>
        <v>2017</v>
      </c>
      <c r="E34" s="151">
        <f>E2</f>
        <v>2018</v>
      </c>
      <c r="F34" s="151">
        <f>F2</f>
        <v>2019</v>
      </c>
      <c r="G34" s="151">
        <f>G2</f>
        <v>2020</v>
      </c>
      <c r="H34" s="151">
        <f>H2</f>
        <v>2021</v>
      </c>
    </row>
    <row r="35" spans="2:8">
      <c r="B35" s="128">
        <v>33</v>
      </c>
      <c r="C35" s="129" t="s">
        <v>325</v>
      </c>
      <c r="D35" s="642">
        <f>VALUE(IF('EE.FF Económicos'!$D$54="Soles",HLOOKUP(D$2,'Plantilla Usuario'!$B$10:$I$54,$B35),HLOOKUP(D$2,'Plantilla Usuario'!$B$10:$I$54,$B35)/VLOOKUP($H$2,Tablas!$B$52:$C$59,2)))</f>
        <v>6949265</v>
      </c>
      <c r="E35" s="642">
        <f>VALUE(IF('EE.FF Económicos'!$D$54="Soles",HLOOKUP(E$2,'Plantilla Usuario'!$B$10:$I$54,$B35),HLOOKUP(E$2,'Plantilla Usuario'!$B$10:$I$54,$B35)/VLOOKUP($H$2,Tablas!$B$52:$C$59,2)))</f>
        <v>8288702</v>
      </c>
      <c r="F35" s="642">
        <f>VALUE(IF('EE.FF Económicos'!$D$54="Soles",HLOOKUP(F$2,'Plantilla Usuario'!$B$10:$I$54,$B35),HLOOKUP(F$2,'Plantilla Usuario'!$B$10:$I$54,$B35)/VLOOKUP($H$2,Tablas!$B$52:$C$59,2)))</f>
        <v>9872187</v>
      </c>
      <c r="G35" s="642">
        <f>VALUE(IF('EE.FF Económicos'!$D$54="Soles",HLOOKUP(G$2,'Plantilla Usuario'!$B$10:$I$54,$B35),HLOOKUP(G$2,'Plantilla Usuario'!$B$10:$I$54,$B35)/VLOOKUP($H$2,Tablas!$B$52:$C$59,2)))</f>
        <v>10131767</v>
      </c>
      <c r="H35" s="642">
        <f>VALUE(IF('EE.FF Económicos'!$D$54="Soles",HLOOKUP(H$2,'Plantilla Usuario'!$B$10:$I$54,$B35),HLOOKUP(H$2,'Plantilla Usuario'!$B$10:$I$54,$B35)/VLOOKUP($H$2,Tablas!$B$52:$C$59,2)))</f>
        <v>12227663</v>
      </c>
    </row>
    <row r="36" spans="2:8">
      <c r="B36" s="128">
        <v>34</v>
      </c>
      <c r="C36" s="129" t="s">
        <v>326</v>
      </c>
      <c r="D36" s="155">
        <f>IF('EE.FF Económicos'!$D$54="Soles",HLOOKUP(D$2,'Plantilla Usuario'!$B$10:$I$54,$B36),HLOOKUP(D$2,'Plantilla Usuario'!$B$10:$I$54,$B36)/VLOOKUP($H$2,Tablas!$B$52:$C$59,2))</f>
        <v>-5042402</v>
      </c>
      <c r="E36" s="155">
        <f>IF('EE.FF Económicos'!$D$54="Soles",HLOOKUP(E$2,'Plantilla Usuario'!$B$10:$I$54,$B36),HLOOKUP(E$2,'Plantilla Usuario'!$B$10:$I$54,$B36)/VLOOKUP($H$2,Tablas!$B$52:$C$59,2))</f>
        <v>-6244012</v>
      </c>
      <c r="F36" s="155">
        <f>IF('EE.FF Económicos'!$D$54="Soles",HLOOKUP(F$2,'Plantilla Usuario'!$B$10:$I$54,$B36),HLOOKUP(F$2,'Plantilla Usuario'!$B$10:$I$54,$B36)/VLOOKUP($H$2,Tablas!$B$52:$C$59,2))</f>
        <v>-7420013</v>
      </c>
      <c r="G36" s="155">
        <f>IF('EE.FF Económicos'!$D$54="Soles",HLOOKUP(G$2,'Plantilla Usuario'!$B$10:$I$54,$B36),HLOOKUP(G$2,'Plantilla Usuario'!$B$10:$I$54,$B36)/VLOOKUP($H$2,Tablas!$B$52:$C$59,2))</f>
        <v>-7712254</v>
      </c>
      <c r="H36" s="155">
        <f>IF('EE.FF Económicos'!$D$54="Soles",HLOOKUP(H$2,'Plantilla Usuario'!$B$10:$I$54,$B36),HLOOKUP(H$2,'Plantilla Usuario'!$B$10:$I$54,$B36)/VLOOKUP($H$2,Tablas!$B$52:$C$59,2))</f>
        <v>-9831454</v>
      </c>
    </row>
    <row r="37" spans="2:8">
      <c r="B37" s="128">
        <v>35</v>
      </c>
      <c r="C37" s="148" t="s">
        <v>327</v>
      </c>
      <c r="D37" s="158">
        <f>IF('EE.FF Económicos'!$D$54="Soles",HLOOKUP(D$2,'Plantilla Usuario'!$B$10:$I$54,$B37),HLOOKUP(D$2,'Plantilla Usuario'!$B$10:$I$54,$B37)/VLOOKUP($H$2,Tablas!$B$52:$C$59,2))</f>
        <v>1906863</v>
      </c>
      <c r="E37" s="158">
        <f>IF('EE.FF Económicos'!$D$54="Soles",HLOOKUP(E$2,'Plantilla Usuario'!$B$10:$I$54,$B37),HLOOKUP(E$2,'Plantilla Usuario'!$B$10:$I$54,$B37)/VLOOKUP($H$2,Tablas!$B$52:$C$59,2))</f>
        <v>2044690</v>
      </c>
      <c r="F37" s="158">
        <f>IF('EE.FF Económicos'!$D$54="Soles",HLOOKUP(F$2,'Plantilla Usuario'!$B$10:$I$54,$B37),HLOOKUP(F$2,'Plantilla Usuario'!$B$10:$I$54,$B37)/VLOOKUP($H$2,Tablas!$B$52:$C$59,2))</f>
        <v>2452174</v>
      </c>
      <c r="G37" s="158">
        <f>IF('EE.FF Económicos'!$D$54="Soles",HLOOKUP(G$2,'Plantilla Usuario'!$B$10:$I$54,$B37),HLOOKUP(G$2,'Plantilla Usuario'!$B$10:$I$54,$B37)/VLOOKUP($H$2,Tablas!$B$52:$C$59,2))</f>
        <v>2419513</v>
      </c>
      <c r="H37" s="158">
        <f>IF('EE.FF Económicos'!$D$54="Soles",HLOOKUP(H$2,'Plantilla Usuario'!$B$10:$I$54,$B37),HLOOKUP(H$2,'Plantilla Usuario'!$B$10:$I$54,$B37)/VLOOKUP($H$2,Tablas!$B$52:$C$59,2))</f>
        <v>2396209</v>
      </c>
    </row>
    <row r="38" spans="2:8">
      <c r="B38" s="128">
        <v>36</v>
      </c>
      <c r="C38" s="129" t="s">
        <v>328</v>
      </c>
      <c r="D38" s="155">
        <f>IF('EE.FF Económicos'!$D$54="Soles",HLOOKUP(D$2,'Plantilla Usuario'!$B$10:$I$54,$B38),HLOOKUP(D$2,'Plantilla Usuario'!$B$10:$I$54,$B38)/VLOOKUP($H$2,Tablas!$B$52:$C$59,2))</f>
        <v>-633605</v>
      </c>
      <c r="E38" s="155">
        <f>IF('EE.FF Económicos'!$D$54="Soles",HLOOKUP(E$2,'Plantilla Usuario'!$B$10:$I$54,$B38),HLOOKUP(E$2,'Plantilla Usuario'!$B$10:$I$54,$B38)/VLOOKUP($H$2,Tablas!$B$52:$C$59,2))</f>
        <v>-681336</v>
      </c>
      <c r="F38" s="155">
        <f>IF('EE.FF Económicos'!$D$54="Soles",HLOOKUP(F$2,'Plantilla Usuario'!$B$10:$I$54,$B38),HLOOKUP(F$2,'Plantilla Usuario'!$B$10:$I$54,$B38)/VLOOKUP($H$2,Tablas!$B$52:$C$59,2))</f>
        <v>-801905</v>
      </c>
      <c r="G38" s="155">
        <f>IF('EE.FF Económicos'!$D$54="Soles",HLOOKUP(G$2,'Plantilla Usuario'!$B$10:$I$54,$B38),HLOOKUP(G$2,'Plantilla Usuario'!$B$10:$I$54,$B38)/VLOOKUP($H$2,Tablas!$B$52:$C$59,2))</f>
        <v>-862157</v>
      </c>
      <c r="H38" s="155">
        <f>IF('EE.FF Económicos'!$D$54="Soles",HLOOKUP(H$2,'Plantilla Usuario'!$B$10:$I$54,$B38),HLOOKUP(H$2,'Plantilla Usuario'!$B$10:$I$54,$B38)/VLOOKUP($H$2,Tablas!$B$52:$C$59,2))</f>
        <v>-786246</v>
      </c>
    </row>
    <row r="39" spans="2:8">
      <c r="B39" s="128">
        <v>37</v>
      </c>
      <c r="C39" s="129" t="s">
        <v>330</v>
      </c>
      <c r="D39" s="155">
        <f>IF('EE.FF Económicos'!$D$54="Soles",HLOOKUP(D$2,'Plantilla Usuario'!$B$10:$I$54,$B40),HLOOKUP(D$2,'Plantilla Usuario'!$B$10:$I$54,$B40)/VLOOKUP($H$2,Tablas!$B$52:$C$59,2))</f>
        <v>-487579</v>
      </c>
      <c r="E39" s="155">
        <f>IF('EE.FF Económicos'!$D$54="Soles",HLOOKUP(E$2,'Plantilla Usuario'!$B$10:$I$54,$B40),HLOOKUP(E$2,'Plantilla Usuario'!$B$10:$I$54,$B40)/VLOOKUP($H$2,Tablas!$B$52:$C$59,2))</f>
        <v>-603139</v>
      </c>
      <c r="F39" s="155">
        <f>IF('EE.FF Económicos'!$D$54="Soles",HLOOKUP(F$2,'Plantilla Usuario'!$B$10:$I$54,$B40),HLOOKUP(F$2,'Plantilla Usuario'!$B$10:$I$54,$B40)/VLOOKUP($H$2,Tablas!$B$52:$C$59,2))</f>
        <v>-651838</v>
      </c>
      <c r="G39" s="155">
        <f>IF('EE.FF Económicos'!$D$54="Soles",HLOOKUP(G$2,'Plantilla Usuario'!$B$10:$I$54,$B40),HLOOKUP(G$2,'Plantilla Usuario'!$B$10:$I$54,$B40)/VLOOKUP($H$2,Tablas!$B$52:$C$59,2))</f>
        <v>-688428</v>
      </c>
      <c r="H39" s="155">
        <f>IF('EE.FF Económicos'!$D$54="Soles",HLOOKUP(H$2,'Plantilla Usuario'!$B$10:$I$54,$B40),HLOOKUP(H$2,'Plantilla Usuario'!$B$10:$I$54,$B40)/VLOOKUP($H$2,Tablas!$B$52:$C$59,2))</f>
        <v>-732928</v>
      </c>
    </row>
    <row r="40" spans="2:8">
      <c r="B40" s="128">
        <v>38</v>
      </c>
      <c r="C40" s="129" t="s">
        <v>331</v>
      </c>
      <c r="D40" s="155">
        <f>IF('EE.FF Económicos'!$D$54="Soles",HLOOKUP(D$2,'Plantilla Usuario'!$B$10:$I$54,$B41),HLOOKUP(D$2,'Plantilla Usuario'!$B$10:$I$54,$B41)/VLOOKUP($H$2,Tablas!$B$52:$C$59,2))</f>
        <v>-42607</v>
      </c>
      <c r="E40" s="155">
        <f>IF('EE.FF Económicos'!$D$54="Soles",HLOOKUP(E$2,'Plantilla Usuario'!$B$10:$I$54,$B41),HLOOKUP(E$2,'Plantilla Usuario'!$B$10:$I$54,$B41)/VLOOKUP($H$2,Tablas!$B$52:$C$59,2))</f>
        <v>26059</v>
      </c>
      <c r="F40" s="155">
        <f>IF('EE.FF Económicos'!$D$54="Soles",HLOOKUP(F$2,'Plantilla Usuario'!$B$10:$I$54,$B41),HLOOKUP(F$2,'Plantilla Usuario'!$B$10:$I$54,$B41)/VLOOKUP($H$2,Tablas!$B$52:$C$59,2))</f>
        <v>-49856</v>
      </c>
      <c r="G40" s="155">
        <f>IF('EE.FF Económicos'!$D$54="Soles",HLOOKUP(G$2,'Plantilla Usuario'!$B$10:$I$54,$B41),HLOOKUP(G$2,'Plantilla Usuario'!$B$10:$I$54,$B41)/VLOOKUP($H$2,Tablas!$B$52:$C$59,2))</f>
        <v>-75085</v>
      </c>
      <c r="H40" s="155">
        <f>IF('EE.FF Económicos'!$D$54="Soles",HLOOKUP(H$2,'Plantilla Usuario'!$B$10:$I$54,$B41),HLOOKUP(H$2,'Plantilla Usuario'!$B$10:$I$54,$B41)/VLOOKUP($H$2,Tablas!$B$52:$C$59,2))</f>
        <v>39531</v>
      </c>
    </row>
    <row r="41" spans="2:8">
      <c r="B41" s="128">
        <v>39</v>
      </c>
      <c r="C41" s="148" t="s">
        <v>332</v>
      </c>
      <c r="D41" s="158">
        <f>SUM(D37:D40)</f>
        <v>743072</v>
      </c>
      <c r="E41" s="158">
        <f>SUM(E37:E40)</f>
        <v>786274</v>
      </c>
      <c r="F41" s="158">
        <f>SUM(F37:F40)</f>
        <v>948575</v>
      </c>
      <c r="G41" s="158">
        <f>SUM(G37:G40)</f>
        <v>793843</v>
      </c>
      <c r="H41" s="158">
        <f>SUM(H37:H40)</f>
        <v>916566</v>
      </c>
    </row>
    <row r="42" spans="2:8">
      <c r="B42" s="128">
        <v>41</v>
      </c>
      <c r="C42" s="129" t="s">
        <v>341</v>
      </c>
      <c r="D42" s="155">
        <f>-29.5%*D41</f>
        <v>-219206.24</v>
      </c>
      <c r="E42" s="155">
        <f>-29.5%*E41</f>
        <v>-231950.83</v>
      </c>
      <c r="F42" s="155">
        <f>-29.5%*F41</f>
        <v>-279829.625</v>
      </c>
      <c r="G42" s="155">
        <f>-29.5%*G41</f>
        <v>-234183.685</v>
      </c>
      <c r="H42" s="155">
        <f>-29.5%*H41</f>
        <v>-270386.96999999997</v>
      </c>
    </row>
    <row r="43" spans="2:8">
      <c r="B43" s="128">
        <v>42</v>
      </c>
      <c r="C43" s="367" t="s">
        <v>342</v>
      </c>
      <c r="D43" s="155">
        <f>IF('EE.FF Económicos'!$D$54="Soles",HLOOKUP(D$2,'Plantilla Usuario'!$B$10:$I$54,$B39),HLOOKUP(D$2,'Plantilla Usuario'!$B$10:$I$54,$B39)/VLOOKUP($H$2,Tablas!$B$52:$C$59,2))</f>
        <v>164314</v>
      </c>
      <c r="E43" s="155">
        <f>IF('EE.FF Económicos'!$D$54="Soles",HLOOKUP(E$2,'Plantilla Usuario'!$B$10:$I$54,$B39),HLOOKUP(E$2,'Plantilla Usuario'!$B$10:$I$54,$B39)/VLOOKUP($H$2,Tablas!$B$52:$C$59,2))</f>
        <v>202775</v>
      </c>
      <c r="F43" s="155">
        <f>IF('EE.FF Económicos'!$D$54="Soles",HLOOKUP(F$2,'Plantilla Usuario'!$B$10:$I$54,$B39),HLOOKUP(F$2,'Plantilla Usuario'!$B$10:$I$54,$B39)/VLOOKUP($H$2,Tablas!$B$52:$C$59,2))</f>
        <v>298028</v>
      </c>
      <c r="G43" s="155">
        <f>IF('EE.FF Económicos'!$D$54="Soles",HLOOKUP(G$2,'Plantilla Usuario'!$B$10:$I$54,$B39),HLOOKUP(G$2,'Plantilla Usuario'!$B$10:$I$54,$B39)/VLOOKUP($H$2,Tablas!$B$52:$C$59,2))</f>
        <v>286071</v>
      </c>
      <c r="H43" s="155">
        <f>IF('EE.FF Económicos'!$D$54="Soles",HLOOKUP(H$2,'Plantilla Usuario'!$B$10:$I$54,$B39),HLOOKUP(H$2,'Plantilla Usuario'!$B$10:$I$54,$B39)/VLOOKUP($H$2,Tablas!$B$52:$C$59,2))</f>
        <v>232476</v>
      </c>
    </row>
    <row r="44" spans="2:8">
      <c r="B44" s="128">
        <v>43</v>
      </c>
      <c r="C44" s="156" t="s">
        <v>343</v>
      </c>
      <c r="D44" s="157">
        <f>D41+D42+D43</f>
        <v>688179.76</v>
      </c>
      <c r="E44" s="157">
        <f>E41+E42+E43</f>
        <v>757098.17</v>
      </c>
      <c r="F44" s="157">
        <f>F41+F42+F43</f>
        <v>966773.375</v>
      </c>
      <c r="G44" s="157">
        <f>G41+G42+G43</f>
        <v>845730.31499999994</v>
      </c>
      <c r="H44" s="157">
        <f>H41+H42+H43</f>
        <v>878655.03</v>
      </c>
    </row>
    <row r="45" spans="2:8">
      <c r="B45" s="128">
        <v>44</v>
      </c>
    </row>
    <row r="46" spans="2:8">
      <c r="B46" s="128">
        <v>45</v>
      </c>
      <c r="C46" s="130"/>
      <c r="D46" s="159"/>
      <c r="E46" s="159"/>
      <c r="F46" s="159"/>
      <c r="G46" s="159"/>
      <c r="H46" s="159"/>
    </row>
    <row r="47" spans="2:8">
      <c r="B47" s="128">
        <v>46</v>
      </c>
      <c r="C47" s="150" t="s">
        <v>344</v>
      </c>
      <c r="D47" s="151">
        <f>D34</f>
        <v>2017</v>
      </c>
      <c r="E47" s="151">
        <f>E34</f>
        <v>2018</v>
      </c>
      <c r="F47" s="151">
        <f>F34</f>
        <v>2019</v>
      </c>
      <c r="G47" s="151">
        <f>G34</f>
        <v>2020</v>
      </c>
      <c r="H47" s="151">
        <f>H34</f>
        <v>2021</v>
      </c>
    </row>
    <row r="48" spans="2:8">
      <c r="B48" s="128">
        <v>47</v>
      </c>
      <c r="C48" s="130" t="s">
        <v>345</v>
      </c>
      <c r="D48" s="159">
        <f>IF('EE.FF Económicos'!$D$54="Soles",HLOOKUP(D$2,'Plantilla Usuario'!$B$10:$I$54,$B11),HLOOKUP(D$2,'Plantilla Usuario'!$B$10:$I$54,$B11)/VLOOKUP($H$2,Tablas!$B$52:$C$59,2))</f>
        <v>1865624</v>
      </c>
      <c r="E48" s="159">
        <f>IF('EE.FF Económicos'!$D$54="Soles",HLOOKUP(E$2,'Plantilla Usuario'!$B$10:$I$54,$B11),HLOOKUP(E$2,'Plantilla Usuario'!$B$10:$I$54,$B11)/VLOOKUP($H$2,Tablas!$B$52:$C$59,2))</f>
        <v>2537852</v>
      </c>
      <c r="F48" s="159">
        <f>IF('EE.FF Económicos'!$D$54="Soles",HLOOKUP(F$2,'Plantilla Usuario'!$B$10:$I$54,$B11),HLOOKUP(F$2,'Plantilla Usuario'!$B$10:$I$54,$B11)/VLOOKUP($H$2,Tablas!$B$52:$C$59,2))</f>
        <v>3323015</v>
      </c>
      <c r="G48" s="159">
        <f>IF('EE.FF Económicos'!$D$54="Soles",HLOOKUP(G$2,'Plantilla Usuario'!$B$10:$I$54,$B11),HLOOKUP(G$2,'Plantilla Usuario'!$B$10:$I$54,$B11)/VLOOKUP($H$2,Tablas!$B$52:$C$59,2))</f>
        <v>3410774</v>
      </c>
      <c r="H48" s="159">
        <f>IF('EE.FF Económicos'!$D$54="Soles",HLOOKUP(H$2,'Plantilla Usuario'!$B$10:$I$54,$B11),HLOOKUP(H$2,'Plantilla Usuario'!$B$10:$I$54,$B11)/VLOOKUP($H$2,Tablas!$B$52:$C$59,2))</f>
        <v>3343589</v>
      </c>
    </row>
    <row r="49" spans="2:9">
      <c r="B49" s="128">
        <v>48</v>
      </c>
      <c r="C49" s="367" t="s">
        <v>346</v>
      </c>
      <c r="D49" s="159">
        <f>IF('EE.FF Económicos'!$D$54="Soles",HLOOKUP(D$2,'Plantilla Usuario'!$B$10:$I$54,$B12),HLOOKUP(D$2,'Plantilla Usuario'!$B$10:$I$54,$B12)/VLOOKUP($H$2,Tablas!$B$52:$C$59,2))</f>
        <v>1198090</v>
      </c>
      <c r="E49" s="159">
        <f>IF('EE.FF Económicos'!$D$54="Soles",HLOOKUP(E$2,'Plantilla Usuario'!$B$10:$I$54,$B12),HLOOKUP(E$2,'Plantilla Usuario'!$B$10:$I$54,$B12)/VLOOKUP($H$2,Tablas!$B$52:$C$59,2))</f>
        <v>1361126</v>
      </c>
      <c r="F49" s="159">
        <f>IF('EE.FF Económicos'!$D$54="Soles",HLOOKUP(F$2,'Plantilla Usuario'!$B$10:$I$54,$B12),HLOOKUP(F$2,'Plantilla Usuario'!$B$10:$I$54,$B12)/VLOOKUP($H$2,Tablas!$B$52:$C$59,2))</f>
        <v>1540298</v>
      </c>
      <c r="G49" s="159">
        <f>IF('EE.FF Económicos'!$D$54="Soles",HLOOKUP(G$2,'Plantilla Usuario'!$B$10:$I$54,$B12),HLOOKUP(G$2,'Plantilla Usuario'!$B$10:$I$54,$B12)/VLOOKUP($H$2,Tablas!$B$52:$C$59,2))</f>
        <v>1801309</v>
      </c>
      <c r="H49" s="159">
        <f>IF('EE.FF Económicos'!$D$54="Soles",HLOOKUP(H$2,'Plantilla Usuario'!$B$10:$I$54,$B12),HLOOKUP(H$2,'Plantilla Usuario'!$B$10:$I$54,$B12)/VLOOKUP($H$2,Tablas!$B$52:$C$59,2))</f>
        <v>1973854</v>
      </c>
    </row>
    <row r="50" spans="2:9">
      <c r="B50" s="128">
        <v>49</v>
      </c>
      <c r="C50" s="160" t="s">
        <v>347</v>
      </c>
      <c r="D50" s="161">
        <f>D48+D49</f>
        <v>3063714</v>
      </c>
      <c r="E50" s="161">
        <f t="shared" ref="E50:H50" si="0">E48+E49</f>
        <v>3898978</v>
      </c>
      <c r="F50" s="161">
        <f t="shared" si="0"/>
        <v>4863313</v>
      </c>
      <c r="G50" s="161">
        <f t="shared" si="0"/>
        <v>5212083</v>
      </c>
      <c r="H50" s="161">
        <f t="shared" si="0"/>
        <v>5317443</v>
      </c>
    </row>
    <row r="53" spans="2:9">
      <c r="C53" s="131" t="s">
        <v>348</v>
      </c>
      <c r="D53" s="415">
        <v>1.4999999999999999E-2</v>
      </c>
    </row>
    <row r="54" spans="2:9">
      <c r="C54" s="416" t="s">
        <v>408</v>
      </c>
      <c r="D54" s="442" t="s">
        <v>407</v>
      </c>
    </row>
    <row r="55" spans="2:9">
      <c r="C55" s="439"/>
      <c r="D55" s="440"/>
      <c r="I55" s="365"/>
    </row>
    <row r="56" spans="2:9">
      <c r="I56" s="365"/>
    </row>
    <row r="57" spans="2:9">
      <c r="C57" s="130"/>
      <c r="D57" s="130"/>
      <c r="E57" s="130"/>
      <c r="I57" s="365"/>
    </row>
    <row r="58" spans="2:9">
      <c r="C58" s="130"/>
      <c r="D58" s="166"/>
      <c r="E58" s="130"/>
      <c r="I58" s="365"/>
    </row>
    <row r="59" spans="2:9">
      <c r="C59" s="130"/>
      <c r="D59" s="167"/>
      <c r="E59" s="130"/>
      <c r="I59" s="365"/>
    </row>
    <row r="60" spans="2:9">
      <c r="C60" s="130"/>
      <c r="D60" s="167"/>
      <c r="E60" s="130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C4CDD68-4790-4311-A91C-5F0ADDE90E35}">
          <x14:formula1>
            <xm:f>Tablas!$L$2:$L$3</xm:f>
          </x14:formula1>
          <xm:sqref>D54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A024-A434-46AA-8F6E-C4C6DAFB7EE5}">
  <sheetPr codeName="Hoja10">
    <tabColor theme="7" tint="0.79998168889431442"/>
  </sheetPr>
  <dimension ref="A1:BL164"/>
  <sheetViews>
    <sheetView showGridLines="0" topLeftCell="AG1" zoomScale="55" zoomScaleNormal="55" workbookViewId="0">
      <selection activeCell="BH4" sqref="BH4:BH164"/>
    </sheetView>
  </sheetViews>
  <sheetFormatPr baseColWidth="10" defaultColWidth="11.44140625" defaultRowHeight="14.4"/>
  <cols>
    <col min="1" max="1" width="14.6640625" customWidth="1"/>
    <col min="2" max="9" width="22" customWidth="1"/>
    <col min="10" max="10" width="8.33203125" style="369" customWidth="1"/>
    <col min="11" max="11" width="31" style="369" customWidth="1"/>
    <col min="12" max="13" width="11.44140625" style="369"/>
    <col min="14" max="14" width="14.6640625" customWidth="1"/>
    <col min="15" max="22" width="22" customWidth="1"/>
    <col min="23" max="23" width="8.33203125" style="369" customWidth="1"/>
    <col min="24" max="24" width="31" style="369" customWidth="1"/>
    <col min="25" max="16384" width="11.44140625" style="369"/>
  </cols>
  <sheetData>
    <row r="1" spans="1:64">
      <c r="A1" s="803">
        <v>2021</v>
      </c>
      <c r="B1" s="804"/>
      <c r="C1" s="804"/>
      <c r="D1" s="804"/>
      <c r="E1" s="804"/>
      <c r="F1" s="804"/>
      <c r="G1" s="804"/>
      <c r="H1" s="804"/>
      <c r="I1" s="805"/>
      <c r="J1" s="566"/>
      <c r="N1" s="803">
        <v>2022</v>
      </c>
      <c r="O1" s="804"/>
      <c r="P1" s="804"/>
      <c r="Q1" s="804"/>
      <c r="R1" s="804"/>
      <c r="S1" s="804"/>
      <c r="T1" s="804"/>
      <c r="U1" s="804"/>
      <c r="V1" s="805"/>
      <c r="W1" s="566"/>
      <c r="AA1" s="803">
        <v>2023</v>
      </c>
      <c r="AB1" s="804"/>
      <c r="AC1" s="804"/>
      <c r="AD1" s="804"/>
      <c r="AE1" s="804"/>
      <c r="AF1" s="804"/>
      <c r="AG1" s="804"/>
      <c r="AH1" s="804"/>
      <c r="AI1" s="805"/>
      <c r="AJ1" s="566"/>
      <c r="AN1" s="803">
        <v>2024</v>
      </c>
      <c r="AO1" s="804"/>
      <c r="AP1" s="804"/>
      <c r="AQ1" s="804"/>
      <c r="AR1" s="804"/>
      <c r="AS1" s="804"/>
      <c r="AT1" s="804"/>
      <c r="AU1" s="804"/>
      <c r="AV1" s="805"/>
      <c r="AW1" s="566"/>
      <c r="BA1" s="803">
        <v>2025</v>
      </c>
      <c r="BB1" s="804"/>
      <c r="BC1" s="804"/>
      <c r="BD1" s="804"/>
      <c r="BE1" s="804"/>
      <c r="BF1" s="804"/>
      <c r="BG1" s="804"/>
      <c r="BH1" s="804"/>
      <c r="BI1" s="805"/>
      <c r="BJ1" s="566"/>
    </row>
    <row r="2" spans="1:64" ht="34.5" customHeight="1">
      <c r="A2" s="531" t="s">
        <v>409</v>
      </c>
      <c r="B2" s="531" t="s">
        <v>87</v>
      </c>
      <c r="C2" s="531" t="s">
        <v>88</v>
      </c>
      <c r="D2" s="531" t="s">
        <v>89</v>
      </c>
      <c r="E2" s="531" t="s">
        <v>90</v>
      </c>
      <c r="F2" s="531" t="s">
        <v>91</v>
      </c>
      <c r="G2" s="531" t="s">
        <v>92</v>
      </c>
      <c r="H2" s="531" t="s">
        <v>10</v>
      </c>
      <c r="I2" s="531" t="s">
        <v>257</v>
      </c>
      <c r="J2" s="370"/>
      <c r="K2" s="537" t="s">
        <v>410</v>
      </c>
      <c r="L2" s="529">
        <f>WACC!$C$6</f>
        <v>10</v>
      </c>
      <c r="N2" s="531" t="s">
        <v>409</v>
      </c>
      <c r="O2" s="531" t="s">
        <v>87</v>
      </c>
      <c r="P2" s="531" t="s">
        <v>88</v>
      </c>
      <c r="Q2" s="531" t="s">
        <v>89</v>
      </c>
      <c r="R2" s="531" t="s">
        <v>90</v>
      </c>
      <c r="S2" s="531" t="s">
        <v>91</v>
      </c>
      <c r="T2" s="531" t="s">
        <v>92</v>
      </c>
      <c r="U2" s="531" t="s">
        <v>10</v>
      </c>
      <c r="V2" s="531" t="s">
        <v>257</v>
      </c>
      <c r="W2" s="370"/>
      <c r="X2" s="537" t="s">
        <v>410</v>
      </c>
      <c r="Y2" s="529">
        <f>WACC!$C$6</f>
        <v>10</v>
      </c>
      <c r="AA2" s="531" t="s">
        <v>409</v>
      </c>
      <c r="AB2" s="531" t="s">
        <v>87</v>
      </c>
      <c r="AC2" s="531" t="s">
        <v>88</v>
      </c>
      <c r="AD2" s="531" t="s">
        <v>89</v>
      </c>
      <c r="AE2" s="531" t="s">
        <v>90</v>
      </c>
      <c r="AF2" s="531" t="s">
        <v>91</v>
      </c>
      <c r="AG2" s="531" t="s">
        <v>92</v>
      </c>
      <c r="AH2" s="531" t="s">
        <v>10</v>
      </c>
      <c r="AI2" s="531" t="s">
        <v>257</v>
      </c>
      <c r="AJ2" s="370"/>
      <c r="AK2" s="537" t="s">
        <v>410</v>
      </c>
      <c r="AL2" s="529">
        <f>WACC!$C$6</f>
        <v>10</v>
      </c>
      <c r="AN2" s="531" t="s">
        <v>409</v>
      </c>
      <c r="AO2" s="531" t="s">
        <v>87</v>
      </c>
      <c r="AP2" s="531" t="s">
        <v>88</v>
      </c>
      <c r="AQ2" s="531" t="s">
        <v>89</v>
      </c>
      <c r="AR2" s="531" t="s">
        <v>90</v>
      </c>
      <c r="AS2" s="531" t="s">
        <v>91</v>
      </c>
      <c r="AT2" s="531" t="s">
        <v>92</v>
      </c>
      <c r="AU2" s="531" t="s">
        <v>10</v>
      </c>
      <c r="AV2" s="531" t="s">
        <v>257</v>
      </c>
      <c r="AW2" s="370"/>
      <c r="AX2" s="537" t="s">
        <v>410</v>
      </c>
      <c r="AY2" s="529">
        <f>WACC!$C$6</f>
        <v>10</v>
      </c>
      <c r="BA2" s="531" t="s">
        <v>409</v>
      </c>
      <c r="BB2" s="531" t="s">
        <v>87</v>
      </c>
      <c r="BC2" s="531" t="s">
        <v>88</v>
      </c>
      <c r="BD2" s="531" t="s">
        <v>89</v>
      </c>
      <c r="BE2" s="531" t="s">
        <v>90</v>
      </c>
      <c r="BF2" s="531" t="s">
        <v>91</v>
      </c>
      <c r="BG2" s="531" t="s">
        <v>92</v>
      </c>
      <c r="BH2" s="531" t="s">
        <v>10</v>
      </c>
      <c r="BI2" s="531" t="s">
        <v>257</v>
      </c>
      <c r="BJ2" s="370"/>
      <c r="BK2" s="537" t="s">
        <v>410</v>
      </c>
      <c r="BL2" s="529">
        <f>WACC!$C$6</f>
        <v>10</v>
      </c>
    </row>
    <row r="3" spans="1:64">
      <c r="A3" s="532"/>
      <c r="B3" s="532">
        <v>1</v>
      </c>
      <c r="C3" s="532">
        <v>2</v>
      </c>
      <c r="D3" s="532">
        <v>3</v>
      </c>
      <c r="E3" s="532">
        <v>4</v>
      </c>
      <c r="F3" s="532">
        <v>5</v>
      </c>
      <c r="G3" s="532">
        <v>6</v>
      </c>
      <c r="H3" s="532">
        <v>7</v>
      </c>
      <c r="I3" s="532">
        <v>8</v>
      </c>
      <c r="J3" s="371"/>
      <c r="N3" s="532"/>
      <c r="O3" s="532">
        <v>1</v>
      </c>
      <c r="P3" s="532">
        <v>2</v>
      </c>
      <c r="Q3" s="532">
        <v>3</v>
      </c>
      <c r="R3" s="532">
        <v>4</v>
      </c>
      <c r="S3" s="532">
        <v>5</v>
      </c>
      <c r="T3" s="532">
        <v>6</v>
      </c>
      <c r="U3" s="532">
        <v>7</v>
      </c>
      <c r="V3" s="532">
        <v>8</v>
      </c>
      <c r="W3" s="371"/>
      <c r="AA3" s="532"/>
      <c r="AB3" s="532">
        <v>1</v>
      </c>
      <c r="AC3" s="532">
        <v>2</v>
      </c>
      <c r="AD3" s="532">
        <v>3</v>
      </c>
      <c r="AE3" s="532">
        <v>4</v>
      </c>
      <c r="AF3" s="532">
        <v>5</v>
      </c>
      <c r="AG3" s="532">
        <v>6</v>
      </c>
      <c r="AH3" s="532">
        <v>7</v>
      </c>
      <c r="AI3" s="532">
        <v>8</v>
      </c>
      <c r="AJ3" s="371"/>
      <c r="AN3" s="532"/>
      <c r="AO3" s="532">
        <v>1</v>
      </c>
      <c r="AP3" s="532">
        <v>2</v>
      </c>
      <c r="AQ3" s="532">
        <v>3</v>
      </c>
      <c r="AR3" s="532">
        <v>4</v>
      </c>
      <c r="AS3" s="532">
        <v>5</v>
      </c>
      <c r="AT3" s="532">
        <v>6</v>
      </c>
      <c r="AU3" s="532">
        <v>7</v>
      </c>
      <c r="AV3" s="532">
        <v>8</v>
      </c>
      <c r="AW3" s="371"/>
      <c r="BA3" s="532"/>
      <c r="BB3" s="532">
        <v>1</v>
      </c>
      <c r="BC3" s="532">
        <v>2</v>
      </c>
      <c r="BD3" s="532">
        <v>3</v>
      </c>
      <c r="BE3" s="532">
        <v>4</v>
      </c>
      <c r="BF3" s="532">
        <v>5</v>
      </c>
      <c r="BG3" s="532">
        <v>6</v>
      </c>
      <c r="BH3" s="532">
        <v>7</v>
      </c>
      <c r="BI3" s="532">
        <v>8</v>
      </c>
      <c r="BJ3" s="371"/>
    </row>
    <row r="4" spans="1:64">
      <c r="A4" s="533">
        <v>0</v>
      </c>
      <c r="B4" s="534"/>
      <c r="C4" s="455"/>
      <c r="D4" s="455"/>
      <c r="E4" s="455"/>
      <c r="F4" s="455"/>
      <c r="G4" s="455"/>
      <c r="H4" s="455">
        <v>2.1662294222396961E-2</v>
      </c>
      <c r="I4" s="455">
        <v>0</v>
      </c>
      <c r="J4" s="371"/>
      <c r="K4" s="538" t="s">
        <v>9</v>
      </c>
      <c r="L4" s="530" t="str">
        <f>WACC!$F$6</f>
        <v>Peru</v>
      </c>
      <c r="N4" s="533">
        <v>0</v>
      </c>
      <c r="O4" s="534"/>
      <c r="P4" s="455"/>
      <c r="Q4" s="455"/>
      <c r="R4" s="455"/>
      <c r="S4" s="455"/>
      <c r="T4" s="455"/>
      <c r="U4" s="455">
        <v>2.4774919390157413E-2</v>
      </c>
      <c r="V4" s="455">
        <v>0</v>
      </c>
      <c r="W4" s="371"/>
      <c r="X4" s="538" t="s">
        <v>9</v>
      </c>
      <c r="Y4" s="530" t="str">
        <f>WACC!$F$6</f>
        <v>Peru</v>
      </c>
      <c r="AA4" s="533">
        <v>0</v>
      </c>
      <c r="AB4" s="534"/>
      <c r="AC4" s="455"/>
      <c r="AD4" s="455"/>
      <c r="AE4" s="455"/>
      <c r="AF4" s="455"/>
      <c r="AG4" s="455"/>
      <c r="AH4" s="455">
        <v>9.8310077404113461E-3</v>
      </c>
      <c r="AI4" s="455">
        <v>0</v>
      </c>
      <c r="AJ4" s="371"/>
      <c r="AK4" s="538" t="s">
        <v>9</v>
      </c>
      <c r="AL4" s="530" t="str">
        <f>WACC!$F$6</f>
        <v>Peru</v>
      </c>
      <c r="AN4" s="533">
        <v>0</v>
      </c>
      <c r="AO4" s="534"/>
      <c r="AP4" s="455">
        <v>0</v>
      </c>
      <c r="AQ4" s="455">
        <v>0</v>
      </c>
      <c r="AR4" s="455">
        <v>0</v>
      </c>
      <c r="AS4" s="455"/>
      <c r="AT4" s="455">
        <v>0</v>
      </c>
      <c r="AU4" s="654">
        <v>-1E-3</v>
      </c>
      <c r="AV4" s="455">
        <v>0</v>
      </c>
      <c r="AW4" s="371"/>
      <c r="AX4" s="538" t="s">
        <v>9</v>
      </c>
      <c r="AY4" s="530" t="str">
        <f>WACC!$F$6</f>
        <v>Peru</v>
      </c>
      <c r="BA4" s="533">
        <v>0</v>
      </c>
      <c r="BB4" s="534"/>
      <c r="BC4" s="455"/>
      <c r="BD4" s="455"/>
      <c r="BE4" s="455"/>
      <c r="BF4" s="455"/>
      <c r="BG4" s="455"/>
      <c r="BH4" s="782">
        <v>2.9292816225094942E-3</v>
      </c>
      <c r="BI4" s="455">
        <v>0</v>
      </c>
      <c r="BJ4" s="371"/>
      <c r="BK4" s="538" t="s">
        <v>9</v>
      </c>
      <c r="BL4" s="530" t="str">
        <f>WACC!$F$6</f>
        <v>Peru</v>
      </c>
    </row>
    <row r="5" spans="1:64">
      <c r="A5" s="533">
        <v>0.24657534246575341</v>
      </c>
      <c r="B5" s="534"/>
      <c r="C5" s="455"/>
      <c r="D5" s="455"/>
      <c r="E5" s="455"/>
      <c r="F5" s="455"/>
      <c r="G5" s="455"/>
      <c r="H5" s="455">
        <v>2.285212372522305E-2</v>
      </c>
      <c r="I5" s="455">
        <v>0</v>
      </c>
      <c r="J5" s="371"/>
      <c r="M5" s="372"/>
      <c r="N5" s="533">
        <v>0.24657534246575341</v>
      </c>
      <c r="O5" s="534"/>
      <c r="P5" s="455"/>
      <c r="Q5" s="455"/>
      <c r="R5" s="455"/>
      <c r="S5" s="455"/>
      <c r="T5" s="455"/>
      <c r="U5" s="455">
        <v>2.1018341244843697E-2</v>
      </c>
      <c r="V5" s="455">
        <v>0</v>
      </c>
      <c r="W5" s="371"/>
      <c r="AA5" s="533">
        <v>0.24657534246575341</v>
      </c>
      <c r="AB5" s="534"/>
      <c r="AC5" s="455"/>
      <c r="AD5" s="455"/>
      <c r="AE5" s="455"/>
      <c r="AF5" s="455"/>
      <c r="AG5" s="455"/>
      <c r="AH5" s="455">
        <v>5.3781540773110148E-3</v>
      </c>
      <c r="AI5" s="455">
        <v>0</v>
      </c>
      <c r="AJ5" s="371"/>
      <c r="AN5" s="533">
        <v>0.24657534246575341</v>
      </c>
      <c r="AO5" s="534"/>
      <c r="AP5" s="455">
        <v>3.8399999999999997E-2</v>
      </c>
      <c r="AQ5" s="455">
        <v>8.0000000000000002E-3</v>
      </c>
      <c r="AR5" s="455">
        <v>1.4500000000000001E-2</v>
      </c>
      <c r="AS5" s="455"/>
      <c r="AT5" s="455">
        <v>6.2600000000000003E-2</v>
      </c>
      <c r="AU5" s="654">
        <v>-2.7000000000000001E-3</v>
      </c>
      <c r="AV5" s="455">
        <v>0</v>
      </c>
      <c r="AW5" s="371"/>
      <c r="BA5" s="533">
        <v>0.24657534246575341</v>
      </c>
      <c r="BB5" s="534"/>
      <c r="BC5" s="455"/>
      <c r="BD5" s="455"/>
      <c r="BE5" s="455"/>
      <c r="BF5" s="455"/>
      <c r="BG5" s="455"/>
      <c r="BH5" s="782">
        <v>6.0164758697012211E-4</v>
      </c>
      <c r="BI5" s="455">
        <v>0</v>
      </c>
      <c r="BJ5" s="371"/>
    </row>
    <row r="6" spans="1:64">
      <c r="A6" s="533">
        <v>0.49315068493150682</v>
      </c>
      <c r="B6" s="534"/>
      <c r="C6" s="455"/>
      <c r="D6" s="455"/>
      <c r="E6" s="455"/>
      <c r="F6" s="455"/>
      <c r="G6" s="455"/>
      <c r="H6" s="455">
        <v>2.39291225808278E-2</v>
      </c>
      <c r="I6" s="455">
        <v>0</v>
      </c>
      <c r="J6" s="371"/>
      <c r="K6" s="539" t="s">
        <v>499</v>
      </c>
      <c r="L6" s="529">
        <f>HLOOKUP(L4,B2:I3,2)</f>
        <v>7</v>
      </c>
      <c r="N6" s="533">
        <v>0.49315068493150682</v>
      </c>
      <c r="O6" s="534"/>
      <c r="P6" s="455"/>
      <c r="Q6" s="455"/>
      <c r="R6" s="455"/>
      <c r="S6" s="455"/>
      <c r="T6" s="455"/>
      <c r="U6" s="455">
        <v>1.836111124676898E-2</v>
      </c>
      <c r="V6" s="455">
        <v>0</v>
      </c>
      <c r="W6" s="371"/>
      <c r="X6" s="539" t="s">
        <v>499</v>
      </c>
      <c r="Y6" s="529">
        <f>HLOOKUP(Y4,O2:V3,2)</f>
        <v>7</v>
      </c>
      <c r="AA6" s="533">
        <v>0.49315068493150682</v>
      </c>
      <c r="AB6" s="534"/>
      <c r="AC6" s="455"/>
      <c r="AD6" s="455"/>
      <c r="AE6" s="455"/>
      <c r="AF6" s="455"/>
      <c r="AG6" s="455"/>
      <c r="AH6" s="455">
        <v>2.5582538645438913E-3</v>
      </c>
      <c r="AI6" s="455">
        <v>0</v>
      </c>
      <c r="AJ6" s="371"/>
      <c r="AK6" s="539" t="s">
        <v>499</v>
      </c>
      <c r="AL6" s="529">
        <f>HLOOKUP(AL4,AB2:AI3,2)</f>
        <v>7</v>
      </c>
      <c r="AN6" s="533">
        <v>0.49315068493150682</v>
      </c>
      <c r="AO6" s="534"/>
      <c r="AP6" s="455">
        <v>4.1399999999999999E-2</v>
      </c>
      <c r="AQ6" s="455">
        <v>6.7000000000000002E-3</v>
      </c>
      <c r="AR6" s="455">
        <v>1.6899999999999998E-2</v>
      </c>
      <c r="AS6" s="455"/>
      <c r="AT6" s="455">
        <v>6.1600000000000002E-2</v>
      </c>
      <c r="AU6" s="654">
        <v>-3.7000000000000002E-3</v>
      </c>
      <c r="AV6" s="455">
        <v>0</v>
      </c>
      <c r="AW6" s="371"/>
      <c r="AX6" s="539" t="s">
        <v>499</v>
      </c>
      <c r="AY6" s="529">
        <f>HLOOKUP(AY4,AO2:AV3,2)</f>
        <v>7</v>
      </c>
      <c r="BA6" s="533">
        <v>0.49315068493150682</v>
      </c>
      <c r="BB6" s="534"/>
      <c r="BC6" s="455"/>
      <c r="BD6" s="455"/>
      <c r="BE6" s="455"/>
      <c r="BF6" s="455"/>
      <c r="BG6" s="455"/>
      <c r="BH6" s="782">
        <v>-1.1902241083033838E-3</v>
      </c>
      <c r="BI6" s="455">
        <v>0</v>
      </c>
      <c r="BJ6" s="371"/>
      <c r="BK6" s="539" t="s">
        <v>499</v>
      </c>
      <c r="BL6" s="529">
        <f>HLOOKUP(BL4,BB2:BI3,2)</f>
        <v>7</v>
      </c>
    </row>
    <row r="7" spans="1:64">
      <c r="A7" s="533">
        <v>0.73972602739726023</v>
      </c>
      <c r="B7" s="534"/>
      <c r="C7" s="455"/>
      <c r="D7" s="455"/>
      <c r="E7" s="455"/>
      <c r="F7" s="455"/>
      <c r="G7" s="455"/>
      <c r="H7" s="455">
        <v>2.490227908100584E-2</v>
      </c>
      <c r="I7" s="455">
        <v>0</v>
      </c>
      <c r="J7" s="371"/>
      <c r="N7" s="533">
        <v>0.73972602739726023</v>
      </c>
      <c r="O7" s="534"/>
      <c r="P7" s="455"/>
      <c r="Q7" s="455"/>
      <c r="R7" s="455"/>
      <c r="S7" s="455"/>
      <c r="T7" s="455"/>
      <c r="U7" s="455">
        <v>1.653507054702219E-2</v>
      </c>
      <c r="V7" s="455">
        <v>0</v>
      </c>
      <c r="W7" s="371"/>
      <c r="AA7" s="533">
        <v>0.73972602739726023</v>
      </c>
      <c r="AB7" s="534"/>
      <c r="AC7" s="455"/>
      <c r="AD7" s="455"/>
      <c r="AE7" s="455"/>
      <c r="AF7" s="455"/>
      <c r="AG7" s="455"/>
      <c r="AH7" s="455">
        <v>9.1154423085293423E-4</v>
      </c>
      <c r="AI7" s="455">
        <v>0</v>
      </c>
      <c r="AJ7" s="371"/>
      <c r="AN7" s="533">
        <v>0.73972602739726023</v>
      </c>
      <c r="AO7" s="534"/>
      <c r="AP7" s="455">
        <v>4.3999999999999997E-2</v>
      </c>
      <c r="AQ7" s="455">
        <v>5.5999999999999999E-3</v>
      </c>
      <c r="AR7" s="455">
        <v>1.89E-2</v>
      </c>
      <c r="AS7" s="455"/>
      <c r="AT7" s="455">
        <v>6.0699999999999997E-2</v>
      </c>
      <c r="AU7" s="654">
        <v>-4.3E-3</v>
      </c>
      <c r="AV7" s="455">
        <v>0</v>
      </c>
      <c r="AW7" s="371"/>
      <c r="BA7" s="533">
        <v>0.73972602739726023</v>
      </c>
      <c r="BB7" s="534"/>
      <c r="BC7" s="455"/>
      <c r="BD7" s="455"/>
      <c r="BE7" s="455"/>
      <c r="BF7" s="455"/>
      <c r="BG7" s="455"/>
      <c r="BH7" s="782">
        <v>-2.5338990041954279E-3</v>
      </c>
      <c r="BI7" s="455">
        <v>0</v>
      </c>
      <c r="BJ7" s="371"/>
    </row>
    <row r="8" spans="1:64" ht="15.75" customHeight="1">
      <c r="A8" s="533">
        <v>0.98630136986301364</v>
      </c>
      <c r="B8" s="534"/>
      <c r="C8" s="455"/>
      <c r="D8" s="455"/>
      <c r="E8" s="455"/>
      <c r="F8" s="455"/>
      <c r="G8" s="455"/>
      <c r="H8" s="455">
        <v>2.5779943913250225E-2</v>
      </c>
      <c r="I8" s="455">
        <v>0</v>
      </c>
      <c r="J8" s="371"/>
      <c r="K8" s="535" t="s">
        <v>893</v>
      </c>
      <c r="L8" s="536" cm="1">
        <f t="array" ref="L8">+IF(L$2="0.25 (3 m)",INDEX($B$4:$I$144,MATCH(0.25,$A$4:$A$144,1),HLOOKUP(L4,B2:I3,2)),IF(L$2="0.5 (6 m)",INDEX($B$4:$I$144,MATCH(0.5,$A$4:$A$144,1),HLOOKUP(L4,B2:I3,2)),INDEX($B$4:$I$144,MATCH(L2,$A$4:$A$144,1),HLOOKUP(L4,B2:I3,2))))</f>
        <v>3.1536676005769593E-2</v>
      </c>
      <c r="N8" s="533">
        <v>0.98630136986301364</v>
      </c>
      <c r="O8" s="534"/>
      <c r="P8" s="455"/>
      <c r="Q8" s="455"/>
      <c r="R8" s="455"/>
      <c r="S8" s="455"/>
      <c r="T8" s="455"/>
      <c r="U8" s="455">
        <v>1.5334342197171447E-2</v>
      </c>
      <c r="V8" s="455">
        <v>0</v>
      </c>
      <c r="W8" s="371"/>
      <c r="X8" s="535" t="s">
        <v>411</v>
      </c>
      <c r="Y8" s="536" cm="1">
        <f t="array" ref="Y8">+IF(Y$2="0.25 (3 m)",INDEX($O$4:$V$144,MATCH(0.25,$N$4:$N$144,1),HLOOKUP(Y4,O2:V3,2)),IF(Y$2="0.5 (6 m)",INDEX($O$4:$V$144,MATCH(0.5,$N$4:$N$144,1),HLOOKUP(Y4,O2:V3,2)),INDEX($O$4:$V$144,MATCH(Y2,$N$4:$N$144,1),HLOOKUP(Y4,O2:V3,2))))</f>
        <v>1.8879239903879075E-2</v>
      </c>
      <c r="AA8" s="533">
        <v>0.98630136986301364</v>
      </c>
      <c r="AB8" s="534"/>
      <c r="AC8" s="455"/>
      <c r="AD8" s="455"/>
      <c r="AE8" s="455"/>
      <c r="AF8" s="455"/>
      <c r="AG8" s="455"/>
      <c r="AH8" s="455">
        <v>1.0161782885909076E-4</v>
      </c>
      <c r="AI8" s="455">
        <v>0</v>
      </c>
      <c r="AJ8" s="371"/>
      <c r="AK8" s="535" t="s">
        <v>411</v>
      </c>
      <c r="AL8" s="536" cm="1">
        <f t="array" ref="AL8">+IF(AL$2="0.25 (3 m)",INDEX($AB$4:$AI$144,MATCH(0.25,$AA$4:$AA$144,1),HLOOKUP(AL4,AB2:AI3,2)),IF(AL$2="0.5 (6 m)",INDEX($AB$4:$AI$144,MATCH(0.5,$AA$4:$AA$144,1),HLOOKUP(AL4,AB2:AI3,2)),INDEX($AB$4:$AI$144,MATCH(AL2,$AA$4:$AA$144,1),HLOOKUP(AL4,AB2:AI3,2))))</f>
        <v>1.6365391978782506E-2</v>
      </c>
      <c r="AN8" s="533">
        <v>0.98630136986301364</v>
      </c>
      <c r="AO8" s="534"/>
      <c r="AP8" s="455">
        <v>4.6399999999999997E-2</v>
      </c>
      <c r="AQ8" s="455">
        <v>4.7000000000000002E-3</v>
      </c>
      <c r="AR8" s="455">
        <v>2.06E-2</v>
      </c>
      <c r="AS8" s="455"/>
      <c r="AT8" s="455">
        <v>0.06</v>
      </c>
      <c r="AU8" s="654">
        <v>-4.4999999999999997E-3</v>
      </c>
      <c r="AV8" s="455">
        <v>0</v>
      </c>
      <c r="AW8" s="371"/>
      <c r="AX8" s="535" t="s">
        <v>411</v>
      </c>
      <c r="AY8" s="656" cm="1">
        <f t="array" ref="AY8">+IF(AY$2="0.25 (3 m)",INDEX($AO$4:$AV$144,MATCH(0.25,$AN$4:$AN$144,1),HLOOKUP(AY4,AO2:AV3,2)),IF(AY$2="0.5 (6 m)",INDEX($AO$4:$AV$144,MATCH(0.5,$AN$4:$AN$144,1),HLOOKUP(AY4,AO2:AV3,2)),INDEX($AO$4:$AV$144,MATCH(AY2,$AN$4:$AN$144,1),HLOOKUP(AY4,AO2:AV3,2))))</f>
        <v>1.12E-2</v>
      </c>
      <c r="BA8" s="533">
        <v>0.98630136986301364</v>
      </c>
      <c r="BB8" s="534"/>
      <c r="BC8" s="455"/>
      <c r="BD8" s="455"/>
      <c r="BE8" s="455"/>
      <c r="BF8" s="455"/>
      <c r="BG8" s="455"/>
      <c r="BH8" s="782">
        <v>-3.503467509756053E-3</v>
      </c>
      <c r="BI8" s="455">
        <v>0</v>
      </c>
      <c r="BJ8" s="371"/>
      <c r="BK8" s="535" t="s">
        <v>411</v>
      </c>
      <c r="BL8" s="656" cm="1">
        <f t="array" ref="BL8">+IF(BL$2="0.25 (3 m)",INDEX($AO$4:$AV$144,MATCH(0.25,$AN$4:$AN$144,1),HLOOKUP(BL4,BB2:BI3,2)),IF(BL$2="0.5 (6 m)",INDEX($AO$4:$AV$144,MATCH(0.5,$AN$4:$AN$144,1),HLOOKUP(BL4,BB2:BI3,2)),INDEX($AO$4:$AV$144,MATCH(BL2,$AN$4:$AN$144,1),HLOOKUP(BL4,BB2:BI3,2))))</f>
        <v>1.12E-2</v>
      </c>
    </row>
    <row r="9" spans="1:64" ht="15.75" customHeight="1">
      <c r="A9" s="533">
        <v>1.2328767123287672</v>
      </c>
      <c r="B9" s="534"/>
      <c r="C9" s="455"/>
      <c r="D9" s="455"/>
      <c r="E9" s="455"/>
      <c r="F9" s="455"/>
      <c r="G9" s="455"/>
      <c r="H9" s="455">
        <v>2.6569862400412481E-2</v>
      </c>
      <c r="I9" s="455">
        <v>0</v>
      </c>
      <c r="J9" s="371"/>
      <c r="N9" s="533">
        <v>1.2328767123287672</v>
      </c>
      <c r="O9" s="534"/>
      <c r="P9" s="455"/>
      <c r="Q9" s="455"/>
      <c r="R9" s="455"/>
      <c r="S9" s="455"/>
      <c r="T9" s="455"/>
      <c r="U9" s="455">
        <v>1.4600744719076353E-2</v>
      </c>
      <c r="V9" s="455">
        <v>0</v>
      </c>
      <c r="W9" s="371"/>
      <c r="AA9" s="533">
        <v>1.2328767123287672</v>
      </c>
      <c r="AB9" s="534"/>
      <c r="AC9" s="455"/>
      <c r="AD9" s="455"/>
      <c r="AE9" s="455"/>
      <c r="AF9" s="455"/>
      <c r="AG9" s="455"/>
      <c r="AH9" s="455">
        <v>-1.1796595799162812E-4</v>
      </c>
      <c r="AI9" s="455">
        <v>0</v>
      </c>
      <c r="AJ9" s="371"/>
      <c r="AN9" s="533">
        <v>1.2328767123287672</v>
      </c>
      <c r="AO9" s="534"/>
      <c r="AP9" s="455">
        <v>4.8500000000000001E-2</v>
      </c>
      <c r="AQ9" s="455">
        <v>3.8999999999999998E-3</v>
      </c>
      <c r="AR9" s="455">
        <v>2.2100000000000002E-2</v>
      </c>
      <c r="AS9" s="455"/>
      <c r="AT9" s="455">
        <v>5.9400000000000001E-2</v>
      </c>
      <c r="AU9" s="654">
        <v>-4.4000000000000003E-3</v>
      </c>
      <c r="AV9" s="455">
        <v>0</v>
      </c>
      <c r="AW9" s="371"/>
      <c r="BA9" s="533">
        <v>1.2328767123287672</v>
      </c>
      <c r="BB9" s="534"/>
      <c r="BC9" s="455"/>
      <c r="BD9" s="455"/>
      <c r="BE9" s="455"/>
      <c r="BF9" s="455"/>
      <c r="BG9" s="455"/>
      <c r="BH9" s="782">
        <v>-4.1616750813389114E-3</v>
      </c>
      <c r="BI9" s="455">
        <v>0</v>
      </c>
      <c r="BJ9" s="371"/>
    </row>
    <row r="10" spans="1:64">
      <c r="A10" s="533">
        <v>1.4794520547945205</v>
      </c>
      <c r="B10" s="534"/>
      <c r="C10" s="455"/>
      <c r="D10" s="455"/>
      <c r="E10" s="455"/>
      <c r="F10" s="455"/>
      <c r="G10" s="455"/>
      <c r="H10" s="455">
        <v>2.7279223411746045E-2</v>
      </c>
      <c r="I10" s="455">
        <v>0</v>
      </c>
      <c r="J10" s="371"/>
      <c r="N10" s="533">
        <v>1.4794520547945205</v>
      </c>
      <c r="O10" s="534"/>
      <c r="P10" s="455"/>
      <c r="Q10" s="455"/>
      <c r="R10" s="455"/>
      <c r="S10" s="455"/>
      <c r="T10" s="455"/>
      <c r="U10" s="455">
        <v>1.4212776086931722E-2</v>
      </c>
      <c r="V10" s="455">
        <v>0</v>
      </c>
      <c r="W10" s="371"/>
      <c r="AA10" s="533">
        <v>1.4794520547945205</v>
      </c>
      <c r="AB10" s="534"/>
      <c r="AC10" s="455"/>
      <c r="AD10" s="455"/>
      <c r="AE10" s="455"/>
      <c r="AF10" s="455"/>
      <c r="AG10" s="455"/>
      <c r="AH10" s="455">
        <v>7.2366445432736626E-5</v>
      </c>
      <c r="AI10" s="455">
        <v>0</v>
      </c>
      <c r="AJ10" s="371"/>
      <c r="AN10" s="533">
        <v>1.4794520547945205</v>
      </c>
      <c r="AO10" s="534"/>
      <c r="AP10" s="455">
        <v>5.0299999999999997E-2</v>
      </c>
      <c r="AQ10" s="455">
        <v>3.2000000000000002E-3</v>
      </c>
      <c r="AR10" s="455">
        <v>2.3199999999999998E-2</v>
      </c>
      <c r="AS10" s="455"/>
      <c r="AT10" s="455">
        <v>5.8799999999999998E-2</v>
      </c>
      <c r="AU10" s="654">
        <v>-4.1000000000000003E-3</v>
      </c>
      <c r="AV10" s="455">
        <v>0</v>
      </c>
      <c r="AW10" s="371"/>
      <c r="BA10" s="533">
        <v>1.4794520547945205</v>
      </c>
      <c r="BB10" s="534"/>
      <c r="BC10" s="455"/>
      <c r="BD10" s="455"/>
      <c r="BE10" s="455"/>
      <c r="BF10" s="455"/>
      <c r="BG10" s="455"/>
      <c r="BH10" s="782">
        <v>-4.5616817839777557E-3</v>
      </c>
      <c r="BI10" s="455">
        <v>0</v>
      </c>
      <c r="BJ10" s="371"/>
    </row>
    <row r="11" spans="1:64">
      <c r="A11" s="533">
        <v>1.726027397260274</v>
      </c>
      <c r="B11" s="534"/>
      <c r="C11" s="455"/>
      <c r="D11" s="455"/>
      <c r="E11" s="455"/>
      <c r="F11" s="455"/>
      <c r="G11" s="455"/>
      <c r="H11" s="455">
        <v>2.7914685442484544E-2</v>
      </c>
      <c r="I11" s="455">
        <v>0</v>
      </c>
      <c r="J11" s="371"/>
      <c r="N11" s="533">
        <v>1.726027397260274</v>
      </c>
      <c r="O11" s="534"/>
      <c r="P11" s="455"/>
      <c r="Q11" s="455"/>
      <c r="R11" s="455"/>
      <c r="S11" s="455"/>
      <c r="T11" s="455"/>
      <c r="U11" s="455">
        <v>1.4077236962491968E-2</v>
      </c>
      <c r="V11" s="455">
        <v>0</v>
      </c>
      <c r="W11" s="371"/>
      <c r="AA11" s="533">
        <v>1.726027397260274</v>
      </c>
      <c r="AB11" s="534"/>
      <c r="AC11" s="455"/>
      <c r="AD11" s="455"/>
      <c r="AE11" s="455"/>
      <c r="AF11" s="455"/>
      <c r="AG11" s="455"/>
      <c r="AH11" s="455">
        <v>5.408190542879332E-4</v>
      </c>
      <c r="AI11" s="455">
        <v>0</v>
      </c>
      <c r="AJ11" s="371"/>
      <c r="AN11" s="533">
        <v>1.726027397260274</v>
      </c>
      <c r="AO11" s="534"/>
      <c r="AP11" s="455">
        <v>5.1999999999999998E-2</v>
      </c>
      <c r="AQ11" s="455">
        <v>2.7000000000000001E-3</v>
      </c>
      <c r="AR11" s="455">
        <v>2.4199999999999999E-2</v>
      </c>
      <c r="AS11" s="455"/>
      <c r="AT11" s="455">
        <v>5.8299999999999998E-2</v>
      </c>
      <c r="AU11" s="654">
        <v>-3.5999999999999999E-3</v>
      </c>
      <c r="AV11" s="455">
        <v>0</v>
      </c>
      <c r="AW11" s="371"/>
      <c r="BA11" s="533">
        <v>1.726027397260274</v>
      </c>
      <c r="BB11" s="534"/>
      <c r="BC11" s="455"/>
      <c r="BD11" s="455"/>
      <c r="BE11" s="455"/>
      <c r="BF11" s="455"/>
      <c r="BG11" s="455"/>
      <c r="BH11" s="782">
        <v>-4.748536667939951E-3</v>
      </c>
      <c r="BI11" s="455">
        <v>0</v>
      </c>
      <c r="BJ11" s="371"/>
    </row>
    <row r="12" spans="1:64">
      <c r="A12" s="533">
        <v>1.9726027397260273</v>
      </c>
      <c r="B12" s="534"/>
      <c r="C12" s="455"/>
      <c r="D12" s="455"/>
      <c r="E12" s="455"/>
      <c r="F12" s="455"/>
      <c r="G12" s="455"/>
      <c r="H12" s="455">
        <v>2.8482423260285161E-2</v>
      </c>
      <c r="I12" s="455">
        <v>0</v>
      </c>
      <c r="J12" s="371"/>
      <c r="N12" s="533">
        <v>1.9726027397260273</v>
      </c>
      <c r="O12" s="534"/>
      <c r="P12" s="455"/>
      <c r="Q12" s="455"/>
      <c r="R12" s="455"/>
      <c r="S12" s="455"/>
      <c r="T12" s="455"/>
      <c r="U12" s="455">
        <v>1.4122797544194876E-2</v>
      </c>
      <c r="V12" s="455">
        <v>0</v>
      </c>
      <c r="W12" s="371"/>
      <c r="AA12" s="533">
        <v>1.9726027397260273</v>
      </c>
      <c r="AB12" s="534"/>
      <c r="AC12" s="455"/>
      <c r="AD12" s="455"/>
      <c r="AE12" s="455"/>
      <c r="AF12" s="455"/>
      <c r="AG12" s="455"/>
      <c r="AH12" s="455">
        <v>1.1914957338761134E-3</v>
      </c>
      <c r="AI12" s="455">
        <v>0</v>
      </c>
      <c r="AJ12" s="371"/>
      <c r="AN12" s="533">
        <v>1.9726027397260273</v>
      </c>
      <c r="AO12" s="534"/>
      <c r="AP12" s="455">
        <v>5.3499999999999999E-2</v>
      </c>
      <c r="AQ12" s="455">
        <v>2.3E-3</v>
      </c>
      <c r="AR12" s="455">
        <v>2.5000000000000001E-2</v>
      </c>
      <c r="AS12" s="455"/>
      <c r="AT12" s="455">
        <v>5.79E-2</v>
      </c>
      <c r="AU12" s="654">
        <v>-3.0999999999999999E-3</v>
      </c>
      <c r="AV12" s="455">
        <v>0</v>
      </c>
      <c r="AW12" s="371"/>
      <c r="BA12" s="533">
        <v>1.9726027397260273</v>
      </c>
      <c r="BB12" s="534"/>
      <c r="BC12" s="455"/>
      <c r="BD12" s="455"/>
      <c r="BE12" s="455"/>
      <c r="BF12" s="455"/>
      <c r="BG12" s="455"/>
      <c r="BH12" s="782">
        <v>-4.7604096813517183E-3</v>
      </c>
      <c r="BI12" s="455">
        <v>0</v>
      </c>
      <c r="BJ12" s="371"/>
    </row>
    <row r="13" spans="1:64">
      <c r="A13" s="533">
        <v>2.2191780821917808</v>
      </c>
      <c r="B13" s="534"/>
      <c r="C13" s="455"/>
      <c r="D13" s="455"/>
      <c r="E13" s="455"/>
      <c r="F13" s="455"/>
      <c r="G13" s="455"/>
      <c r="H13" s="455">
        <v>2.8988151107617766E-2</v>
      </c>
      <c r="I13" s="455">
        <v>0</v>
      </c>
      <c r="J13" s="371"/>
      <c r="K13" s="568">
        <v>2021</v>
      </c>
      <c r="L13" s="567">
        <f>$L$8</f>
        <v>3.1536676005769593E-2</v>
      </c>
      <c r="N13" s="533">
        <v>2.2191780821917808</v>
      </c>
      <c r="O13" s="534"/>
      <c r="P13" s="455"/>
      <c r="Q13" s="455"/>
      <c r="R13" s="455"/>
      <c r="S13" s="455"/>
      <c r="T13" s="455"/>
      <c r="U13" s="455">
        <v>1.429505970692313E-2</v>
      </c>
      <c r="V13" s="455">
        <v>0</v>
      </c>
      <c r="W13" s="371"/>
      <c r="AA13" s="533">
        <v>2.2191780821917808</v>
      </c>
      <c r="AB13" s="534"/>
      <c r="AC13" s="455"/>
      <c r="AD13" s="455"/>
      <c r="AE13" s="455"/>
      <c r="AF13" s="455"/>
      <c r="AG13" s="455"/>
      <c r="AH13" s="455">
        <v>1.95503189134838E-3</v>
      </c>
      <c r="AI13" s="455">
        <v>0</v>
      </c>
      <c r="AJ13" s="371"/>
      <c r="AN13" s="533">
        <v>2.2191780821917808</v>
      </c>
      <c r="AO13" s="534"/>
      <c r="AP13" s="455">
        <v>5.4800000000000001E-2</v>
      </c>
      <c r="AQ13" s="455">
        <v>2.0999999999999999E-3</v>
      </c>
      <c r="AR13" s="455">
        <v>2.5600000000000001E-2</v>
      </c>
      <c r="AS13" s="455"/>
      <c r="AT13" s="455">
        <v>5.7500000000000002E-2</v>
      </c>
      <c r="AU13" s="654">
        <v>-2.3999999999999998E-3</v>
      </c>
      <c r="AV13" s="455">
        <v>0</v>
      </c>
      <c r="AW13" s="371"/>
      <c r="BA13" s="533">
        <v>2.2191780821917808</v>
      </c>
      <c r="BB13" s="534"/>
      <c r="BC13" s="455"/>
      <c r="BD13" s="455"/>
      <c r="BE13" s="455"/>
      <c r="BF13" s="455"/>
      <c r="BG13" s="455"/>
      <c r="BH13" s="782">
        <v>-4.62962556330071E-3</v>
      </c>
      <c r="BI13" s="455">
        <v>0</v>
      </c>
      <c r="BJ13" s="371"/>
    </row>
    <row r="14" spans="1:64">
      <c r="A14" s="533">
        <v>2.4657534246575343</v>
      </c>
      <c r="B14" s="534"/>
      <c r="C14" s="455"/>
      <c r="D14" s="455"/>
      <c r="E14" s="455"/>
      <c r="F14" s="455"/>
      <c r="G14" s="455"/>
      <c r="H14" s="455">
        <v>2.9437158387398688E-2</v>
      </c>
      <c r="I14" s="455">
        <v>0</v>
      </c>
      <c r="J14" s="371"/>
      <c r="K14" s="568">
        <v>2022</v>
      </c>
      <c r="L14" s="567">
        <f>$Y$8</f>
        <v>1.8879239903879075E-2</v>
      </c>
      <c r="N14" s="533">
        <v>2.4657534246575343</v>
      </c>
      <c r="O14" s="534"/>
      <c r="P14" s="455"/>
      <c r="Q14" s="455"/>
      <c r="R14" s="455"/>
      <c r="S14" s="455"/>
      <c r="T14" s="455"/>
      <c r="U14" s="455">
        <v>1.455272914308714E-2</v>
      </c>
      <c r="V14" s="455">
        <v>0</v>
      </c>
      <c r="W14" s="371"/>
      <c r="X14" s="373"/>
      <c r="AA14" s="533">
        <v>2.4657534246575343</v>
      </c>
      <c r="AB14" s="534"/>
      <c r="AC14" s="455"/>
      <c r="AD14" s="455"/>
      <c r="AE14" s="455"/>
      <c r="AF14" s="455"/>
      <c r="AG14" s="455"/>
      <c r="AH14" s="455">
        <v>2.7816438807422017E-3</v>
      </c>
      <c r="AI14" s="455">
        <v>0</v>
      </c>
      <c r="AJ14" s="371"/>
      <c r="AK14" s="373"/>
      <c r="AN14" s="533">
        <v>2.4657534246575343</v>
      </c>
      <c r="AO14" s="534"/>
      <c r="AP14" s="455">
        <v>5.5899999999999998E-2</v>
      </c>
      <c r="AQ14" s="455">
        <v>1.8E-3</v>
      </c>
      <c r="AR14" s="455">
        <v>2.6100000000000002E-2</v>
      </c>
      <c r="AS14" s="455"/>
      <c r="AT14" s="455">
        <v>5.7200000000000001E-2</v>
      </c>
      <c r="AU14" s="654">
        <v>-1.6999999999999999E-3</v>
      </c>
      <c r="AV14" s="455">
        <v>0</v>
      </c>
      <c r="AW14" s="371"/>
      <c r="AX14" s="373"/>
      <c r="BA14" s="533">
        <v>2.4657534246575343</v>
      </c>
      <c r="BB14" s="534"/>
      <c r="BC14" s="455"/>
      <c r="BD14" s="455"/>
      <c r="BE14" s="455"/>
      <c r="BF14" s="455"/>
      <c r="BG14" s="455"/>
      <c r="BH14" s="782">
        <v>-4.3835399934351038E-3</v>
      </c>
      <c r="BI14" s="455">
        <v>0</v>
      </c>
      <c r="BJ14" s="371"/>
      <c r="BK14" s="373"/>
    </row>
    <row r="15" spans="1:64">
      <c r="A15" s="533">
        <v>2.7123287671232879</v>
      </c>
      <c r="B15" s="534"/>
      <c r="C15" s="455"/>
      <c r="D15" s="455"/>
      <c r="E15" s="455"/>
      <c r="F15" s="455"/>
      <c r="G15" s="455"/>
      <c r="H15" s="455">
        <v>2.9834340993619035E-2</v>
      </c>
      <c r="I15" s="455">
        <v>0</v>
      </c>
      <c r="J15" s="371"/>
      <c r="K15" s="568">
        <v>2023</v>
      </c>
      <c r="L15" s="567">
        <f>+$AL$8</f>
        <v>1.6365391978782506E-2</v>
      </c>
      <c r="N15" s="533">
        <v>2.7123287671232879</v>
      </c>
      <c r="O15" s="534"/>
      <c r="P15" s="455"/>
      <c r="Q15" s="455"/>
      <c r="R15" s="455"/>
      <c r="S15" s="455"/>
      <c r="T15" s="455"/>
      <c r="U15" s="455">
        <v>1.4864643248671428E-2</v>
      </c>
      <c r="V15" s="455">
        <v>0</v>
      </c>
      <c r="W15" s="371"/>
      <c r="X15" s="373"/>
      <c r="AA15" s="533">
        <v>2.7123287671232879</v>
      </c>
      <c r="AB15" s="534"/>
      <c r="AC15" s="455"/>
      <c r="AD15" s="455"/>
      <c r="AE15" s="455"/>
      <c r="AF15" s="455"/>
      <c r="AG15" s="455"/>
      <c r="AH15" s="455">
        <v>3.6359900887221741E-3</v>
      </c>
      <c r="AI15" s="455">
        <v>0</v>
      </c>
      <c r="AJ15" s="371"/>
      <c r="AK15" s="373"/>
      <c r="AN15" s="533">
        <v>2.7123287671232879</v>
      </c>
      <c r="AO15" s="534"/>
      <c r="AP15" s="455">
        <v>5.7000000000000002E-2</v>
      </c>
      <c r="AQ15" s="455">
        <v>1.6999999999999999E-3</v>
      </c>
      <c r="AR15" s="455">
        <v>2.6499999999999999E-2</v>
      </c>
      <c r="AS15" s="455"/>
      <c r="AT15" s="455">
        <v>5.6800000000000003E-2</v>
      </c>
      <c r="AU15" s="654">
        <v>-1E-3</v>
      </c>
      <c r="AV15" s="455">
        <v>0</v>
      </c>
      <c r="AW15" s="371"/>
      <c r="AX15" s="373"/>
      <c r="BA15" s="533">
        <v>2.7123287671232879</v>
      </c>
      <c r="BB15" s="534"/>
      <c r="BC15" s="455"/>
      <c r="BD15" s="455"/>
      <c r="BE15" s="455"/>
      <c r="BF15" s="455"/>
      <c r="BG15" s="455"/>
      <c r="BH15" s="782">
        <v>-4.0452741418134375E-3</v>
      </c>
      <c r="BI15" s="455">
        <v>0</v>
      </c>
      <c r="BJ15" s="371"/>
      <c r="BK15" s="373"/>
    </row>
    <row r="16" spans="1:64">
      <c r="A16" s="533">
        <v>2.9589041095890409</v>
      </c>
      <c r="B16" s="534"/>
      <c r="C16" s="455"/>
      <c r="D16" s="455"/>
      <c r="E16" s="455"/>
      <c r="F16" s="455"/>
      <c r="G16" s="455"/>
      <c r="H16" s="455">
        <v>3.0184222342880984E-2</v>
      </c>
      <c r="I16" s="455">
        <v>0</v>
      </c>
      <c r="J16" s="371"/>
      <c r="K16" s="568">
        <v>2024</v>
      </c>
      <c r="L16" s="567">
        <f>+$AY$8</f>
        <v>1.12E-2</v>
      </c>
      <c r="N16" s="533">
        <v>2.9589041095890409</v>
      </c>
      <c r="O16" s="534"/>
      <c r="P16" s="455"/>
      <c r="Q16" s="455"/>
      <c r="R16" s="455"/>
      <c r="S16" s="455"/>
      <c r="T16" s="455"/>
      <c r="U16" s="455">
        <v>1.5207473568968233E-2</v>
      </c>
      <c r="V16" s="455">
        <v>0</v>
      </c>
      <c r="W16" s="371"/>
      <c r="X16" s="373"/>
      <c r="AA16" s="533">
        <v>2.9589041095890409</v>
      </c>
      <c r="AB16" s="534"/>
      <c r="AC16" s="455"/>
      <c r="AD16" s="455"/>
      <c r="AE16" s="455"/>
      <c r="AF16" s="455"/>
      <c r="AG16" s="455"/>
      <c r="AH16" s="455">
        <v>4.4933407029454919E-3</v>
      </c>
      <c r="AI16" s="455">
        <v>0</v>
      </c>
      <c r="AJ16" s="371"/>
      <c r="AK16" s="373"/>
      <c r="AN16" s="533">
        <v>2.9589041095890409</v>
      </c>
      <c r="AO16" s="534"/>
      <c r="AP16" s="455">
        <v>5.79E-2</v>
      </c>
      <c r="AQ16" s="455">
        <v>1.6000000000000001E-3</v>
      </c>
      <c r="AR16" s="455">
        <v>2.6800000000000001E-2</v>
      </c>
      <c r="AS16" s="455"/>
      <c r="AT16" s="455">
        <v>5.6500000000000002E-2</v>
      </c>
      <c r="AU16" s="654">
        <v>-2.0000000000000001E-4</v>
      </c>
      <c r="AV16" s="455">
        <v>0</v>
      </c>
      <c r="AW16" s="371"/>
      <c r="AX16" s="373"/>
      <c r="BA16" s="533">
        <v>2.9589041095890409</v>
      </c>
      <c r="BB16" s="534"/>
      <c r="BC16" s="455"/>
      <c r="BD16" s="455"/>
      <c r="BE16" s="455"/>
      <c r="BF16" s="455"/>
      <c r="BG16" s="455"/>
      <c r="BH16" s="782">
        <v>-3.634345647861803E-3</v>
      </c>
      <c r="BI16" s="455">
        <v>0</v>
      </c>
      <c r="BJ16" s="371"/>
      <c r="BK16" s="373"/>
    </row>
    <row r="17" spans="1:63">
      <c r="A17" s="533">
        <v>3.2054794520547945</v>
      </c>
      <c r="B17" s="534"/>
      <c r="C17" s="455"/>
      <c r="D17" s="455"/>
      <c r="E17" s="455"/>
      <c r="F17" s="455"/>
      <c r="G17" s="455"/>
      <c r="H17" s="455">
        <v>3.0490986891730687E-2</v>
      </c>
      <c r="I17" s="455">
        <v>0</v>
      </c>
      <c r="J17" s="371"/>
      <c r="K17" s="568">
        <v>2025</v>
      </c>
      <c r="L17" s="567">
        <f>+$BL$8</f>
        <v>1.12E-2</v>
      </c>
      <c r="N17" s="533">
        <v>3.2054794520547945</v>
      </c>
      <c r="O17" s="534"/>
      <c r="P17" s="455"/>
      <c r="Q17" s="455"/>
      <c r="R17" s="455"/>
      <c r="S17" s="455"/>
      <c r="T17" s="455"/>
      <c r="U17" s="455">
        <v>1.5563930581655061E-2</v>
      </c>
      <c r="V17" s="455">
        <v>0</v>
      </c>
      <c r="W17" s="371"/>
      <c r="X17" s="373"/>
      <c r="AA17" s="533">
        <v>3.2054794520547945</v>
      </c>
      <c r="AB17" s="534"/>
      <c r="AC17" s="455"/>
      <c r="AD17" s="455"/>
      <c r="AE17" s="455"/>
      <c r="AF17" s="455"/>
      <c r="AG17" s="455"/>
      <c r="AH17" s="455">
        <v>5.3367359653051505E-3</v>
      </c>
      <c r="AI17" s="455">
        <v>0</v>
      </c>
      <c r="AJ17" s="371"/>
      <c r="AK17" s="373"/>
      <c r="AN17" s="533">
        <v>3.2054794520547945</v>
      </c>
      <c r="AO17" s="534"/>
      <c r="AP17" s="455">
        <v>5.8700000000000002E-2</v>
      </c>
      <c r="AQ17" s="455">
        <v>1.6000000000000001E-3</v>
      </c>
      <c r="AR17" s="455">
        <v>2.7E-2</v>
      </c>
      <c r="AS17" s="455"/>
      <c r="AT17" s="455">
        <v>5.62E-2</v>
      </c>
      <c r="AU17" s="654">
        <v>5.9999999999999995E-4</v>
      </c>
      <c r="AV17" s="455">
        <v>0</v>
      </c>
      <c r="AW17" s="371"/>
      <c r="AX17" s="373"/>
      <c r="BA17" s="533">
        <v>3.2054794520547945</v>
      </c>
      <c r="BB17" s="534"/>
      <c r="BC17" s="455"/>
      <c r="BD17" s="455"/>
      <c r="BE17" s="455"/>
      <c r="BF17" s="455"/>
      <c r="BG17" s="455"/>
      <c r="BH17" s="782">
        <v>-3.1671994496879075E-3</v>
      </c>
      <c r="BI17" s="455">
        <v>0</v>
      </c>
      <c r="BJ17" s="371"/>
      <c r="BK17" s="373"/>
    </row>
    <row r="18" spans="1:63">
      <c r="A18" s="533">
        <v>3.452054794520548</v>
      </c>
      <c r="B18" s="534"/>
      <c r="C18" s="455"/>
      <c r="D18" s="455"/>
      <c r="E18" s="455"/>
      <c r="F18" s="455"/>
      <c r="G18" s="455"/>
      <c r="H18" s="455">
        <v>3.0758501647441205E-2</v>
      </c>
      <c r="I18" s="455">
        <v>0</v>
      </c>
      <c r="J18" s="371"/>
      <c r="K18" s="568">
        <v>2026</v>
      </c>
      <c r="L18" s="529"/>
      <c r="N18" s="533">
        <v>3.452054794520548</v>
      </c>
      <c r="O18" s="534"/>
      <c r="P18" s="455"/>
      <c r="Q18" s="455"/>
      <c r="R18" s="455"/>
      <c r="S18" s="455"/>
      <c r="T18" s="455"/>
      <c r="U18" s="455">
        <v>1.5921369788671758E-2</v>
      </c>
      <c r="V18" s="455">
        <v>0</v>
      </c>
      <c r="W18" s="371"/>
      <c r="AA18" s="533">
        <v>3.452054794520548</v>
      </c>
      <c r="AB18" s="534"/>
      <c r="AC18" s="455"/>
      <c r="AD18" s="455"/>
      <c r="AE18" s="455"/>
      <c r="AF18" s="455"/>
      <c r="AG18" s="455"/>
      <c r="AH18" s="455">
        <v>6.1548732086036395E-3</v>
      </c>
      <c r="AI18" s="455">
        <v>0</v>
      </c>
      <c r="AJ18" s="371"/>
      <c r="AN18" s="533">
        <v>3.452054794520548</v>
      </c>
      <c r="AO18" s="534"/>
      <c r="AP18" s="455">
        <v>5.9400000000000001E-2</v>
      </c>
      <c r="AQ18" s="455">
        <v>1.6999999999999999E-3</v>
      </c>
      <c r="AR18" s="455">
        <v>2.7099999999999999E-2</v>
      </c>
      <c r="AS18" s="455"/>
      <c r="AT18" s="455">
        <v>5.6000000000000001E-2</v>
      </c>
      <c r="AU18" s="654">
        <v>1.2999999999999999E-3</v>
      </c>
      <c r="AV18" s="455">
        <v>0</v>
      </c>
      <c r="AW18" s="371"/>
      <c r="BA18" s="533">
        <v>3.452054794520548</v>
      </c>
      <c r="BB18" s="534"/>
      <c r="BC18" s="455"/>
      <c r="BD18" s="455"/>
      <c r="BE18" s="455"/>
      <c r="BF18" s="455"/>
      <c r="BG18" s="455"/>
      <c r="BH18" s="782">
        <v>-2.657661869343797E-3</v>
      </c>
      <c r="BI18" s="455">
        <v>0</v>
      </c>
      <c r="BJ18" s="371"/>
    </row>
    <row r="19" spans="1:63">
      <c r="A19" s="533">
        <v>3.6986301369863015</v>
      </c>
      <c r="B19" s="534"/>
      <c r="C19" s="455"/>
      <c r="D19" s="455"/>
      <c r="E19" s="455"/>
      <c r="F19" s="455"/>
      <c r="G19" s="455"/>
      <c r="H19" s="455">
        <v>3.0990333146915905E-2</v>
      </c>
      <c r="I19" s="455">
        <v>0</v>
      </c>
      <c r="J19" s="371"/>
      <c r="K19" s="568">
        <v>2027</v>
      </c>
      <c r="L19" s="529"/>
      <c r="N19" s="533">
        <v>3.6986301369863015</v>
      </c>
      <c r="O19" s="534"/>
      <c r="P19" s="455"/>
      <c r="Q19" s="455"/>
      <c r="R19" s="455"/>
      <c r="S19" s="455"/>
      <c r="T19" s="455"/>
      <c r="U19" s="455">
        <v>1.6270708582032611E-2</v>
      </c>
      <c r="V19" s="455">
        <v>0</v>
      </c>
      <c r="W19" s="371"/>
      <c r="AA19" s="533">
        <v>3.6986301369863015</v>
      </c>
      <c r="AB19" s="534"/>
      <c r="AC19" s="455"/>
      <c r="AD19" s="455"/>
      <c r="AE19" s="455"/>
      <c r="AF19" s="455"/>
      <c r="AG19" s="455"/>
      <c r="AH19" s="455">
        <v>6.9405430112925437E-3</v>
      </c>
      <c r="AI19" s="455">
        <v>0</v>
      </c>
      <c r="AJ19" s="371"/>
      <c r="AN19" s="533">
        <v>3.6986301369863015</v>
      </c>
      <c r="AO19" s="534"/>
      <c r="AP19" s="455">
        <v>0.06</v>
      </c>
      <c r="AQ19" s="455">
        <v>1.8E-3</v>
      </c>
      <c r="AR19" s="455">
        <v>2.7199999999999998E-2</v>
      </c>
      <c r="AS19" s="455"/>
      <c r="AT19" s="455">
        <v>5.57E-2</v>
      </c>
      <c r="AU19" s="654">
        <v>2E-3</v>
      </c>
      <c r="AV19" s="455">
        <v>0</v>
      </c>
      <c r="AW19" s="371"/>
      <c r="BA19" s="533">
        <v>3.6986301369863015</v>
      </c>
      <c r="BB19" s="534"/>
      <c r="BC19" s="455"/>
      <c r="BD19" s="455"/>
      <c r="BE19" s="455"/>
      <c r="BF19" s="455"/>
      <c r="BG19" s="455"/>
      <c r="BH19" s="782">
        <v>-2.1173241183034541E-3</v>
      </c>
      <c r="BI19" s="455">
        <v>0</v>
      </c>
      <c r="BJ19" s="371"/>
    </row>
    <row r="20" spans="1:63" ht="15.75" customHeight="1">
      <c r="A20" s="533">
        <v>3.9452054794520546</v>
      </c>
      <c r="B20" s="534"/>
      <c r="C20" s="455"/>
      <c r="D20" s="455"/>
      <c r="E20" s="455"/>
      <c r="F20" s="455"/>
      <c r="G20" s="455"/>
      <c r="H20" s="455">
        <v>3.1189778375073418E-2</v>
      </c>
      <c r="I20" s="455">
        <v>0</v>
      </c>
      <c r="J20" s="371"/>
      <c r="K20" s="568">
        <v>2028</v>
      </c>
      <c r="L20" s="529"/>
      <c r="N20" s="533">
        <v>3.9452054794520546</v>
      </c>
      <c r="O20" s="534"/>
      <c r="P20" s="455"/>
      <c r="Q20" s="455"/>
      <c r="R20" s="455"/>
      <c r="S20" s="455"/>
      <c r="T20" s="455"/>
      <c r="U20" s="455">
        <v>1.6605584884222591E-2</v>
      </c>
      <c r="V20" s="455">
        <v>0</v>
      </c>
      <c r="W20" s="371"/>
      <c r="AA20" s="533">
        <v>3.9452054794520546</v>
      </c>
      <c r="AB20" s="534"/>
      <c r="AC20" s="455"/>
      <c r="AD20" s="455"/>
      <c r="AE20" s="455"/>
      <c r="AF20" s="455"/>
      <c r="AG20" s="455"/>
      <c r="AH20" s="455">
        <v>7.6894713704991347E-3</v>
      </c>
      <c r="AI20" s="455">
        <v>0</v>
      </c>
      <c r="AJ20" s="371"/>
      <c r="AN20" s="533">
        <v>3.9452054794520546</v>
      </c>
      <c r="AO20" s="534"/>
      <c r="AP20" s="455">
        <v>6.0600000000000001E-2</v>
      </c>
      <c r="AQ20" s="455">
        <v>1.9E-3</v>
      </c>
      <c r="AR20" s="455">
        <v>2.7300000000000001E-2</v>
      </c>
      <c r="AS20" s="455"/>
      <c r="AT20" s="455">
        <v>5.5399999999999998E-2</v>
      </c>
      <c r="AU20" s="654">
        <v>2.7000000000000001E-3</v>
      </c>
      <c r="AV20" s="455">
        <v>0</v>
      </c>
      <c r="AW20" s="371"/>
      <c r="BA20" s="533">
        <v>3.9452054794520546</v>
      </c>
      <c r="BB20" s="534"/>
      <c r="BC20" s="455"/>
      <c r="BD20" s="455"/>
      <c r="BE20" s="455"/>
      <c r="BF20" s="455"/>
      <c r="BG20" s="455"/>
      <c r="BH20" s="782">
        <v>-1.5558765050549539E-3</v>
      </c>
      <c r="BI20" s="455">
        <v>0</v>
      </c>
      <c r="BJ20" s="371"/>
    </row>
    <row r="21" spans="1:63" ht="15.75" customHeight="1">
      <c r="A21" s="533">
        <v>4.1917808219178081</v>
      </c>
      <c r="B21" s="534"/>
      <c r="C21" s="455"/>
      <c r="D21" s="455"/>
      <c r="E21" s="455"/>
      <c r="F21" s="455"/>
      <c r="G21" s="455"/>
      <c r="H21" s="455">
        <v>3.1359876363544537E-2</v>
      </c>
      <c r="I21" s="455">
        <v>0</v>
      </c>
      <c r="J21" s="371"/>
      <c r="K21" s="568">
        <v>2029</v>
      </c>
      <c r="L21" s="529"/>
      <c r="N21" s="533">
        <v>4.1917808219178081</v>
      </c>
      <c r="O21" s="534"/>
      <c r="P21" s="455"/>
      <c r="Q21" s="455"/>
      <c r="R21" s="455"/>
      <c r="S21" s="455"/>
      <c r="T21" s="455"/>
      <c r="U21" s="455">
        <v>1.6921695810108606E-2</v>
      </c>
      <c r="V21" s="455">
        <v>0</v>
      </c>
      <c r="W21" s="371"/>
      <c r="AA21" s="533">
        <v>4.1917808219178081</v>
      </c>
      <c r="AB21" s="534"/>
      <c r="AC21" s="455"/>
      <c r="AD21" s="455"/>
      <c r="AE21" s="455"/>
      <c r="AF21" s="455"/>
      <c r="AG21" s="455"/>
      <c r="AH21" s="455">
        <v>8.3994612716826733E-3</v>
      </c>
      <c r="AI21" s="455">
        <v>0</v>
      </c>
      <c r="AJ21" s="371"/>
      <c r="AN21" s="533">
        <v>4.1917808219178081</v>
      </c>
      <c r="AO21" s="534"/>
      <c r="AP21" s="455">
        <v>6.0999999999999999E-2</v>
      </c>
      <c r="AQ21" s="455">
        <v>2E-3</v>
      </c>
      <c r="AR21" s="455">
        <v>2.7300000000000001E-2</v>
      </c>
      <c r="AS21" s="455"/>
      <c r="AT21" s="455">
        <v>5.5199999999999999E-2</v>
      </c>
      <c r="AU21" s="654">
        <v>3.3999999999999998E-3</v>
      </c>
      <c r="AV21" s="455">
        <v>0</v>
      </c>
      <c r="AW21" s="371"/>
      <c r="BA21" s="533">
        <v>4.1917808219178081</v>
      </c>
      <c r="BB21" s="534"/>
      <c r="BC21" s="455"/>
      <c r="BD21" s="455"/>
      <c r="BE21" s="455"/>
      <c r="BF21" s="455"/>
      <c r="BG21" s="455"/>
      <c r="BH21" s="782">
        <v>-9.8138601682207227E-4</v>
      </c>
      <c r="BI21" s="455">
        <v>0</v>
      </c>
      <c r="BJ21" s="371"/>
    </row>
    <row r="22" spans="1:63">
      <c r="A22" s="533">
        <v>4.4383561643835616</v>
      </c>
      <c r="B22" s="534"/>
      <c r="C22" s="455"/>
      <c r="D22" s="455"/>
      <c r="E22" s="455"/>
      <c r="F22" s="455"/>
      <c r="G22" s="455"/>
      <c r="H22" s="455">
        <v>3.1503432699102829E-2</v>
      </c>
      <c r="I22" s="455">
        <v>0</v>
      </c>
      <c r="J22" s="371"/>
      <c r="K22" s="568">
        <v>2030</v>
      </c>
      <c r="L22" s="529"/>
      <c r="N22" s="533">
        <v>4.4383561643835616</v>
      </c>
      <c r="O22" s="534"/>
      <c r="P22" s="455"/>
      <c r="Q22" s="455"/>
      <c r="R22" s="455"/>
      <c r="S22" s="455"/>
      <c r="T22" s="455"/>
      <c r="U22" s="455">
        <v>1.7216302113794102E-2</v>
      </c>
      <c r="V22" s="455">
        <v>0</v>
      </c>
      <c r="W22" s="371"/>
      <c r="AA22" s="533">
        <v>4.4383561643835616</v>
      </c>
      <c r="AB22" s="534"/>
      <c r="AC22" s="455"/>
      <c r="AD22" s="455"/>
      <c r="AE22" s="455"/>
      <c r="AF22" s="455"/>
      <c r="AG22" s="455"/>
      <c r="AH22" s="455">
        <v>9.0697688060981108E-3</v>
      </c>
      <c r="AI22" s="455">
        <v>0</v>
      </c>
      <c r="AJ22" s="371"/>
      <c r="AN22" s="533">
        <v>4.4383561643835616</v>
      </c>
      <c r="AO22" s="534"/>
      <c r="AP22" s="455">
        <v>6.1499999999999999E-2</v>
      </c>
      <c r="AQ22" s="455">
        <v>2.2000000000000001E-3</v>
      </c>
      <c r="AR22" s="455">
        <v>2.7199999999999998E-2</v>
      </c>
      <c r="AS22" s="455"/>
      <c r="AT22" s="455">
        <v>5.4899999999999997E-2</v>
      </c>
      <c r="AU22" s="654">
        <v>4.1000000000000003E-3</v>
      </c>
      <c r="AV22" s="455">
        <v>0</v>
      </c>
      <c r="AW22" s="371"/>
      <c r="BA22" s="533">
        <v>4.4383561643835616</v>
      </c>
      <c r="BB22" s="534"/>
      <c r="BC22" s="455"/>
      <c r="BD22" s="455"/>
      <c r="BE22" s="455"/>
      <c r="BF22" s="455"/>
      <c r="BG22" s="455"/>
      <c r="BH22" s="782">
        <v>-4.0054420902280174E-4</v>
      </c>
      <c r="BI22" s="455">
        <v>0</v>
      </c>
      <c r="BJ22" s="371"/>
    </row>
    <row r="23" spans="1:63">
      <c r="A23" s="533">
        <v>4.6849315068493151</v>
      </c>
      <c r="B23" s="534"/>
      <c r="C23" s="455"/>
      <c r="D23" s="455"/>
      <c r="E23" s="455"/>
      <c r="F23" s="455"/>
      <c r="G23" s="455"/>
      <c r="H23" s="455">
        <v>3.1623030765691063E-2</v>
      </c>
      <c r="I23" s="455">
        <v>0</v>
      </c>
      <c r="J23" s="371"/>
      <c r="N23" s="533">
        <v>4.6849315068493151</v>
      </c>
      <c r="O23" s="534"/>
      <c r="P23" s="455"/>
      <c r="Q23" s="455"/>
      <c r="R23" s="455"/>
      <c r="S23" s="455"/>
      <c r="T23" s="455"/>
      <c r="U23" s="455">
        <v>1.7487828367850788E-2</v>
      </c>
      <c r="V23" s="455">
        <v>0</v>
      </c>
      <c r="W23" s="371"/>
      <c r="AA23" s="533">
        <v>4.6849315068493151</v>
      </c>
      <c r="AB23" s="534"/>
      <c r="AC23" s="455"/>
      <c r="AD23" s="455"/>
      <c r="AE23" s="455"/>
      <c r="AF23" s="455"/>
      <c r="AG23" s="455"/>
      <c r="AH23" s="455">
        <v>9.7006419671901156E-3</v>
      </c>
      <c r="AI23" s="455">
        <v>0</v>
      </c>
      <c r="AJ23" s="371"/>
      <c r="AN23" s="533">
        <v>4.6849315068493151</v>
      </c>
      <c r="AO23" s="534"/>
      <c r="AP23" s="455">
        <v>6.1800000000000001E-2</v>
      </c>
      <c r="AQ23" s="455">
        <v>2.3999999999999998E-3</v>
      </c>
      <c r="AR23" s="455">
        <v>2.7199999999999998E-2</v>
      </c>
      <c r="AS23" s="455"/>
      <c r="AT23" s="455">
        <v>5.4600000000000003E-2</v>
      </c>
      <c r="AU23" s="654">
        <v>4.7000000000000002E-3</v>
      </c>
      <c r="AV23" s="455">
        <v>0</v>
      </c>
      <c r="AW23" s="371"/>
      <c r="BA23" s="533">
        <v>4.6849315068493151</v>
      </c>
      <c r="BB23" s="534"/>
      <c r="BC23" s="455"/>
      <c r="BD23" s="455"/>
      <c r="BE23" s="455"/>
      <c r="BF23" s="455"/>
      <c r="BG23" s="455"/>
      <c r="BH23" s="782">
        <v>1.811334855346125E-4</v>
      </c>
      <c r="BI23" s="455">
        <v>0</v>
      </c>
      <c r="BJ23" s="371"/>
    </row>
    <row r="24" spans="1:63">
      <c r="A24" s="533">
        <v>4.9315068493150687</v>
      </c>
      <c r="B24" s="534"/>
      <c r="C24" s="455"/>
      <c r="D24" s="455"/>
      <c r="E24" s="455"/>
      <c r="F24" s="455"/>
      <c r="G24" s="455"/>
      <c r="H24" s="455">
        <v>3.1721056859267849E-2</v>
      </c>
      <c r="I24" s="455">
        <v>0</v>
      </c>
      <c r="J24" s="371"/>
      <c r="N24" s="533">
        <v>4.9315068493150687</v>
      </c>
      <c r="O24" s="534"/>
      <c r="P24" s="455"/>
      <c r="Q24" s="455"/>
      <c r="R24" s="455"/>
      <c r="S24" s="455"/>
      <c r="T24" s="455"/>
      <c r="U24" s="455">
        <v>1.7735559672280576E-2</v>
      </c>
      <c r="V24" s="455">
        <v>0</v>
      </c>
      <c r="W24" s="371"/>
      <c r="AA24" s="533">
        <v>4.9315068493150687</v>
      </c>
      <c r="AB24" s="534"/>
      <c r="AC24" s="455"/>
      <c r="AD24" s="455"/>
      <c r="AE24" s="455"/>
      <c r="AF24" s="455"/>
      <c r="AG24" s="455"/>
      <c r="AH24" s="455">
        <v>1.0292991091893633E-2</v>
      </c>
      <c r="AI24" s="455">
        <v>0</v>
      </c>
      <c r="AJ24" s="371"/>
      <c r="AN24" s="533">
        <v>4.9315068493150687</v>
      </c>
      <c r="AO24" s="534"/>
      <c r="AP24" s="455">
        <v>6.2199999999999998E-2</v>
      </c>
      <c r="AQ24" s="455">
        <v>2.5999999999999999E-3</v>
      </c>
      <c r="AR24" s="455">
        <v>2.7099999999999999E-2</v>
      </c>
      <c r="AS24" s="455"/>
      <c r="AT24" s="455">
        <v>5.4399999999999997E-2</v>
      </c>
      <c r="AU24" s="654">
        <v>5.3E-3</v>
      </c>
      <c r="AV24" s="455">
        <v>0</v>
      </c>
      <c r="AW24" s="371"/>
      <c r="BA24" s="533">
        <v>4.9315068493150687</v>
      </c>
      <c r="BB24" s="534"/>
      <c r="BC24" s="455"/>
      <c r="BD24" s="455"/>
      <c r="BE24" s="455"/>
      <c r="BF24" s="455"/>
      <c r="BG24" s="455"/>
      <c r="BH24" s="782">
        <v>7.591311219379282E-4</v>
      </c>
      <c r="BI24" s="455">
        <v>0</v>
      </c>
      <c r="BJ24" s="371"/>
    </row>
    <row r="25" spans="1:63">
      <c r="A25" s="533">
        <v>5.1780821917808222</v>
      </c>
      <c r="B25" s="534"/>
      <c r="C25" s="455"/>
      <c r="D25" s="455"/>
      <c r="E25" s="455"/>
      <c r="F25" s="455"/>
      <c r="G25" s="455"/>
      <c r="H25" s="455">
        <v>3.1799701274570102E-2</v>
      </c>
      <c r="I25" s="455">
        <v>0</v>
      </c>
      <c r="J25" s="371"/>
      <c r="N25" s="533">
        <v>5.1780821917808222</v>
      </c>
      <c r="O25" s="534"/>
      <c r="P25" s="455"/>
      <c r="Q25" s="455"/>
      <c r="R25" s="455"/>
      <c r="S25" s="455"/>
      <c r="T25" s="455"/>
      <c r="U25" s="455">
        <v>1.7959416829269603E-2</v>
      </c>
      <c r="V25" s="455">
        <v>0</v>
      </c>
      <c r="W25" s="371"/>
      <c r="AA25" s="533">
        <v>5.1780821917808222</v>
      </c>
      <c r="AB25" s="534"/>
      <c r="AC25" s="455"/>
      <c r="AD25" s="455"/>
      <c r="AE25" s="455"/>
      <c r="AF25" s="455"/>
      <c r="AG25" s="455"/>
      <c r="AH25" s="455">
        <v>1.0848142581830755E-2</v>
      </c>
      <c r="AI25" s="455">
        <v>0</v>
      </c>
      <c r="AJ25" s="371"/>
      <c r="AN25" s="533">
        <v>5.1780821917808222</v>
      </c>
      <c r="AO25" s="534"/>
      <c r="AP25" s="455">
        <v>6.25E-2</v>
      </c>
      <c r="AQ25" s="455">
        <v>2.8999999999999998E-3</v>
      </c>
      <c r="AR25" s="455">
        <v>2.7E-2</v>
      </c>
      <c r="AS25" s="455"/>
      <c r="AT25" s="455">
        <v>5.4100000000000002E-2</v>
      </c>
      <c r="AU25" s="654">
        <v>5.7999999999999996E-3</v>
      </c>
      <c r="AV25" s="455">
        <v>0</v>
      </c>
      <c r="AW25" s="371"/>
      <c r="BA25" s="533">
        <v>5.1780821917808222</v>
      </c>
      <c r="BB25" s="534"/>
      <c r="BC25" s="455"/>
      <c r="BD25" s="455"/>
      <c r="BE25" s="455"/>
      <c r="BF25" s="455"/>
      <c r="BG25" s="455"/>
      <c r="BH25" s="782">
        <v>1.3297733806880707E-3</v>
      </c>
      <c r="BI25" s="455">
        <v>0</v>
      </c>
      <c r="BJ25" s="371"/>
    </row>
    <row r="26" spans="1:63">
      <c r="A26" s="533">
        <v>5.4246575342465757</v>
      </c>
      <c r="B26" s="534"/>
      <c r="C26" s="455"/>
      <c r="D26" s="455"/>
      <c r="E26" s="455"/>
      <c r="F26" s="455"/>
      <c r="G26" s="455"/>
      <c r="H26" s="455">
        <v>3.1860986091419852E-2</v>
      </c>
      <c r="I26" s="455">
        <v>0</v>
      </c>
      <c r="J26" s="371"/>
      <c r="N26" s="533">
        <v>5.4246575342465757</v>
      </c>
      <c r="O26" s="534"/>
      <c r="P26" s="455"/>
      <c r="Q26" s="455"/>
      <c r="R26" s="455"/>
      <c r="S26" s="455"/>
      <c r="T26" s="455"/>
      <c r="U26" s="455">
        <v>1.8159768783994279E-2</v>
      </c>
      <c r="V26" s="455">
        <v>0</v>
      </c>
      <c r="W26" s="371"/>
      <c r="AA26" s="533">
        <v>5.4246575342465757</v>
      </c>
      <c r="AB26" s="534"/>
      <c r="AC26" s="455"/>
      <c r="AD26" s="455"/>
      <c r="AE26" s="455"/>
      <c r="AF26" s="455"/>
      <c r="AG26" s="455"/>
      <c r="AH26" s="455">
        <v>1.1367671387129796E-2</v>
      </c>
      <c r="AI26" s="455">
        <v>0</v>
      </c>
      <c r="AJ26" s="371"/>
      <c r="AN26" s="533">
        <v>5.4246575342465757</v>
      </c>
      <c r="AO26" s="534"/>
      <c r="AP26" s="455">
        <v>6.2700000000000006E-2</v>
      </c>
      <c r="AQ26" s="455">
        <v>3.0999999999999999E-3</v>
      </c>
      <c r="AR26" s="455">
        <v>2.69E-2</v>
      </c>
      <c r="AS26" s="455"/>
      <c r="AT26" s="455">
        <v>5.3900000000000003E-2</v>
      </c>
      <c r="AU26" s="654">
        <v>6.4000000000000003E-3</v>
      </c>
      <c r="AV26" s="455">
        <v>0</v>
      </c>
      <c r="AW26" s="371"/>
      <c r="BA26" s="533">
        <v>5.4246575342465757</v>
      </c>
      <c r="BB26" s="534"/>
      <c r="BC26" s="455"/>
      <c r="BD26" s="455"/>
      <c r="BE26" s="455"/>
      <c r="BF26" s="455"/>
      <c r="BG26" s="455"/>
      <c r="BH26" s="782">
        <v>1.8901082002682479E-3</v>
      </c>
      <c r="BI26" s="455">
        <v>0</v>
      </c>
      <c r="BJ26" s="371"/>
    </row>
    <row r="27" spans="1:63">
      <c r="A27" s="533">
        <v>5.6712328767123283</v>
      </c>
      <c r="B27" s="534"/>
      <c r="C27" s="455"/>
      <c r="D27" s="455"/>
      <c r="E27" s="455"/>
      <c r="F27" s="455"/>
      <c r="G27" s="455"/>
      <c r="H27" s="455">
        <v>3.1906769981539185E-2</v>
      </c>
      <c r="I27" s="455">
        <v>0</v>
      </c>
      <c r="J27" s="371"/>
      <c r="N27" s="533">
        <v>5.6712328767123283</v>
      </c>
      <c r="O27" s="534"/>
      <c r="P27" s="455"/>
      <c r="Q27" s="455"/>
      <c r="R27" s="455"/>
      <c r="S27" s="455"/>
      <c r="T27" s="455"/>
      <c r="U27" s="455">
        <v>1.8337307079144827E-2</v>
      </c>
      <c r="V27" s="455">
        <v>0</v>
      </c>
      <c r="W27" s="371"/>
      <c r="AA27" s="533">
        <v>5.6712328767123283</v>
      </c>
      <c r="AB27" s="534"/>
      <c r="AC27" s="455"/>
      <c r="AD27" s="455"/>
      <c r="AE27" s="455"/>
      <c r="AF27" s="455"/>
      <c r="AG27" s="455"/>
      <c r="AH27" s="455">
        <v>1.1853283804920567E-2</v>
      </c>
      <c r="AI27" s="455">
        <v>0</v>
      </c>
      <c r="AJ27" s="371"/>
      <c r="AN27" s="533">
        <v>5.6712328767123283</v>
      </c>
      <c r="AO27" s="534"/>
      <c r="AP27" s="455">
        <v>6.2899999999999998E-2</v>
      </c>
      <c r="AQ27" s="455">
        <v>3.3999999999999998E-3</v>
      </c>
      <c r="AR27" s="455">
        <v>2.6800000000000001E-2</v>
      </c>
      <c r="AS27" s="455"/>
      <c r="AT27" s="455">
        <v>5.3600000000000002E-2</v>
      </c>
      <c r="AU27" s="654">
        <v>6.8999999999999999E-3</v>
      </c>
      <c r="AV27" s="455">
        <v>0</v>
      </c>
      <c r="AW27" s="371"/>
      <c r="BA27" s="533">
        <v>5.6712328767123283</v>
      </c>
      <c r="BB27" s="534"/>
      <c r="BC27" s="455"/>
      <c r="BD27" s="455"/>
      <c r="BE27" s="455"/>
      <c r="BF27" s="455"/>
      <c r="BG27" s="455"/>
      <c r="BH27" s="782">
        <v>2.4377850706214232E-3</v>
      </c>
      <c r="BI27" s="455">
        <v>0</v>
      </c>
      <c r="BJ27" s="371"/>
    </row>
    <row r="28" spans="1:63">
      <c r="A28" s="533">
        <v>5.9178082191780819</v>
      </c>
      <c r="B28" s="534"/>
      <c r="C28" s="455"/>
      <c r="D28" s="455"/>
      <c r="E28" s="455"/>
      <c r="F28" s="455"/>
      <c r="G28" s="455"/>
      <c r="H28" s="455">
        <v>3.1938762825925116E-2</v>
      </c>
      <c r="I28" s="455">
        <v>0</v>
      </c>
      <c r="J28" s="371"/>
      <c r="N28" s="533">
        <v>5.9178082191780819</v>
      </c>
      <c r="O28" s="534"/>
      <c r="P28" s="455"/>
      <c r="Q28" s="455"/>
      <c r="R28" s="455"/>
      <c r="S28" s="455"/>
      <c r="T28" s="455"/>
      <c r="U28" s="455">
        <v>1.8492930810641628E-2</v>
      </c>
      <c r="V28" s="455">
        <v>0</v>
      </c>
      <c r="W28" s="371"/>
      <c r="AA28" s="533">
        <v>5.9178082191780819</v>
      </c>
      <c r="AB28" s="534"/>
      <c r="AC28" s="455"/>
      <c r="AD28" s="455"/>
      <c r="AE28" s="455"/>
      <c r="AF28" s="455"/>
      <c r="AG28" s="455"/>
      <c r="AH28" s="455">
        <v>1.2306724844185934E-2</v>
      </c>
      <c r="AI28" s="455">
        <v>0</v>
      </c>
      <c r="AJ28" s="371"/>
      <c r="AN28" s="533">
        <v>5.9178082191780819</v>
      </c>
      <c r="AO28" s="534"/>
      <c r="AP28" s="455">
        <v>6.3100000000000003E-2</v>
      </c>
      <c r="AQ28" s="455">
        <v>3.7000000000000002E-3</v>
      </c>
      <c r="AR28" s="455">
        <v>2.6700000000000002E-2</v>
      </c>
      <c r="AS28" s="455"/>
      <c r="AT28" s="455">
        <v>5.3400000000000003E-2</v>
      </c>
      <c r="AU28" s="654">
        <v>7.3000000000000001E-3</v>
      </c>
      <c r="AV28" s="455">
        <v>0</v>
      </c>
      <c r="AW28" s="371"/>
      <c r="BA28" s="533">
        <v>5.9178082191780819</v>
      </c>
      <c r="BB28" s="534"/>
      <c r="BC28" s="455"/>
      <c r="BD28" s="455"/>
      <c r="BE28" s="455"/>
      <c r="BF28" s="455"/>
      <c r="BG28" s="455"/>
      <c r="BH28" s="782">
        <v>2.9709670132980204E-3</v>
      </c>
      <c r="BI28" s="455">
        <v>0</v>
      </c>
      <c r="BJ28" s="371"/>
    </row>
    <row r="29" spans="1:63">
      <c r="A29" s="533">
        <v>6.1643835616438354</v>
      </c>
      <c r="B29" s="534"/>
      <c r="C29" s="455"/>
      <c r="D29" s="455"/>
      <c r="E29" s="455"/>
      <c r="F29" s="455"/>
      <c r="G29" s="455"/>
      <c r="H29" s="455">
        <v>3.1958536343449806E-2</v>
      </c>
      <c r="I29" s="455">
        <v>0</v>
      </c>
      <c r="J29" s="371"/>
      <c r="N29" s="533">
        <v>6.1643835616438354</v>
      </c>
      <c r="O29" s="534"/>
      <c r="P29" s="455"/>
      <c r="Q29" s="455"/>
      <c r="R29" s="455"/>
      <c r="S29" s="455"/>
      <c r="T29" s="455"/>
      <c r="U29" s="455">
        <v>1.8627683137365292E-2</v>
      </c>
      <c r="V29" s="455">
        <v>0</v>
      </c>
      <c r="W29" s="371"/>
      <c r="AA29" s="533">
        <v>6.1643835616438354</v>
      </c>
      <c r="AB29" s="534"/>
      <c r="AC29" s="455"/>
      <c r="AD29" s="455"/>
      <c r="AE29" s="455"/>
      <c r="AF29" s="455"/>
      <c r="AG29" s="455"/>
      <c r="AH29" s="455">
        <v>1.2729729448986538E-2</v>
      </c>
      <c r="AI29" s="455">
        <v>0</v>
      </c>
      <c r="AJ29" s="371"/>
      <c r="AN29" s="533">
        <v>6.1643835616438354</v>
      </c>
      <c r="AO29" s="534"/>
      <c r="AP29" s="455">
        <v>6.3299999999999995E-2</v>
      </c>
      <c r="AQ29" s="455">
        <v>3.8999999999999998E-3</v>
      </c>
      <c r="AR29" s="455">
        <v>2.6499999999999999E-2</v>
      </c>
      <c r="AS29" s="455"/>
      <c r="AT29" s="455">
        <v>5.3100000000000001E-2</v>
      </c>
      <c r="AU29" s="654">
        <v>7.7999999999999996E-3</v>
      </c>
      <c r="AV29" s="455">
        <v>0</v>
      </c>
      <c r="AW29" s="371"/>
      <c r="BA29" s="533">
        <v>6.1643835616438354</v>
      </c>
      <c r="BB29" s="534"/>
      <c r="BC29" s="455"/>
      <c r="BD29" s="455"/>
      <c r="BE29" s="455"/>
      <c r="BF29" s="455"/>
      <c r="BG29" s="455"/>
      <c r="BH29" s="782">
        <v>3.4882485728418011E-3</v>
      </c>
      <c r="BI29" s="455">
        <v>0</v>
      </c>
      <c r="BJ29" s="371"/>
    </row>
    <row r="30" spans="1:63">
      <c r="A30" s="533">
        <v>6.4109589041095889</v>
      </c>
      <c r="B30" s="534"/>
      <c r="C30" s="455"/>
      <c r="D30" s="455"/>
      <c r="E30" s="455"/>
      <c r="F30" s="455"/>
      <c r="G30" s="455"/>
      <c r="H30" s="455">
        <v>3.196753264419927E-2</v>
      </c>
      <c r="I30" s="455">
        <v>0</v>
      </c>
      <c r="J30" s="371"/>
      <c r="N30" s="533">
        <v>6.4109589041095889</v>
      </c>
      <c r="O30" s="534"/>
      <c r="P30" s="455"/>
      <c r="Q30" s="455"/>
      <c r="R30" s="455"/>
      <c r="S30" s="455"/>
      <c r="T30" s="455"/>
      <c r="U30" s="455">
        <v>1.8742683880546451E-2</v>
      </c>
      <c r="V30" s="455">
        <v>0</v>
      </c>
      <c r="W30" s="371"/>
      <c r="AA30" s="533">
        <v>6.4109589041095889</v>
      </c>
      <c r="AB30" s="534"/>
      <c r="AC30" s="455"/>
      <c r="AD30" s="455"/>
      <c r="AE30" s="455"/>
      <c r="AF30" s="455"/>
      <c r="AG30" s="455"/>
      <c r="AH30" s="455">
        <v>1.3123980266073199E-2</v>
      </c>
      <c r="AI30" s="455">
        <v>0</v>
      </c>
      <c r="AJ30" s="371"/>
      <c r="AN30" s="533">
        <v>6.4109589041095889</v>
      </c>
      <c r="AO30" s="534"/>
      <c r="AP30" s="455">
        <v>6.3500000000000001E-2</v>
      </c>
      <c r="AQ30" s="455">
        <v>4.1999999999999997E-3</v>
      </c>
      <c r="AR30" s="455">
        <v>2.64E-2</v>
      </c>
      <c r="AS30" s="455"/>
      <c r="AT30" s="455">
        <v>5.28E-2</v>
      </c>
      <c r="AU30" s="654">
        <v>8.2000000000000007E-3</v>
      </c>
      <c r="AV30" s="455">
        <v>0</v>
      </c>
      <c r="AW30" s="371"/>
      <c r="BA30" s="533">
        <v>6.4109589041095889</v>
      </c>
      <c r="BB30" s="534"/>
      <c r="BC30" s="455"/>
      <c r="BD30" s="455"/>
      <c r="BE30" s="455"/>
      <c r="BF30" s="455"/>
      <c r="BG30" s="455"/>
      <c r="BH30" s="782">
        <v>3.9885864240660762E-3</v>
      </c>
      <c r="BI30" s="455">
        <v>0</v>
      </c>
      <c r="BJ30" s="371"/>
    </row>
    <row r="31" spans="1:63">
      <c r="A31" s="533">
        <v>6.6575342465753424</v>
      </c>
      <c r="B31" s="534"/>
      <c r="C31" s="455"/>
      <c r="D31" s="455"/>
      <c r="E31" s="455"/>
      <c r="F31" s="455"/>
      <c r="G31" s="455"/>
      <c r="H31" s="455">
        <v>3.1967078558183815E-2</v>
      </c>
      <c r="I31" s="455">
        <v>0</v>
      </c>
      <c r="J31" s="371"/>
      <c r="N31" s="533">
        <v>6.6575342465753424</v>
      </c>
      <c r="O31" s="534"/>
      <c r="P31" s="455"/>
      <c r="Q31" s="455"/>
      <c r="R31" s="455"/>
      <c r="S31" s="455"/>
      <c r="T31" s="455"/>
      <c r="U31" s="455">
        <v>1.8839087913000041E-2</v>
      </c>
      <c r="V31" s="455">
        <v>0</v>
      </c>
      <c r="W31" s="371"/>
      <c r="AA31" s="533">
        <v>6.6575342465753424</v>
      </c>
      <c r="AB31" s="534"/>
      <c r="AC31" s="455"/>
      <c r="AD31" s="455"/>
      <c r="AE31" s="455"/>
      <c r="AF31" s="455"/>
      <c r="AG31" s="455"/>
      <c r="AH31" s="455">
        <v>1.3491089340899487E-2</v>
      </c>
      <c r="AI31" s="455">
        <v>0</v>
      </c>
      <c r="AJ31" s="371"/>
      <c r="AN31" s="533">
        <v>6.6575342465753424</v>
      </c>
      <c r="AO31" s="534"/>
      <c r="AP31" s="455">
        <v>6.3600000000000004E-2</v>
      </c>
      <c r="AQ31" s="455">
        <v>4.4999999999999997E-3</v>
      </c>
      <c r="AR31" s="455">
        <v>2.63E-2</v>
      </c>
      <c r="AS31" s="455"/>
      <c r="AT31" s="455">
        <v>5.2600000000000001E-2</v>
      </c>
      <c r="AU31" s="654">
        <v>8.5000000000000006E-3</v>
      </c>
      <c r="AV31" s="455">
        <v>0</v>
      </c>
      <c r="AW31" s="371"/>
      <c r="BA31" s="533">
        <v>6.6575342465753424</v>
      </c>
      <c r="BB31" s="534"/>
      <c r="BC31" s="455"/>
      <c r="BD31" s="455"/>
      <c r="BE31" s="455"/>
      <c r="BF31" s="455"/>
      <c r="BG31" s="455"/>
      <c r="BH31" s="782">
        <v>4.4712396923520803E-3</v>
      </c>
      <c r="BI31" s="455">
        <v>0</v>
      </c>
      <c r="BJ31" s="371"/>
    </row>
    <row r="32" spans="1:63">
      <c r="A32" s="533">
        <v>6.904109589041096</v>
      </c>
      <c r="B32" s="534"/>
      <c r="C32" s="455"/>
      <c r="D32" s="455"/>
      <c r="E32" s="455"/>
      <c r="F32" s="455"/>
      <c r="G32" s="455"/>
      <c r="H32" s="455">
        <v>3.1958390059025676E-2</v>
      </c>
      <c r="I32" s="455">
        <v>0</v>
      </c>
      <c r="J32" s="371"/>
      <c r="N32" s="533">
        <v>6.904109589041096</v>
      </c>
      <c r="O32" s="534"/>
      <c r="P32" s="455"/>
      <c r="Q32" s="455"/>
      <c r="R32" s="455"/>
      <c r="S32" s="455"/>
      <c r="T32" s="455"/>
      <c r="U32" s="455">
        <v>1.8918057765297425E-2</v>
      </c>
      <c r="V32" s="455">
        <v>0</v>
      </c>
      <c r="W32" s="371"/>
      <c r="AA32" s="533">
        <v>6.904109589041096</v>
      </c>
      <c r="AB32" s="534"/>
      <c r="AC32" s="455"/>
      <c r="AD32" s="455"/>
      <c r="AE32" s="455"/>
      <c r="AF32" s="455"/>
      <c r="AG32" s="455"/>
      <c r="AH32" s="455">
        <v>1.3832577730938267E-2</v>
      </c>
      <c r="AI32" s="455">
        <v>0</v>
      </c>
      <c r="AJ32" s="371"/>
      <c r="AN32" s="533">
        <v>6.904109589041096</v>
      </c>
      <c r="AO32" s="534"/>
      <c r="AP32" s="455">
        <v>6.3700000000000007E-2</v>
      </c>
      <c r="AQ32" s="455">
        <v>4.7999999999999996E-3</v>
      </c>
      <c r="AR32" s="455">
        <v>2.6200000000000001E-2</v>
      </c>
      <c r="AS32" s="455"/>
      <c r="AT32" s="455">
        <v>5.2299999999999999E-2</v>
      </c>
      <c r="AU32" s="654">
        <v>8.8999999999999999E-3</v>
      </c>
      <c r="AV32" s="455">
        <v>0</v>
      </c>
      <c r="AW32" s="371"/>
      <c r="BA32" s="533">
        <v>6.904109589041096</v>
      </c>
      <c r="BB32" s="534"/>
      <c r="BC32" s="455"/>
      <c r="BD32" s="455"/>
      <c r="BE32" s="455"/>
      <c r="BF32" s="455"/>
      <c r="BG32" s="455"/>
      <c r="BH32" s="782">
        <v>4.935721858314368E-3</v>
      </c>
      <c r="BI32" s="455">
        <v>0</v>
      </c>
      <c r="BJ32" s="371"/>
    </row>
    <row r="33" spans="1:62">
      <c r="A33" s="533">
        <v>7.1506849315068495</v>
      </c>
      <c r="B33" s="534"/>
      <c r="C33" s="455"/>
      <c r="D33" s="455"/>
      <c r="E33" s="455"/>
      <c r="F33" s="455"/>
      <c r="G33" s="455"/>
      <c r="H33" s="455">
        <v>3.1942580656819208E-2</v>
      </c>
      <c r="I33" s="455">
        <v>0</v>
      </c>
      <c r="J33" s="371"/>
      <c r="N33" s="533">
        <v>7.1506849315068495</v>
      </c>
      <c r="O33" s="534"/>
      <c r="P33" s="455"/>
      <c r="Q33" s="455"/>
      <c r="R33" s="455"/>
      <c r="S33" s="455"/>
      <c r="T33" s="455"/>
      <c r="U33" s="455">
        <v>1.8980741018338909E-2</v>
      </c>
      <c r="V33" s="455">
        <v>0</v>
      </c>
      <c r="W33" s="371"/>
      <c r="AA33" s="533">
        <v>7.1506849315068495</v>
      </c>
      <c r="AB33" s="534"/>
      <c r="AC33" s="455"/>
      <c r="AD33" s="455"/>
      <c r="AE33" s="455"/>
      <c r="AF33" s="455"/>
      <c r="AG33" s="455"/>
      <c r="AH33" s="455">
        <v>1.4149878225305335E-2</v>
      </c>
      <c r="AI33" s="455">
        <v>0</v>
      </c>
      <c r="AJ33" s="371"/>
      <c r="AN33" s="533">
        <v>7.1506849315068495</v>
      </c>
      <c r="AO33" s="534"/>
      <c r="AP33" s="455">
        <v>6.3799999999999996E-2</v>
      </c>
      <c r="AQ33" s="455">
        <v>5.0000000000000001E-3</v>
      </c>
      <c r="AR33" s="455">
        <v>2.6100000000000002E-2</v>
      </c>
      <c r="AS33" s="455"/>
      <c r="AT33" s="455">
        <v>5.21E-2</v>
      </c>
      <c r="AU33" s="654">
        <v>9.1999999999999998E-3</v>
      </c>
      <c r="AV33" s="455">
        <v>0</v>
      </c>
      <c r="AW33" s="371"/>
      <c r="BA33" s="533">
        <v>7.1506849315068495</v>
      </c>
      <c r="BB33" s="534"/>
      <c r="BC33" s="455"/>
      <c r="BD33" s="455"/>
      <c r="BE33" s="455"/>
      <c r="BF33" s="455"/>
      <c r="BG33" s="455"/>
      <c r="BH33" s="782">
        <v>5.381753747350837E-3</v>
      </c>
      <c r="BI33" s="455">
        <v>0</v>
      </c>
      <c r="BJ33" s="371"/>
    </row>
    <row r="34" spans="1:62">
      <c r="A34" s="533">
        <v>7.397260273972603</v>
      </c>
      <c r="B34" s="534"/>
      <c r="C34" s="455"/>
      <c r="D34" s="455"/>
      <c r="E34" s="455"/>
      <c r="F34" s="455"/>
      <c r="G34" s="455"/>
      <c r="H34" s="455">
        <v>3.1920671552890356E-2</v>
      </c>
      <c r="I34" s="455">
        <v>0</v>
      </c>
      <c r="J34" s="371"/>
      <c r="N34" s="533">
        <v>7.397260273972603</v>
      </c>
      <c r="O34" s="534"/>
      <c r="P34" s="455"/>
      <c r="Q34" s="455"/>
      <c r="R34" s="455"/>
      <c r="S34" s="455"/>
      <c r="T34" s="455"/>
      <c r="U34" s="455">
        <v>1.9028250491425425E-2</v>
      </c>
      <c r="V34" s="455">
        <v>0</v>
      </c>
      <c r="W34" s="371"/>
      <c r="AA34" s="533">
        <v>7.397260273972603</v>
      </c>
      <c r="AB34" s="534"/>
      <c r="AC34" s="455"/>
      <c r="AD34" s="455"/>
      <c r="AE34" s="455"/>
      <c r="AF34" s="455"/>
      <c r="AG34" s="455"/>
      <c r="AH34" s="455">
        <v>1.4444325535104552E-2</v>
      </c>
      <c r="AI34" s="455">
        <v>0</v>
      </c>
      <c r="AJ34" s="371"/>
      <c r="AN34" s="533">
        <v>7.397260273972603</v>
      </c>
      <c r="AO34" s="534"/>
      <c r="AP34" s="455">
        <v>6.3899999999999998E-2</v>
      </c>
      <c r="AQ34" s="455">
        <v>5.3E-3</v>
      </c>
      <c r="AR34" s="455">
        <v>2.5899999999999999E-2</v>
      </c>
      <c r="AS34" s="455"/>
      <c r="AT34" s="455">
        <v>5.1799999999999999E-2</v>
      </c>
      <c r="AU34" s="654">
        <v>9.4999999999999998E-3</v>
      </c>
      <c r="AV34" s="455">
        <v>0</v>
      </c>
      <c r="AW34" s="371"/>
      <c r="BA34" s="533">
        <v>7.397260273972603</v>
      </c>
      <c r="BB34" s="534"/>
      <c r="BC34" s="455"/>
      <c r="BD34" s="455"/>
      <c r="BE34" s="455"/>
      <c r="BF34" s="455"/>
      <c r="BG34" s="455"/>
      <c r="BH34" s="782">
        <v>5.809231855975705E-3</v>
      </c>
      <c r="BI34" s="455">
        <v>0</v>
      </c>
      <c r="BJ34" s="371"/>
    </row>
    <row r="35" spans="1:62">
      <c r="A35" s="533">
        <v>7.6438356164383565</v>
      </c>
      <c r="B35" s="534"/>
      <c r="C35" s="455"/>
      <c r="D35" s="455"/>
      <c r="E35" s="455"/>
      <c r="F35" s="455"/>
      <c r="G35" s="455"/>
      <c r="H35" s="455">
        <v>3.1893597992551204E-2</v>
      </c>
      <c r="I35" s="455">
        <v>0</v>
      </c>
      <c r="J35" s="371"/>
      <c r="N35" s="533">
        <v>7.6438356164383565</v>
      </c>
      <c r="O35" s="534"/>
      <c r="P35" s="455"/>
      <c r="Q35" s="455"/>
      <c r="R35" s="455"/>
      <c r="S35" s="455"/>
      <c r="T35" s="455"/>
      <c r="U35" s="455">
        <v>1.9061656828668783E-2</v>
      </c>
      <c r="V35" s="455">
        <v>0</v>
      </c>
      <c r="W35" s="371"/>
      <c r="AA35" s="533">
        <v>7.6438356164383565</v>
      </c>
      <c r="AB35" s="534"/>
      <c r="AC35" s="455"/>
      <c r="AD35" s="455"/>
      <c r="AE35" s="455"/>
      <c r="AF35" s="455"/>
      <c r="AG35" s="455"/>
      <c r="AH35" s="455">
        <v>1.4717164657291004E-2</v>
      </c>
      <c r="AI35" s="455">
        <v>0</v>
      </c>
      <c r="AJ35" s="371"/>
      <c r="AN35" s="533">
        <v>7.6438356164383565</v>
      </c>
      <c r="AO35" s="534"/>
      <c r="AP35" s="455">
        <v>6.4000000000000001E-2</v>
      </c>
      <c r="AQ35" s="455">
        <v>5.5999999999999999E-3</v>
      </c>
      <c r="AR35" s="455">
        <v>2.58E-2</v>
      </c>
      <c r="AS35" s="455"/>
      <c r="AT35" s="455">
        <v>5.16E-2</v>
      </c>
      <c r="AU35" s="654">
        <v>9.7000000000000003E-3</v>
      </c>
      <c r="AV35" s="455">
        <v>0</v>
      </c>
      <c r="AW35" s="371"/>
      <c r="BA35" s="533">
        <v>7.6438356164383565</v>
      </c>
      <c r="BB35" s="534"/>
      <c r="BC35" s="455"/>
      <c r="BD35" s="455"/>
      <c r="BE35" s="455"/>
      <c r="BF35" s="455"/>
      <c r="BG35" s="455"/>
      <c r="BH35" s="782">
        <v>6.218194836731028E-3</v>
      </c>
      <c r="BI35" s="455">
        <v>0</v>
      </c>
      <c r="BJ35" s="371"/>
    </row>
    <row r="36" spans="1:62">
      <c r="A36" s="533">
        <v>7.8904109589041092</v>
      </c>
      <c r="B36" s="534"/>
      <c r="C36" s="455"/>
      <c r="D36" s="455"/>
      <c r="E36" s="455"/>
      <c r="F36" s="455"/>
      <c r="G36" s="455"/>
      <c r="H36" s="455">
        <v>3.1862216357419815E-2</v>
      </c>
      <c r="I36" s="455">
        <v>0</v>
      </c>
      <c r="J36" s="371"/>
      <c r="N36" s="533">
        <v>7.8904109589041092</v>
      </c>
      <c r="O36" s="534"/>
      <c r="P36" s="455"/>
      <c r="Q36" s="455"/>
      <c r="R36" s="455"/>
      <c r="S36" s="455"/>
      <c r="T36" s="455"/>
      <c r="U36" s="455">
        <v>1.908198772282943E-2</v>
      </c>
      <c r="V36" s="455">
        <v>0</v>
      </c>
      <c r="W36" s="371"/>
      <c r="AA36" s="533">
        <v>7.8904109589041092</v>
      </c>
      <c r="AB36" s="534"/>
      <c r="AC36" s="455"/>
      <c r="AD36" s="455"/>
      <c r="AE36" s="455"/>
      <c r="AF36" s="455"/>
      <c r="AG36" s="455"/>
      <c r="AH36" s="455">
        <v>1.4969546856270721E-2</v>
      </c>
      <c r="AI36" s="455">
        <v>0</v>
      </c>
      <c r="AJ36" s="371"/>
      <c r="AN36" s="533">
        <v>7.8904109589041092</v>
      </c>
      <c r="AO36" s="534"/>
      <c r="AP36" s="455">
        <v>6.4100000000000004E-2</v>
      </c>
      <c r="AQ36" s="455">
        <v>5.8999999999999999E-3</v>
      </c>
      <c r="AR36" s="455">
        <v>2.5700000000000001E-2</v>
      </c>
      <c r="AS36" s="455"/>
      <c r="AT36" s="455">
        <v>5.1299999999999998E-2</v>
      </c>
      <c r="AU36" s="654">
        <v>0.01</v>
      </c>
      <c r="AV36" s="455">
        <v>0</v>
      </c>
      <c r="AW36" s="371"/>
      <c r="BA36" s="533">
        <v>7.8904109589041092</v>
      </c>
      <c r="BB36" s="534"/>
      <c r="BC36" s="455"/>
      <c r="BD36" s="455"/>
      <c r="BE36" s="455"/>
      <c r="BF36" s="455"/>
      <c r="BG36" s="455"/>
      <c r="BH36" s="782">
        <v>6.6087967509962375E-3</v>
      </c>
      <c r="BI36" s="455">
        <v>0</v>
      </c>
      <c r="BJ36" s="371"/>
    </row>
    <row r="37" spans="1:62">
      <c r="A37" s="533">
        <v>8.1369863013698627</v>
      </c>
      <c r="B37" s="534"/>
      <c r="C37" s="455"/>
      <c r="D37" s="455"/>
      <c r="E37" s="455"/>
      <c r="F37" s="455"/>
      <c r="G37" s="455"/>
      <c r="H37" s="455">
        <v>3.1827305436662456E-2</v>
      </c>
      <c r="I37" s="455">
        <v>0</v>
      </c>
      <c r="J37" s="371"/>
      <c r="N37" s="533">
        <v>8.1369863013698627</v>
      </c>
      <c r="O37" s="534"/>
      <c r="P37" s="455"/>
      <c r="Q37" s="455"/>
      <c r="R37" s="455"/>
      <c r="S37" s="455"/>
      <c r="T37" s="455"/>
      <c r="U37" s="455">
        <v>1.9090210899708193E-2</v>
      </c>
      <c r="V37" s="455">
        <v>0</v>
      </c>
      <c r="W37" s="371"/>
      <c r="AA37" s="533">
        <v>8.1369863013698627</v>
      </c>
      <c r="AB37" s="534"/>
      <c r="AC37" s="455"/>
      <c r="AD37" s="455"/>
      <c r="AE37" s="455"/>
      <c r="AF37" s="455"/>
      <c r="AG37" s="455"/>
      <c r="AH37" s="455">
        <v>1.5202542905166982E-2</v>
      </c>
      <c r="AI37" s="455">
        <v>0</v>
      </c>
      <c r="AJ37" s="371"/>
      <c r="AN37" s="533">
        <v>8.1369863013698627</v>
      </c>
      <c r="AO37" s="534"/>
      <c r="AP37" s="455">
        <v>6.4199999999999993E-2</v>
      </c>
      <c r="AQ37" s="455">
        <v>6.1000000000000004E-3</v>
      </c>
      <c r="AR37" s="455">
        <v>2.5600000000000001E-2</v>
      </c>
      <c r="AS37" s="455"/>
      <c r="AT37" s="455">
        <v>5.0999999999999997E-2</v>
      </c>
      <c r="AU37" s="654">
        <v>1.0200000000000001E-2</v>
      </c>
      <c r="AV37" s="455">
        <v>0</v>
      </c>
      <c r="AW37" s="371"/>
      <c r="BA37" s="533">
        <v>8.1369863013698627</v>
      </c>
      <c r="BB37" s="534"/>
      <c r="BC37" s="455"/>
      <c r="BD37" s="455"/>
      <c r="BE37" s="455"/>
      <c r="BF37" s="455"/>
      <c r="BG37" s="455"/>
      <c r="BH37" s="782">
        <v>6.981286048620694E-3</v>
      </c>
      <c r="BI37" s="455">
        <v>0</v>
      </c>
      <c r="BJ37" s="371"/>
    </row>
    <row r="38" spans="1:62">
      <c r="A38" s="533">
        <v>8.3835616438356162</v>
      </c>
      <c r="B38" s="534"/>
      <c r="C38" s="455"/>
      <c r="D38" s="455"/>
      <c r="E38" s="455"/>
      <c r="F38" s="455"/>
      <c r="G38" s="455"/>
      <c r="H38" s="455">
        <v>3.1789579496285691E-2</v>
      </c>
      <c r="I38" s="455">
        <v>0</v>
      </c>
      <c r="J38" s="371"/>
      <c r="N38" s="533">
        <v>8.3835616438356162</v>
      </c>
      <c r="O38" s="534"/>
      <c r="P38" s="455"/>
      <c r="Q38" s="455"/>
      <c r="R38" s="455"/>
      <c r="S38" s="455"/>
      <c r="T38" s="455"/>
      <c r="U38" s="455">
        <v>1.9087247588381651E-2</v>
      </c>
      <c r="V38" s="455">
        <v>0</v>
      </c>
      <c r="W38" s="371"/>
      <c r="AA38" s="533">
        <v>8.3835616438356162</v>
      </c>
      <c r="AB38" s="534"/>
      <c r="AC38" s="455"/>
      <c r="AD38" s="455"/>
      <c r="AE38" s="455"/>
      <c r="AF38" s="455"/>
      <c r="AG38" s="455"/>
      <c r="AH38" s="455">
        <v>1.54171428622627E-2</v>
      </c>
      <c r="AI38" s="455">
        <v>0</v>
      </c>
      <c r="AJ38" s="371"/>
      <c r="AN38" s="533">
        <v>8.3835616438356162</v>
      </c>
      <c r="AO38" s="534"/>
      <c r="AP38" s="455">
        <v>6.4199999999999993E-2</v>
      </c>
      <c r="AQ38" s="455">
        <v>6.4000000000000003E-3</v>
      </c>
      <c r="AR38" s="455">
        <v>2.5499999999999998E-2</v>
      </c>
      <c r="AS38" s="455"/>
      <c r="AT38" s="455">
        <v>5.0799999999999998E-2</v>
      </c>
      <c r="AU38" s="654">
        <v>1.04E-2</v>
      </c>
      <c r="AV38" s="455">
        <v>0</v>
      </c>
      <c r="AW38" s="371"/>
      <c r="BA38" s="533">
        <v>8.3835616438356162</v>
      </c>
      <c r="BB38" s="534"/>
      <c r="BC38" s="455"/>
      <c r="BD38" s="455"/>
      <c r="BE38" s="455"/>
      <c r="BF38" s="455"/>
      <c r="BG38" s="455"/>
      <c r="BH38" s="782">
        <v>7.3359874669969294E-3</v>
      </c>
      <c r="BI38" s="455">
        <v>0</v>
      </c>
      <c r="BJ38" s="371"/>
    </row>
    <row r="39" spans="1:62">
      <c r="A39" s="533">
        <v>8.6301369863013697</v>
      </c>
      <c r="B39" s="534"/>
      <c r="C39" s="455"/>
      <c r="D39" s="455"/>
      <c r="E39" s="455"/>
      <c r="F39" s="455"/>
      <c r="G39" s="455"/>
      <c r="H39" s="455">
        <v>3.1749687435719265E-2</v>
      </c>
      <c r="I39" s="455">
        <v>0</v>
      </c>
      <c r="J39" s="371"/>
      <c r="N39" s="533">
        <v>8.6301369863013697</v>
      </c>
      <c r="O39" s="534"/>
      <c r="P39" s="455"/>
      <c r="Q39" s="455"/>
      <c r="R39" s="455"/>
      <c r="S39" s="455"/>
      <c r="T39" s="455"/>
      <c r="U39" s="455">
        <v>1.9073957395119745E-2</v>
      </c>
      <c r="V39" s="455">
        <v>0</v>
      </c>
      <c r="W39" s="371"/>
      <c r="AA39" s="533">
        <v>8.6301369863013697</v>
      </c>
      <c r="AB39" s="534"/>
      <c r="AC39" s="455"/>
      <c r="AD39" s="455"/>
      <c r="AE39" s="455"/>
      <c r="AF39" s="455"/>
      <c r="AG39" s="455"/>
      <c r="AH39" s="455">
        <v>1.561426357115514E-2</v>
      </c>
      <c r="AI39" s="455">
        <v>0</v>
      </c>
      <c r="AJ39" s="371"/>
      <c r="AN39" s="533">
        <v>8.6301369863013697</v>
      </c>
      <c r="AO39" s="534"/>
      <c r="AP39" s="455">
        <v>6.4299999999999996E-2</v>
      </c>
      <c r="AQ39" s="455">
        <v>6.6E-3</v>
      </c>
      <c r="AR39" s="455">
        <v>2.5499999999999998E-2</v>
      </c>
      <c r="AS39" s="455"/>
      <c r="AT39" s="455">
        <v>5.0500000000000003E-2</v>
      </c>
      <c r="AU39" s="654">
        <v>1.06E-2</v>
      </c>
      <c r="AV39" s="455">
        <v>0</v>
      </c>
      <c r="AW39" s="371"/>
      <c r="BA39" s="533">
        <v>8.6301369863013697</v>
      </c>
      <c r="BB39" s="534"/>
      <c r="BC39" s="455"/>
      <c r="BD39" s="455"/>
      <c r="BE39" s="455"/>
      <c r="BF39" s="455"/>
      <c r="BG39" s="455"/>
      <c r="BH39" s="782">
        <v>7.6732820521563383E-3</v>
      </c>
      <c r="BI39" s="455">
        <v>0</v>
      </c>
      <c r="BJ39" s="371"/>
    </row>
    <row r="40" spans="1:62">
      <c r="A40" s="533">
        <v>8.8767123287671232</v>
      </c>
      <c r="B40" s="534"/>
      <c r="C40" s="455"/>
      <c r="D40" s="455"/>
      <c r="E40" s="455"/>
      <c r="F40" s="455"/>
      <c r="G40" s="455"/>
      <c r="H40" s="455">
        <v>3.1708223805573033E-2</v>
      </c>
      <c r="I40" s="455">
        <v>0</v>
      </c>
      <c r="J40" s="371"/>
      <c r="N40" s="533">
        <v>8.8767123287671232</v>
      </c>
      <c r="O40" s="534"/>
      <c r="P40" s="455"/>
      <c r="Q40" s="455"/>
      <c r="R40" s="455"/>
      <c r="S40" s="455"/>
      <c r="T40" s="455"/>
      <c r="U40" s="455">
        <v>1.9051152739008703E-2</v>
      </c>
      <c r="V40" s="455">
        <v>0</v>
      </c>
      <c r="W40" s="371"/>
      <c r="AA40" s="533">
        <v>8.8767123287671232</v>
      </c>
      <c r="AB40" s="534"/>
      <c r="AC40" s="455"/>
      <c r="AD40" s="455"/>
      <c r="AE40" s="455"/>
      <c r="AF40" s="455"/>
      <c r="AG40" s="455"/>
      <c r="AH40" s="455">
        <v>1.5794757176028407E-2</v>
      </c>
      <c r="AI40" s="455">
        <v>0</v>
      </c>
      <c r="AJ40" s="371"/>
      <c r="AN40" s="533">
        <v>8.8767123287671232</v>
      </c>
      <c r="AO40" s="534"/>
      <c r="AP40" s="455">
        <v>6.4299999999999996E-2</v>
      </c>
      <c r="AQ40" s="455">
        <v>6.8999999999999999E-3</v>
      </c>
      <c r="AR40" s="455">
        <v>2.5399999999999999E-2</v>
      </c>
      <c r="AS40" s="455"/>
      <c r="AT40" s="455">
        <v>5.0299999999999997E-2</v>
      </c>
      <c r="AU40" s="654">
        <v>1.0699999999999999E-2</v>
      </c>
      <c r="AV40" s="455">
        <v>0</v>
      </c>
      <c r="AW40" s="371"/>
      <c r="BA40" s="533">
        <v>8.8767123287671232</v>
      </c>
      <c r="BB40" s="534"/>
      <c r="BC40" s="455"/>
      <c r="BD40" s="455"/>
      <c r="BE40" s="455"/>
      <c r="BF40" s="455"/>
      <c r="BG40" s="455"/>
      <c r="BH40" s="782">
        <v>7.9935986031181017E-3</v>
      </c>
      <c r="BI40" s="455">
        <v>0</v>
      </c>
      <c r="BJ40" s="371"/>
    </row>
    <row r="41" spans="1:62">
      <c r="A41" s="533">
        <v>9.1232876712328768</v>
      </c>
      <c r="B41" s="534"/>
      <c r="C41" s="455"/>
      <c r="D41" s="455"/>
      <c r="E41" s="455"/>
      <c r="F41" s="455"/>
      <c r="G41" s="455"/>
      <c r="H41" s="455">
        <v>3.1665723992318373E-2</v>
      </c>
      <c r="I41" s="455">
        <v>0</v>
      </c>
      <c r="J41" s="371"/>
      <c r="N41" s="533">
        <v>9.1232876712328768</v>
      </c>
      <c r="O41" s="534"/>
      <c r="P41" s="455"/>
      <c r="Q41" s="455"/>
      <c r="R41" s="455"/>
      <c r="S41" s="455"/>
      <c r="T41" s="455"/>
      <c r="U41" s="455">
        <v>1.9019592161969801E-2</v>
      </c>
      <c r="V41" s="455">
        <v>0</v>
      </c>
      <c r="W41" s="371"/>
      <c r="AA41" s="533">
        <v>9.1232876712328768</v>
      </c>
      <c r="AB41" s="534"/>
      <c r="AC41" s="455"/>
      <c r="AD41" s="455"/>
      <c r="AE41" s="455"/>
      <c r="AF41" s="455"/>
      <c r="AG41" s="455"/>
      <c r="AH41" s="455">
        <v>1.595940995480527E-2</v>
      </c>
      <c r="AI41" s="455">
        <v>0</v>
      </c>
      <c r="AJ41" s="371"/>
      <c r="AN41" s="533">
        <v>9.1232876712328768</v>
      </c>
      <c r="AO41" s="534"/>
      <c r="AP41" s="455">
        <v>6.4399999999999999E-2</v>
      </c>
      <c r="AQ41" s="455">
        <v>7.1000000000000004E-3</v>
      </c>
      <c r="AR41" s="455">
        <v>2.53E-2</v>
      </c>
      <c r="AS41" s="455"/>
      <c r="AT41" s="455">
        <v>0.05</v>
      </c>
      <c r="AU41" s="654">
        <v>1.09E-2</v>
      </c>
      <c r="AV41" s="455">
        <v>0</v>
      </c>
      <c r="AW41" s="371"/>
      <c r="BA41" s="533">
        <v>9.1232876712328768</v>
      </c>
      <c r="BB41" s="534"/>
      <c r="BC41" s="455"/>
      <c r="BD41" s="455"/>
      <c r="BE41" s="455"/>
      <c r="BF41" s="455"/>
      <c r="BG41" s="455"/>
      <c r="BH41" s="782">
        <v>8.2974004315308214E-3</v>
      </c>
      <c r="BI41" s="455">
        <v>0</v>
      </c>
      <c r="BJ41" s="371"/>
    </row>
    <row r="42" spans="1:62">
      <c r="A42" s="533">
        <v>9.3698630136986303</v>
      </c>
      <c r="B42" s="534"/>
      <c r="C42" s="455"/>
      <c r="D42" s="455"/>
      <c r="E42" s="455"/>
      <c r="F42" s="455"/>
      <c r="G42" s="455"/>
      <c r="H42" s="455">
        <v>3.1622677217140627E-2</v>
      </c>
      <c r="I42" s="455">
        <v>0</v>
      </c>
      <c r="J42" s="371"/>
      <c r="N42" s="533">
        <v>9.3698630136986303</v>
      </c>
      <c r="O42" s="534"/>
      <c r="P42" s="455"/>
      <c r="Q42" s="455"/>
      <c r="R42" s="455"/>
      <c r="S42" s="455"/>
      <c r="T42" s="455"/>
      <c r="U42" s="455">
        <v>1.8979986231258739E-2</v>
      </c>
      <c r="V42" s="455">
        <v>0</v>
      </c>
      <c r="W42" s="371"/>
      <c r="AA42" s="533">
        <v>9.3698630136986303</v>
      </c>
      <c r="AB42" s="534"/>
      <c r="AC42" s="455"/>
      <c r="AD42" s="455"/>
      <c r="AE42" s="455"/>
      <c r="AF42" s="455"/>
      <c r="AG42" s="455"/>
      <c r="AH42" s="455">
        <v>1.6108953779313318E-2</v>
      </c>
      <c r="AI42" s="455">
        <v>0</v>
      </c>
      <c r="AJ42" s="371"/>
      <c r="AN42" s="533">
        <v>9.3698630136986303</v>
      </c>
      <c r="AO42" s="534"/>
      <c r="AP42" s="455">
        <v>6.4399999999999999E-2</v>
      </c>
      <c r="AQ42" s="455">
        <v>7.4000000000000003E-3</v>
      </c>
      <c r="AR42" s="455">
        <v>2.52E-2</v>
      </c>
      <c r="AS42" s="455"/>
      <c r="AT42" s="455">
        <v>4.9799999999999997E-2</v>
      </c>
      <c r="AU42" s="654">
        <v>1.0999999999999999E-2</v>
      </c>
      <c r="AV42" s="455">
        <v>0</v>
      </c>
      <c r="AW42" s="371"/>
      <c r="BA42" s="533">
        <v>9.3698630136986303</v>
      </c>
      <c r="BB42" s="534"/>
      <c r="BC42" s="455"/>
      <c r="BD42" s="455"/>
      <c r="BE42" s="455"/>
      <c r="BF42" s="455"/>
      <c r="BG42" s="455"/>
      <c r="BH42" s="782">
        <v>8.5851749213297079E-3</v>
      </c>
      <c r="BI42" s="455">
        <v>0</v>
      </c>
      <c r="BJ42" s="371"/>
    </row>
    <row r="43" spans="1:62">
      <c r="A43" s="533">
        <v>9.6164383561643838</v>
      </c>
      <c r="B43" s="534"/>
      <c r="C43" s="455"/>
      <c r="D43" s="455"/>
      <c r="E43" s="455"/>
      <c r="F43" s="455"/>
      <c r="G43" s="455"/>
      <c r="H43" s="455">
        <v>3.1579528536547885E-2</v>
      </c>
      <c r="I43" s="455">
        <v>0</v>
      </c>
      <c r="J43" s="371"/>
      <c r="N43" s="533">
        <v>9.6164383561643838</v>
      </c>
      <c r="O43" s="534"/>
      <c r="P43" s="455"/>
      <c r="Q43" s="455"/>
      <c r="R43" s="455"/>
      <c r="S43" s="455"/>
      <c r="T43" s="455"/>
      <c r="U43" s="455">
        <v>1.8932994707274498E-2</v>
      </c>
      <c r="V43" s="455">
        <v>0</v>
      </c>
      <c r="W43" s="371"/>
      <c r="AA43" s="533">
        <v>9.6164383561643838</v>
      </c>
      <c r="AB43" s="534"/>
      <c r="AC43" s="455"/>
      <c r="AD43" s="455"/>
      <c r="AE43" s="455"/>
      <c r="AF43" s="455"/>
      <c r="AG43" s="455"/>
      <c r="AH43" s="455">
        <v>1.6244069750607437E-2</v>
      </c>
      <c r="AI43" s="455">
        <v>0</v>
      </c>
      <c r="AJ43" s="371"/>
      <c r="AN43" s="533">
        <v>9.6164383561643838</v>
      </c>
      <c r="AO43" s="534"/>
      <c r="AP43" s="455">
        <v>6.4399999999999999E-2</v>
      </c>
      <c r="AQ43" s="455">
        <v>7.6E-3</v>
      </c>
      <c r="AR43" s="455">
        <v>2.52E-2</v>
      </c>
      <c r="AS43" s="455"/>
      <c r="AT43" s="455">
        <v>4.9599999999999998E-2</v>
      </c>
      <c r="AU43" s="654">
        <v>1.11E-2</v>
      </c>
      <c r="AV43" s="455">
        <v>0</v>
      </c>
      <c r="AW43" s="371"/>
      <c r="BA43" s="533">
        <v>9.6164383561643838</v>
      </c>
      <c r="BB43" s="534"/>
      <c r="BC43" s="455"/>
      <c r="BD43" s="455"/>
      <c r="BE43" s="455"/>
      <c r="BF43" s="455"/>
      <c r="BG43" s="455"/>
      <c r="BH43" s="782">
        <v>8.8574259977094449E-3</v>
      </c>
      <c r="BI43" s="455">
        <v>0</v>
      </c>
      <c r="BJ43" s="371"/>
    </row>
    <row r="44" spans="1:62">
      <c r="A44" s="533">
        <v>9.8630136986301373</v>
      </c>
      <c r="B44" s="534"/>
      <c r="C44" s="455"/>
      <c r="D44" s="455"/>
      <c r="E44" s="455"/>
      <c r="F44" s="455"/>
      <c r="G44" s="455"/>
      <c r="H44" s="455">
        <v>3.1536676005769593E-2</v>
      </c>
      <c r="I44" s="455">
        <v>0</v>
      </c>
      <c r="J44" s="371"/>
      <c r="N44" s="533">
        <v>9.8630136986301373</v>
      </c>
      <c r="O44" s="534"/>
      <c r="P44" s="455"/>
      <c r="Q44" s="455"/>
      <c r="R44" s="455"/>
      <c r="S44" s="455"/>
      <c r="T44" s="455"/>
      <c r="U44" s="455">
        <v>1.8879239903879075E-2</v>
      </c>
      <c r="V44" s="455">
        <v>0</v>
      </c>
      <c r="W44" s="371"/>
      <c r="AA44" s="533">
        <v>9.8630136986301373</v>
      </c>
      <c r="AB44" s="534"/>
      <c r="AC44" s="455"/>
      <c r="AD44" s="455"/>
      <c r="AE44" s="455"/>
      <c r="AF44" s="455"/>
      <c r="AG44" s="455"/>
      <c r="AH44" s="455">
        <v>1.6365391978782506E-2</v>
      </c>
      <c r="AI44" s="455">
        <v>0</v>
      </c>
      <c r="AJ44" s="371"/>
      <c r="AN44" s="533">
        <v>9.8630136986301373</v>
      </c>
      <c r="AO44" s="534"/>
      <c r="AP44" s="455">
        <v>6.4500000000000002E-2</v>
      </c>
      <c r="AQ44" s="455">
        <v>7.7999999999999996E-3</v>
      </c>
      <c r="AR44" s="455">
        <v>2.5100000000000001E-2</v>
      </c>
      <c r="AS44" s="455"/>
      <c r="AT44" s="455">
        <v>4.9299999999999997E-2</v>
      </c>
      <c r="AU44" s="654">
        <v>1.12E-2</v>
      </c>
      <c r="AV44" s="455">
        <v>0</v>
      </c>
      <c r="AW44" s="371"/>
      <c r="BA44" s="533">
        <v>9.8630136986301373</v>
      </c>
      <c r="BB44" s="534"/>
      <c r="BC44" s="455"/>
      <c r="BD44" s="455"/>
      <c r="BE44" s="455"/>
      <c r="BF44" s="455"/>
      <c r="BG44" s="455"/>
      <c r="BH44" s="782">
        <v>9.1146713619287834E-3</v>
      </c>
      <c r="BI44" s="455">
        <v>0</v>
      </c>
      <c r="BJ44" s="371"/>
    </row>
    <row r="45" spans="1:62">
      <c r="A45" s="533">
        <v>10.109589041095891</v>
      </c>
      <c r="B45" s="534"/>
      <c r="C45" s="455"/>
      <c r="D45" s="455"/>
      <c r="E45" s="455"/>
      <c r="F45" s="455"/>
      <c r="G45" s="455"/>
      <c r="H45" s="455">
        <v>3.1494484482407659E-2</v>
      </c>
      <c r="I45" s="455">
        <v>0</v>
      </c>
      <c r="J45" s="371"/>
      <c r="N45" s="533">
        <v>10.109589041095891</v>
      </c>
      <c r="O45" s="534"/>
      <c r="P45" s="455"/>
      <c r="Q45" s="455"/>
      <c r="R45" s="455"/>
      <c r="S45" s="455"/>
      <c r="T45" s="455"/>
      <c r="U45" s="455">
        <v>1.8819295353584398E-2</v>
      </c>
      <c r="V45" s="455">
        <v>0</v>
      </c>
      <c r="W45" s="371"/>
      <c r="AA45" s="533">
        <v>10.109589041095891</v>
      </c>
      <c r="AB45" s="534"/>
      <c r="AC45" s="455"/>
      <c r="AD45" s="455"/>
      <c r="AE45" s="455"/>
      <c r="AF45" s="455"/>
      <c r="AG45" s="455"/>
      <c r="AH45" s="455">
        <v>1.6473510357176036E-2</v>
      </c>
      <c r="AI45" s="455">
        <v>0</v>
      </c>
      <c r="AJ45" s="371"/>
      <c r="AN45" s="533">
        <v>10.109589041095891</v>
      </c>
      <c r="AO45" s="534"/>
      <c r="AP45" s="455">
        <v>6.4500000000000002E-2</v>
      </c>
      <c r="AQ45" s="455">
        <v>8.0999999999999996E-3</v>
      </c>
      <c r="AR45" s="455">
        <v>2.5100000000000001E-2</v>
      </c>
      <c r="AS45" s="455"/>
      <c r="AT45" s="455">
        <v>4.9099999999999998E-2</v>
      </c>
      <c r="AU45" s="654">
        <v>1.1299999999999999E-2</v>
      </c>
      <c r="AV45" s="455">
        <v>0</v>
      </c>
      <c r="AW45" s="371"/>
      <c r="BA45" s="533">
        <v>10.109589041095891</v>
      </c>
      <c r="BB45" s="534"/>
      <c r="BC45" s="455"/>
      <c r="BD45" s="455"/>
      <c r="BE45" s="455"/>
      <c r="BF45" s="455"/>
      <c r="BG45" s="455"/>
      <c r="BH45" s="782">
        <v>9.3574301757937128E-3</v>
      </c>
      <c r="BI45" s="455">
        <v>0</v>
      </c>
      <c r="BJ45" s="371"/>
    </row>
    <row r="46" spans="1:62">
      <c r="A46" s="533">
        <v>10.356164383561644</v>
      </c>
      <c r="B46" s="534"/>
      <c r="C46" s="455"/>
      <c r="D46" s="455"/>
      <c r="E46" s="455"/>
      <c r="F46" s="455"/>
      <c r="G46" s="455"/>
      <c r="H46" s="455">
        <v>3.1453277903258359E-2</v>
      </c>
      <c r="I46" s="455">
        <v>0</v>
      </c>
      <c r="J46" s="371"/>
      <c r="N46" s="533">
        <v>10.356164383561644</v>
      </c>
      <c r="O46" s="534"/>
      <c r="P46" s="455"/>
      <c r="Q46" s="455"/>
      <c r="R46" s="455"/>
      <c r="S46" s="455"/>
      <c r="T46" s="455"/>
      <c r="U46" s="455">
        <v>1.875370011344546E-2</v>
      </c>
      <c r="V46" s="455">
        <v>0</v>
      </c>
      <c r="W46" s="371"/>
      <c r="AA46" s="533">
        <v>10.356164383561644</v>
      </c>
      <c r="AB46" s="534"/>
      <c r="AC46" s="455"/>
      <c r="AD46" s="455"/>
      <c r="AE46" s="455"/>
      <c r="AF46" s="455"/>
      <c r="AG46" s="455"/>
      <c r="AH46" s="455">
        <v>1.6568977187336298E-2</v>
      </c>
      <c r="AI46" s="455">
        <v>0</v>
      </c>
      <c r="AJ46" s="371"/>
      <c r="AN46" s="533">
        <v>10.356164383561644</v>
      </c>
      <c r="AO46" s="534"/>
      <c r="AP46" s="455">
        <v>6.4500000000000002E-2</v>
      </c>
      <c r="AQ46" s="455">
        <v>8.3000000000000001E-3</v>
      </c>
      <c r="AR46" s="455">
        <v>2.5000000000000001E-2</v>
      </c>
      <c r="AS46" s="455"/>
      <c r="AT46" s="455">
        <v>4.8899999999999999E-2</v>
      </c>
      <c r="AU46" s="654">
        <v>1.1299999999999999E-2</v>
      </c>
      <c r="AV46" s="455">
        <v>0</v>
      </c>
      <c r="AW46" s="371"/>
      <c r="BA46" s="533">
        <v>10.356164383561644</v>
      </c>
      <c r="BB46" s="534"/>
      <c r="BC46" s="455"/>
      <c r="BD46" s="455"/>
      <c r="BE46" s="455"/>
      <c r="BF46" s="455"/>
      <c r="BG46" s="455"/>
      <c r="BH46" s="782">
        <v>9.5862241073267906E-3</v>
      </c>
      <c r="BI46" s="455">
        <v>0</v>
      </c>
      <c r="BJ46" s="371"/>
    </row>
    <row r="47" spans="1:62">
      <c r="A47" s="533">
        <v>10.602739726027398</v>
      </c>
      <c r="B47" s="534"/>
      <c r="C47" s="455"/>
      <c r="D47" s="455"/>
      <c r="E47" s="455"/>
      <c r="F47" s="455"/>
      <c r="G47" s="455"/>
      <c r="H47" s="455">
        <v>3.1413350080564451E-2</v>
      </c>
      <c r="I47" s="455">
        <v>0</v>
      </c>
      <c r="J47" s="371"/>
      <c r="N47" s="533">
        <v>10.602739726027398</v>
      </c>
      <c r="O47" s="534"/>
      <c r="P47" s="455"/>
      <c r="Q47" s="455"/>
      <c r="R47" s="455"/>
      <c r="S47" s="455"/>
      <c r="T47" s="455"/>
      <c r="U47" s="455">
        <v>1.8682955000816737E-2</v>
      </c>
      <c r="V47" s="455">
        <v>0</v>
      </c>
      <c r="W47" s="371"/>
      <c r="AA47" s="533">
        <v>10.602739726027398</v>
      </c>
      <c r="AB47" s="534"/>
      <c r="AC47" s="455"/>
      <c r="AD47" s="455"/>
      <c r="AE47" s="455"/>
      <c r="AF47" s="455"/>
      <c r="AG47" s="455"/>
      <c r="AH47" s="455">
        <v>1.6652310919199609E-2</v>
      </c>
      <c r="AI47" s="455">
        <v>0</v>
      </c>
      <c r="AJ47" s="371"/>
      <c r="AN47" s="533">
        <v>10.602739726027398</v>
      </c>
      <c r="AO47" s="534"/>
      <c r="AP47" s="455">
        <v>6.4500000000000002E-2</v>
      </c>
      <c r="AQ47" s="455">
        <v>8.5000000000000006E-3</v>
      </c>
      <c r="AR47" s="455">
        <v>2.5000000000000001E-2</v>
      </c>
      <c r="AS47" s="455"/>
      <c r="AT47" s="455">
        <v>4.8599999999999997E-2</v>
      </c>
      <c r="AU47" s="654">
        <v>1.14E-2</v>
      </c>
      <c r="AV47" s="455">
        <v>0</v>
      </c>
      <c r="AW47" s="371"/>
      <c r="BA47" s="533">
        <v>10.602739726027398</v>
      </c>
      <c r="BB47" s="534"/>
      <c r="BC47" s="455"/>
      <c r="BD47" s="455"/>
      <c r="BE47" s="455"/>
      <c r="BF47" s="455"/>
      <c r="BG47" s="455"/>
      <c r="BH47" s="782">
        <v>9.8015736048269186E-3</v>
      </c>
      <c r="BI47" s="455">
        <v>0</v>
      </c>
      <c r="BJ47" s="371"/>
    </row>
    <row r="48" spans="1:62">
      <c r="A48" s="533">
        <v>10.849315068493151</v>
      </c>
      <c r="B48" s="534"/>
      <c r="C48" s="455"/>
      <c r="D48" s="455"/>
      <c r="E48" s="455"/>
      <c r="F48" s="455"/>
      <c r="G48" s="455"/>
      <c r="H48" s="455">
        <v>3.1374964777875158E-2</v>
      </c>
      <c r="I48" s="455">
        <v>0</v>
      </c>
      <c r="J48" s="371"/>
      <c r="N48" s="533">
        <v>10.849315068493151</v>
      </c>
      <c r="O48" s="534"/>
      <c r="P48" s="455"/>
      <c r="Q48" s="455"/>
      <c r="R48" s="455"/>
      <c r="S48" s="455"/>
      <c r="T48" s="455"/>
      <c r="U48" s="455">
        <v>1.860752548048783E-2</v>
      </c>
      <c r="V48" s="455">
        <v>0</v>
      </c>
      <c r="W48" s="371"/>
      <c r="AA48" s="533">
        <v>10.849315068493151</v>
      </c>
      <c r="AB48" s="534"/>
      <c r="AC48" s="455"/>
      <c r="AD48" s="455"/>
      <c r="AE48" s="455"/>
      <c r="AF48" s="455"/>
      <c r="AG48" s="455"/>
      <c r="AH48" s="455">
        <v>1.6723995178508755E-2</v>
      </c>
      <c r="AI48" s="455">
        <v>0</v>
      </c>
      <c r="AJ48" s="371"/>
      <c r="AN48" s="533">
        <v>10.849315068493151</v>
      </c>
      <c r="AO48" s="534"/>
      <c r="AP48" s="455">
        <v>6.4600000000000005E-2</v>
      </c>
      <c r="AQ48" s="455">
        <v>8.6999999999999994E-3</v>
      </c>
      <c r="AR48" s="455">
        <v>2.5000000000000001E-2</v>
      </c>
      <c r="AS48" s="455"/>
      <c r="AT48" s="455">
        <v>4.8399999999999999E-2</v>
      </c>
      <c r="AU48" s="654">
        <v>1.14E-2</v>
      </c>
      <c r="AV48" s="455">
        <v>0</v>
      </c>
      <c r="AW48" s="371"/>
      <c r="BA48" s="533">
        <v>10.849315068493151</v>
      </c>
      <c r="BB48" s="534"/>
      <c r="BC48" s="455"/>
      <c r="BD48" s="455"/>
      <c r="BE48" s="455"/>
      <c r="BF48" s="455"/>
      <c r="BG48" s="455"/>
      <c r="BH48" s="782">
        <v>1.0003989417587844E-2</v>
      </c>
      <c r="BI48" s="455">
        <v>0</v>
      </c>
      <c r="BJ48" s="371"/>
    </row>
    <row r="49" spans="1:62">
      <c r="A49" s="533">
        <v>11.095890410958905</v>
      </c>
      <c r="B49" s="534"/>
      <c r="C49" s="455"/>
      <c r="D49" s="455"/>
      <c r="E49" s="455"/>
      <c r="F49" s="455"/>
      <c r="G49" s="455"/>
      <c r="H49" s="455">
        <v>3.1338356687327984E-2</v>
      </c>
      <c r="I49" s="455">
        <v>0</v>
      </c>
      <c r="J49" s="371"/>
      <c r="N49" s="533">
        <v>11.095890410958905</v>
      </c>
      <c r="O49" s="534"/>
      <c r="P49" s="455"/>
      <c r="Q49" s="455"/>
      <c r="R49" s="455"/>
      <c r="S49" s="455"/>
      <c r="T49" s="455"/>
      <c r="U49" s="455">
        <v>1.8527848366878263E-2</v>
      </c>
      <c r="V49" s="455">
        <v>0</v>
      </c>
      <c r="W49" s="371"/>
      <c r="AA49" s="533">
        <v>11.095890410958905</v>
      </c>
      <c r="AB49" s="534"/>
      <c r="AC49" s="455"/>
      <c r="AD49" s="455"/>
      <c r="AE49" s="455"/>
      <c r="AF49" s="455"/>
      <c r="AG49" s="455"/>
      <c r="AH49" s="455">
        <v>1.6784486298004664E-2</v>
      </c>
      <c r="AI49" s="455">
        <v>0</v>
      </c>
      <c r="AJ49" s="371"/>
      <c r="AN49" s="533">
        <v>11.095890410958905</v>
      </c>
      <c r="AO49" s="534"/>
      <c r="AP49" s="455">
        <v>6.4600000000000005E-2</v>
      </c>
      <c r="AQ49" s="455">
        <v>8.8999999999999999E-3</v>
      </c>
      <c r="AR49" s="455">
        <v>2.5000000000000001E-2</v>
      </c>
      <c r="AS49" s="455"/>
      <c r="AT49" s="455">
        <v>4.82E-2</v>
      </c>
      <c r="AU49" s="654">
        <v>1.15E-2</v>
      </c>
      <c r="AV49" s="455">
        <v>0</v>
      </c>
      <c r="AW49" s="371"/>
      <c r="BA49" s="533">
        <v>11.095890410958905</v>
      </c>
      <c r="BB49" s="534"/>
      <c r="BC49" s="455"/>
      <c r="BD49" s="455"/>
      <c r="BE49" s="455"/>
      <c r="BF49" s="455"/>
      <c r="BG49" s="455"/>
      <c r="BH49" s="782">
        <v>1.0193978361863643E-2</v>
      </c>
      <c r="BI49" s="455">
        <v>0</v>
      </c>
      <c r="BJ49" s="371"/>
    </row>
    <row r="50" spans="1:62">
      <c r="A50" s="533">
        <v>11.342465753424657</v>
      </c>
      <c r="B50" s="534"/>
      <c r="C50" s="455"/>
      <c r="D50" s="455"/>
      <c r="E50" s="455"/>
      <c r="F50" s="455"/>
      <c r="G50" s="455"/>
      <c r="H50" s="455">
        <v>3.13037324904053E-2</v>
      </c>
      <c r="I50" s="455">
        <v>0</v>
      </c>
      <c r="J50" s="371"/>
      <c r="N50" s="533">
        <v>11.342465753424657</v>
      </c>
      <c r="O50" s="534"/>
      <c r="P50" s="455"/>
      <c r="Q50" s="455"/>
      <c r="R50" s="455"/>
      <c r="S50" s="455"/>
      <c r="T50" s="455"/>
      <c r="U50" s="455">
        <v>1.8444328014074474E-2</v>
      </c>
      <c r="V50" s="455">
        <v>0</v>
      </c>
      <c r="W50" s="371"/>
      <c r="AA50" s="533">
        <v>11.342465753424657</v>
      </c>
      <c r="AB50" s="534"/>
      <c r="AC50" s="455"/>
      <c r="AD50" s="455"/>
      <c r="AE50" s="455"/>
      <c r="AF50" s="455"/>
      <c r="AG50" s="455"/>
      <c r="AH50" s="455">
        <v>1.6834213306957446E-2</v>
      </c>
      <c r="AI50" s="455">
        <v>0</v>
      </c>
      <c r="AJ50" s="371"/>
      <c r="AN50" s="533">
        <v>11.342465753424657</v>
      </c>
      <c r="AO50" s="534"/>
      <c r="AP50" s="455">
        <v>6.4600000000000005E-2</v>
      </c>
      <c r="AQ50" s="455">
        <v>8.9999999999999993E-3</v>
      </c>
      <c r="AR50" s="455">
        <v>2.4899999999999999E-2</v>
      </c>
      <c r="AS50" s="455"/>
      <c r="AT50" s="455">
        <v>4.7899999999999998E-2</v>
      </c>
      <c r="AU50" s="654">
        <v>1.15E-2</v>
      </c>
      <c r="AV50" s="455">
        <v>0</v>
      </c>
      <c r="AW50" s="371"/>
      <c r="BA50" s="533">
        <v>11.342465753424657</v>
      </c>
      <c r="BB50" s="534"/>
      <c r="BC50" s="455"/>
      <c r="BD50" s="455"/>
      <c r="BE50" s="455"/>
      <c r="BF50" s="455"/>
      <c r="BG50" s="455"/>
      <c r="BH50" s="782">
        <v>1.0372033917146473E-2</v>
      </c>
      <c r="BI50" s="455">
        <v>0</v>
      </c>
      <c r="BJ50" s="371"/>
    </row>
    <row r="51" spans="1:62">
      <c r="A51" s="533">
        <v>11.58904109589041</v>
      </c>
      <c r="B51" s="534"/>
      <c r="C51" s="455"/>
      <c r="D51" s="455"/>
      <c r="E51" s="455"/>
      <c r="F51" s="455"/>
      <c r="G51" s="455"/>
      <c r="H51" s="455">
        <v>3.1271279689796039E-2</v>
      </c>
      <c r="I51" s="455">
        <v>0</v>
      </c>
      <c r="J51" s="371"/>
      <c r="N51" s="533">
        <v>11.58904109589041</v>
      </c>
      <c r="O51" s="534"/>
      <c r="P51" s="455"/>
      <c r="Q51" s="455"/>
      <c r="R51" s="455"/>
      <c r="S51" s="455"/>
      <c r="T51" s="455"/>
      <c r="U51" s="455">
        <v>1.8357344002216891E-2</v>
      </c>
      <c r="V51" s="455">
        <v>0</v>
      </c>
      <c r="W51" s="371"/>
      <c r="AA51" s="533">
        <v>11.58904109589041</v>
      </c>
      <c r="AB51" s="534"/>
      <c r="AC51" s="455"/>
      <c r="AD51" s="455"/>
      <c r="AE51" s="455"/>
      <c r="AF51" s="455"/>
      <c r="AG51" s="455"/>
      <c r="AH51" s="455">
        <v>1.6873580768502761E-2</v>
      </c>
      <c r="AI51" s="455">
        <v>0</v>
      </c>
      <c r="AJ51" s="371"/>
      <c r="AN51" s="533">
        <v>11.58904109589041</v>
      </c>
      <c r="AO51" s="534"/>
      <c r="AP51" s="455">
        <v>6.4600000000000005E-2</v>
      </c>
      <c r="AQ51" s="455">
        <v>9.1999999999999998E-3</v>
      </c>
      <c r="AR51" s="455">
        <v>2.4899999999999999E-2</v>
      </c>
      <c r="AS51" s="455"/>
      <c r="AT51" s="455">
        <v>4.7699999999999999E-2</v>
      </c>
      <c r="AU51" s="654">
        <v>1.15E-2</v>
      </c>
      <c r="AV51" s="455">
        <v>0</v>
      </c>
      <c r="AW51" s="371"/>
      <c r="BA51" s="533">
        <v>11.58904109589041</v>
      </c>
      <c r="BB51" s="534"/>
      <c r="BC51" s="455"/>
      <c r="BD51" s="455"/>
      <c r="BE51" s="455"/>
      <c r="BF51" s="455"/>
      <c r="BG51" s="455"/>
      <c r="BH51" s="782">
        <v>1.0538641961739925E-2</v>
      </c>
      <c r="BI51" s="455">
        <v>0</v>
      </c>
      <c r="BJ51" s="371"/>
    </row>
    <row r="52" spans="1:62">
      <c r="A52" s="533">
        <v>11.835616438356164</v>
      </c>
      <c r="B52" s="534"/>
      <c r="C52" s="455"/>
      <c r="D52" s="455"/>
      <c r="E52" s="455"/>
      <c r="F52" s="455"/>
      <c r="G52" s="455"/>
      <c r="H52" s="455">
        <v>3.1241160716324767E-2</v>
      </c>
      <c r="I52" s="455">
        <v>0</v>
      </c>
      <c r="J52" s="371"/>
      <c r="N52" s="533">
        <v>11.835616438356164</v>
      </c>
      <c r="O52" s="534"/>
      <c r="P52" s="455"/>
      <c r="Q52" s="455"/>
      <c r="R52" s="455"/>
      <c r="S52" s="455"/>
      <c r="T52" s="455"/>
      <c r="U52" s="455">
        <v>1.8267247286998911E-2</v>
      </c>
      <c r="V52" s="455">
        <v>0</v>
      </c>
      <c r="W52" s="371"/>
      <c r="AA52" s="533">
        <v>11.835616438356164</v>
      </c>
      <c r="AB52" s="534"/>
      <c r="AC52" s="455"/>
      <c r="AD52" s="455"/>
      <c r="AE52" s="455"/>
      <c r="AF52" s="455"/>
      <c r="AG52" s="455"/>
      <c r="AH52" s="455">
        <v>1.6902971571905789E-2</v>
      </c>
      <c r="AI52" s="455">
        <v>0</v>
      </c>
      <c r="AJ52" s="371"/>
      <c r="AN52" s="533">
        <v>11.835616438356164</v>
      </c>
      <c r="AO52" s="534"/>
      <c r="AP52" s="455">
        <v>6.4600000000000005E-2</v>
      </c>
      <c r="AQ52" s="455">
        <v>9.4000000000000004E-3</v>
      </c>
      <c r="AR52" s="455">
        <v>2.4899999999999999E-2</v>
      </c>
      <c r="AS52" s="455"/>
      <c r="AT52" s="455">
        <v>4.7500000000000001E-2</v>
      </c>
      <c r="AU52" s="654">
        <v>1.15E-2</v>
      </c>
      <c r="AV52" s="455">
        <v>0</v>
      </c>
      <c r="AW52" s="371"/>
      <c r="BA52" s="533">
        <v>11.835616438356164</v>
      </c>
      <c r="BB52" s="534"/>
      <c r="BC52" s="455"/>
      <c r="BD52" s="455"/>
      <c r="BE52" s="455"/>
      <c r="BF52" s="455"/>
      <c r="BG52" s="455"/>
      <c r="BH52" s="782">
        <v>1.069427232544462E-2</v>
      </c>
      <c r="BI52" s="455">
        <v>0</v>
      </c>
      <c r="BJ52" s="371"/>
    </row>
    <row r="53" spans="1:62">
      <c r="A53" s="533">
        <v>12.082191780821917</v>
      </c>
      <c r="B53" s="534"/>
      <c r="C53" s="455"/>
      <c r="D53" s="455"/>
      <c r="E53" s="455"/>
      <c r="F53" s="455"/>
      <c r="G53" s="455"/>
      <c r="H53" s="455">
        <v>3.1213518869759538E-2</v>
      </c>
      <c r="I53" s="455">
        <v>0</v>
      </c>
      <c r="J53" s="371"/>
      <c r="N53" s="533">
        <v>12.082191780821917</v>
      </c>
      <c r="O53" s="534"/>
      <c r="P53" s="455"/>
      <c r="Q53" s="455"/>
      <c r="R53" s="455"/>
      <c r="S53" s="455"/>
      <c r="T53" s="455"/>
      <c r="U53" s="455">
        <v>1.81743669339407E-2</v>
      </c>
      <c r="V53" s="455">
        <v>0</v>
      </c>
      <c r="W53" s="371"/>
      <c r="AA53" s="533">
        <v>12.082191780821917</v>
      </c>
      <c r="AB53" s="534"/>
      <c r="AC53" s="455"/>
      <c r="AD53" s="455"/>
      <c r="AE53" s="455"/>
      <c r="AF53" s="455"/>
      <c r="AG53" s="455"/>
      <c r="AH53" s="455">
        <v>1.6922747869870136E-2</v>
      </c>
      <c r="AI53" s="455">
        <v>0</v>
      </c>
      <c r="AJ53" s="371"/>
      <c r="AN53" s="533">
        <v>12.082191780821917</v>
      </c>
      <c r="AO53" s="534"/>
      <c r="AP53" s="455">
        <v>6.4600000000000005E-2</v>
      </c>
      <c r="AQ53" s="455">
        <v>9.5999999999999992E-3</v>
      </c>
      <c r="AR53" s="455">
        <v>2.4899999999999999E-2</v>
      </c>
      <c r="AS53" s="455"/>
      <c r="AT53" s="455">
        <v>4.7300000000000002E-2</v>
      </c>
      <c r="AU53" s="654">
        <v>1.15E-2</v>
      </c>
      <c r="AV53" s="455">
        <v>0</v>
      </c>
      <c r="AW53" s="371"/>
      <c r="BA53" s="533">
        <v>12.082191780821917</v>
      </c>
      <c r="BB53" s="534"/>
      <c r="BC53" s="455"/>
      <c r="BD53" s="455"/>
      <c r="BE53" s="455"/>
      <c r="BF53" s="455"/>
      <c r="BG53" s="455"/>
      <c r="BH53" s="782">
        <v>1.0839383585806717E-2</v>
      </c>
      <c r="BI53" s="455">
        <v>0</v>
      </c>
      <c r="BJ53" s="371"/>
    </row>
    <row r="54" spans="1:62">
      <c r="A54" s="533">
        <v>12.328767123287671</v>
      </c>
      <c r="B54" s="534"/>
      <c r="C54" s="455"/>
      <c r="D54" s="455"/>
      <c r="E54" s="455"/>
      <c r="F54" s="455"/>
      <c r="G54" s="455"/>
      <c r="H54" s="455">
        <v>3.1188480254531248E-2</v>
      </c>
      <c r="I54" s="455">
        <v>0</v>
      </c>
      <c r="J54" s="371"/>
      <c r="N54" s="533">
        <v>12.328767123287671</v>
      </c>
      <c r="O54" s="534"/>
      <c r="P54" s="455"/>
      <c r="Q54" s="455"/>
      <c r="R54" s="455"/>
      <c r="S54" s="455"/>
      <c r="T54" s="455"/>
      <c r="U54" s="455">
        <v>1.8079009173867622E-2</v>
      </c>
      <c r="V54" s="455">
        <v>0</v>
      </c>
      <c r="W54" s="371"/>
      <c r="AA54" s="533">
        <v>12.328767123287671</v>
      </c>
      <c r="AB54" s="534"/>
      <c r="AC54" s="455"/>
      <c r="AD54" s="455"/>
      <c r="AE54" s="455"/>
      <c r="AF54" s="455"/>
      <c r="AG54" s="455"/>
      <c r="AH54" s="455">
        <v>1.6933252971700563E-2</v>
      </c>
      <c r="AI54" s="455">
        <v>0</v>
      </c>
      <c r="AJ54" s="371"/>
      <c r="AN54" s="533">
        <v>12.328767123287671</v>
      </c>
      <c r="AO54" s="534"/>
      <c r="AP54" s="455">
        <v>6.4699999999999994E-2</v>
      </c>
      <c r="AQ54" s="455">
        <v>9.7000000000000003E-3</v>
      </c>
      <c r="AR54" s="455">
        <v>2.4899999999999999E-2</v>
      </c>
      <c r="AS54" s="455"/>
      <c r="AT54" s="455">
        <v>4.7100000000000003E-2</v>
      </c>
      <c r="AU54" s="654">
        <v>1.14E-2</v>
      </c>
      <c r="AV54" s="455">
        <v>0</v>
      </c>
      <c r="AW54" s="371"/>
      <c r="BA54" s="533">
        <v>12.328767123287671</v>
      </c>
      <c r="BB54" s="534"/>
      <c r="BC54" s="455"/>
      <c r="BD54" s="455"/>
      <c r="BE54" s="455"/>
      <c r="BF54" s="455"/>
      <c r="BG54" s="455"/>
      <c r="BH54" s="782">
        <v>1.0974419324938589E-2</v>
      </c>
      <c r="BI54" s="455">
        <v>0</v>
      </c>
      <c r="BJ54" s="371"/>
    </row>
    <row r="55" spans="1:62">
      <c r="A55" s="533">
        <v>12.575342465753424</v>
      </c>
      <c r="B55" s="534"/>
      <c r="C55" s="455"/>
      <c r="D55" s="455"/>
      <c r="E55" s="455"/>
      <c r="F55" s="455"/>
      <c r="G55" s="455"/>
      <c r="H55" s="455">
        <v>3.1166149843301572E-2</v>
      </c>
      <c r="I55" s="455">
        <v>0</v>
      </c>
      <c r="J55" s="371"/>
      <c r="N55" s="533">
        <v>12.575342465753424</v>
      </c>
      <c r="O55" s="534"/>
      <c r="P55" s="455"/>
      <c r="Q55" s="455"/>
      <c r="R55" s="455"/>
      <c r="S55" s="455"/>
      <c r="T55" s="455"/>
      <c r="U55" s="455">
        <v>1.7981462139980753E-2</v>
      </c>
      <c r="V55" s="455">
        <v>0</v>
      </c>
      <c r="W55" s="371"/>
      <c r="AA55" s="533">
        <v>12.575342465753424</v>
      </c>
      <c r="AB55" s="534"/>
      <c r="AC55" s="455"/>
      <c r="AD55" s="455"/>
      <c r="AE55" s="455"/>
      <c r="AF55" s="455"/>
      <c r="AG55" s="455"/>
      <c r="AH55" s="455">
        <v>1.6934813174170227E-2</v>
      </c>
      <c r="AI55" s="455">
        <v>0</v>
      </c>
      <c r="AJ55" s="371"/>
      <c r="AN55" s="533">
        <v>12.575342465753424</v>
      </c>
      <c r="AO55" s="534"/>
      <c r="AP55" s="455">
        <v>6.4699999999999994E-2</v>
      </c>
      <c r="AQ55" s="455">
        <v>9.9000000000000008E-3</v>
      </c>
      <c r="AR55" s="455">
        <v>2.4899999999999999E-2</v>
      </c>
      <c r="AS55" s="455"/>
      <c r="AT55" s="455">
        <v>4.6899999999999997E-2</v>
      </c>
      <c r="AU55" s="654">
        <v>1.14E-2</v>
      </c>
      <c r="AV55" s="455">
        <v>0</v>
      </c>
      <c r="AW55" s="371"/>
      <c r="BA55" s="533">
        <v>12.575342465753424</v>
      </c>
      <c r="BB55" s="534"/>
      <c r="BC55" s="455"/>
      <c r="BD55" s="455"/>
      <c r="BE55" s="455"/>
      <c r="BF55" s="455"/>
      <c r="BG55" s="455"/>
      <c r="BH55" s="782">
        <v>1.1099811993858788E-2</v>
      </c>
      <c r="BI55" s="455">
        <v>0</v>
      </c>
      <c r="BJ55" s="371"/>
    </row>
    <row r="56" spans="1:62">
      <c r="A56" s="533">
        <v>12.821917808219178</v>
      </c>
      <c r="B56" s="534"/>
      <c r="C56" s="455"/>
      <c r="D56" s="455"/>
      <c r="E56" s="455"/>
      <c r="F56" s="455"/>
      <c r="G56" s="455"/>
      <c r="H56" s="455">
        <v>3.1146622326591711E-2</v>
      </c>
      <c r="I56" s="455">
        <v>0</v>
      </c>
      <c r="J56" s="371"/>
      <c r="N56" s="533">
        <v>12.821917808219178</v>
      </c>
      <c r="O56" s="534"/>
      <c r="P56" s="455"/>
      <c r="Q56" s="455"/>
      <c r="R56" s="455"/>
      <c r="S56" s="455"/>
      <c r="T56" s="455"/>
      <c r="U56" s="455">
        <v>1.7881990196448871E-2</v>
      </c>
      <c r="V56" s="455">
        <v>0</v>
      </c>
      <c r="W56" s="371"/>
      <c r="AA56" s="533">
        <v>12.821917808219178</v>
      </c>
      <c r="AB56" s="534"/>
      <c r="AC56" s="455"/>
      <c r="AD56" s="455"/>
      <c r="AE56" s="455"/>
      <c r="AF56" s="455"/>
      <c r="AG56" s="455"/>
      <c r="AH56" s="455">
        <v>1.6927737785992658E-2</v>
      </c>
      <c r="AI56" s="455">
        <v>0</v>
      </c>
      <c r="AJ56" s="371"/>
      <c r="AN56" s="533">
        <v>12.821917808219178</v>
      </c>
      <c r="AO56" s="534"/>
      <c r="AP56" s="455">
        <v>6.4699999999999994E-2</v>
      </c>
      <c r="AQ56" s="455">
        <v>0.01</v>
      </c>
      <c r="AR56" s="455">
        <v>2.4899999999999999E-2</v>
      </c>
      <c r="AS56" s="455"/>
      <c r="AT56" s="455">
        <v>4.6699999999999998E-2</v>
      </c>
      <c r="AU56" s="654">
        <v>1.14E-2</v>
      </c>
      <c r="AV56" s="455">
        <v>0</v>
      </c>
      <c r="AW56" s="371"/>
      <c r="BA56" s="533">
        <v>12.821917808219178</v>
      </c>
      <c r="BB56" s="534"/>
      <c r="BC56" s="455"/>
      <c r="BD56" s="455"/>
      <c r="BE56" s="455"/>
      <c r="BF56" s="455"/>
      <c r="BG56" s="455"/>
      <c r="BH56" s="782">
        <v>1.1215974423062436E-2</v>
      </c>
      <c r="BI56" s="455">
        <v>0</v>
      </c>
      <c r="BJ56" s="371"/>
    </row>
    <row r="57" spans="1:62">
      <c r="A57" s="533">
        <v>13.068493150684931</v>
      </c>
      <c r="B57" s="534"/>
      <c r="C57" s="455"/>
      <c r="D57" s="455"/>
      <c r="E57" s="455"/>
      <c r="F57" s="455"/>
      <c r="G57" s="455"/>
      <c r="H57" s="455">
        <v>3.1129975202940141E-2</v>
      </c>
      <c r="I57" s="455">
        <v>0</v>
      </c>
      <c r="J57" s="371"/>
      <c r="N57" s="533">
        <v>13.068493150684931</v>
      </c>
      <c r="O57" s="534"/>
      <c r="P57" s="455"/>
      <c r="Q57" s="455"/>
      <c r="R57" s="455"/>
      <c r="S57" s="455"/>
      <c r="T57" s="455"/>
      <c r="U57" s="455">
        <v>1.7780843461624229E-2</v>
      </c>
      <c r="V57" s="455">
        <v>0</v>
      </c>
      <c r="W57" s="371"/>
      <c r="AA57" s="533">
        <v>13.068493150684931</v>
      </c>
      <c r="AB57" s="534"/>
      <c r="AC57" s="455"/>
      <c r="AD57" s="455"/>
      <c r="AE57" s="455"/>
      <c r="AF57" s="455"/>
      <c r="AG57" s="455"/>
      <c r="AH57" s="455">
        <v>1.6912323884849423E-2</v>
      </c>
      <c r="AI57" s="455">
        <v>0</v>
      </c>
      <c r="AJ57" s="371"/>
      <c r="AN57" s="533">
        <v>13.068493150684931</v>
      </c>
      <c r="AO57" s="534"/>
      <c r="AP57" s="455">
        <v>6.4699999999999994E-2</v>
      </c>
      <c r="AQ57" s="455">
        <v>1.01E-2</v>
      </c>
      <c r="AR57" s="455">
        <v>2.4899999999999999E-2</v>
      </c>
      <c r="AS57" s="455"/>
      <c r="AT57" s="455">
        <v>4.65E-2</v>
      </c>
      <c r="AU57" s="654">
        <v>1.1299999999999999E-2</v>
      </c>
      <c r="AV57" s="455">
        <v>0</v>
      </c>
      <c r="AW57" s="371"/>
      <c r="BA57" s="533">
        <v>13.068493150684931</v>
      </c>
      <c r="BB57" s="534"/>
      <c r="BC57" s="455"/>
      <c r="BD57" s="455"/>
      <c r="BE57" s="455"/>
      <c r="BF57" s="455"/>
      <c r="BG57" s="455"/>
      <c r="BH57" s="782">
        <v>1.132330841557172E-2</v>
      </c>
      <c r="BI57" s="455">
        <v>0</v>
      </c>
      <c r="BJ57" s="371"/>
    </row>
    <row r="58" spans="1:62">
      <c r="A58" s="533">
        <v>13.315068493150685</v>
      </c>
      <c r="B58" s="534"/>
      <c r="C58" s="455"/>
      <c r="D58" s="455"/>
      <c r="E58" s="455"/>
      <c r="F58" s="455"/>
      <c r="G58" s="455"/>
      <c r="H58" s="455">
        <v>3.1116272694729163E-2</v>
      </c>
      <c r="I58" s="455">
        <v>0</v>
      </c>
      <c r="J58" s="371"/>
      <c r="N58" s="533">
        <v>13.315068493150685</v>
      </c>
      <c r="O58" s="534"/>
      <c r="P58" s="455"/>
      <c r="Q58" s="455"/>
      <c r="R58" s="455"/>
      <c r="S58" s="455"/>
      <c r="T58" s="455"/>
      <c r="U58" s="455">
        <v>1.7678255928940345E-2</v>
      </c>
      <c r="V58" s="455">
        <v>0</v>
      </c>
      <c r="W58" s="371"/>
      <c r="AA58" s="533">
        <v>13.315068493150685</v>
      </c>
      <c r="AB58" s="534"/>
      <c r="AC58" s="455"/>
      <c r="AD58" s="455"/>
      <c r="AE58" s="455"/>
      <c r="AF58" s="455"/>
      <c r="AG58" s="455"/>
      <c r="AH58" s="455">
        <v>1.6888853374695811E-2</v>
      </c>
      <c r="AI58" s="455">
        <v>0</v>
      </c>
      <c r="AJ58" s="371"/>
      <c r="AN58" s="533">
        <v>13.315068493150685</v>
      </c>
      <c r="AO58" s="534"/>
      <c r="AP58" s="455">
        <v>6.4699999999999994E-2</v>
      </c>
      <c r="AQ58" s="455">
        <v>1.03E-2</v>
      </c>
      <c r="AR58" s="455">
        <v>2.5000000000000001E-2</v>
      </c>
      <c r="AS58" s="455"/>
      <c r="AT58" s="455">
        <v>4.6300000000000001E-2</v>
      </c>
      <c r="AU58" s="654">
        <v>1.1299999999999999E-2</v>
      </c>
      <c r="AV58" s="455">
        <v>0</v>
      </c>
      <c r="AW58" s="371"/>
      <c r="BA58" s="533">
        <v>13.315068493150685</v>
      </c>
      <c r="BB58" s="534"/>
      <c r="BC58" s="455"/>
      <c r="BD58" s="455"/>
      <c r="BE58" s="455"/>
      <c r="BF58" s="455"/>
      <c r="BG58" s="455"/>
      <c r="BH58" s="782">
        <v>1.1422203838220346E-2</v>
      </c>
      <c r="BI58" s="455">
        <v>0</v>
      </c>
      <c r="BJ58" s="371"/>
    </row>
    <row r="59" spans="1:62">
      <c r="A59" s="533">
        <v>13.561643835616438</v>
      </c>
      <c r="B59" s="534"/>
      <c r="C59" s="455"/>
      <c r="D59" s="455"/>
      <c r="E59" s="455"/>
      <c r="F59" s="455"/>
      <c r="G59" s="455"/>
      <c r="H59" s="455">
        <v>3.1105567693358704E-2</v>
      </c>
      <c r="I59" s="455">
        <v>0</v>
      </c>
      <c r="J59" s="371"/>
      <c r="N59" s="533">
        <v>13.561643835616438</v>
      </c>
      <c r="O59" s="534"/>
      <c r="P59" s="455"/>
      <c r="Q59" s="455"/>
      <c r="R59" s="455"/>
      <c r="S59" s="455"/>
      <c r="T59" s="455"/>
      <c r="U59" s="455">
        <v>1.7574444480019213E-2</v>
      </c>
      <c r="V59" s="455">
        <v>0</v>
      </c>
      <c r="W59" s="371"/>
      <c r="AA59" s="533">
        <v>13.561643835616438</v>
      </c>
      <c r="AB59" s="534"/>
      <c r="AC59" s="455"/>
      <c r="AD59" s="455"/>
      <c r="AE59" s="455"/>
      <c r="AF59" s="455"/>
      <c r="AG59" s="455"/>
      <c r="AH59" s="455">
        <v>1.685759396879738E-2</v>
      </c>
      <c r="AI59" s="455">
        <v>0</v>
      </c>
      <c r="AJ59" s="371"/>
      <c r="AN59" s="533">
        <v>13.561643835616438</v>
      </c>
      <c r="AO59" s="534"/>
      <c r="AP59" s="455">
        <v>6.4699999999999994E-2</v>
      </c>
      <c r="AQ59" s="455">
        <v>1.04E-2</v>
      </c>
      <c r="AR59" s="455">
        <v>2.5000000000000001E-2</v>
      </c>
      <c r="AS59" s="455"/>
      <c r="AT59" s="455">
        <v>4.6100000000000002E-2</v>
      </c>
      <c r="AU59" s="654">
        <v>1.12E-2</v>
      </c>
      <c r="AV59" s="455">
        <v>0</v>
      </c>
      <c r="AW59" s="371"/>
      <c r="BA59" s="533">
        <v>13.561643835616438</v>
      </c>
      <c r="BB59" s="534"/>
      <c r="BC59" s="455"/>
      <c r="BD59" s="455"/>
      <c r="BE59" s="455"/>
      <c r="BF59" s="455"/>
      <c r="BG59" s="455"/>
      <c r="BH59" s="782">
        <v>1.1513031104124272E-2</v>
      </c>
      <c r="BI59" s="455">
        <v>0</v>
      </c>
      <c r="BJ59" s="371"/>
    </row>
    <row r="60" spans="1:62">
      <c r="A60" s="533">
        <v>13.808219178082192</v>
      </c>
      <c r="B60" s="534"/>
      <c r="C60" s="455"/>
      <c r="D60" s="455"/>
      <c r="E60" s="455"/>
      <c r="F60" s="455"/>
      <c r="G60" s="455"/>
      <c r="H60" s="455">
        <v>3.109790080021213E-2</v>
      </c>
      <c r="I60" s="455">
        <v>0</v>
      </c>
      <c r="J60" s="371"/>
      <c r="N60" s="533">
        <v>13.808219178082192</v>
      </c>
      <c r="O60" s="534"/>
      <c r="P60" s="455"/>
      <c r="Q60" s="455"/>
      <c r="R60" s="455"/>
      <c r="S60" s="455"/>
      <c r="T60" s="455"/>
      <c r="U60" s="455">
        <v>1.7469610836553962E-2</v>
      </c>
      <c r="V60" s="455">
        <v>0</v>
      </c>
      <c r="W60" s="371"/>
      <c r="AA60" s="533">
        <v>13.808219178082192</v>
      </c>
      <c r="AB60" s="534"/>
      <c r="AC60" s="455"/>
      <c r="AD60" s="455"/>
      <c r="AE60" s="455"/>
      <c r="AF60" s="455"/>
      <c r="AG60" s="455"/>
      <c r="AH60" s="455">
        <v>1.6818805838634932E-2</v>
      </c>
      <c r="AI60" s="455">
        <v>0</v>
      </c>
      <c r="AJ60" s="371"/>
      <c r="AN60" s="533">
        <v>13.808219178082192</v>
      </c>
      <c r="AO60" s="534"/>
      <c r="AP60" s="455">
        <v>6.4600000000000005E-2</v>
      </c>
      <c r="AQ60" s="455">
        <v>1.0500000000000001E-2</v>
      </c>
      <c r="AR60" s="455">
        <v>2.5000000000000001E-2</v>
      </c>
      <c r="AS60" s="455"/>
      <c r="AT60" s="455">
        <v>4.5900000000000003E-2</v>
      </c>
      <c r="AU60" s="654">
        <v>1.12E-2</v>
      </c>
      <c r="AV60" s="455">
        <v>0</v>
      </c>
      <c r="AW60" s="371"/>
      <c r="BA60" s="533">
        <v>13.808219178082192</v>
      </c>
      <c r="BB60" s="534"/>
      <c r="BC60" s="455"/>
      <c r="BD60" s="455"/>
      <c r="BE60" s="455"/>
      <c r="BF60" s="455"/>
      <c r="BG60" s="455"/>
      <c r="BH60" s="782">
        <v>1.1596150645242664E-2</v>
      </c>
      <c r="BI60" s="455">
        <v>0</v>
      </c>
      <c r="BJ60" s="371"/>
    </row>
    <row r="61" spans="1:62">
      <c r="A61" s="533">
        <v>14.054794520547945</v>
      </c>
      <c r="B61" s="534"/>
      <c r="C61" s="455"/>
      <c r="D61" s="455"/>
      <c r="E61" s="455"/>
      <c r="F61" s="455"/>
      <c r="G61" s="455"/>
      <c r="H61" s="455">
        <v>3.1093307190672936E-2</v>
      </c>
      <c r="I61" s="455">
        <v>0</v>
      </c>
      <c r="J61" s="371"/>
      <c r="N61" s="533">
        <v>14.054794520547945</v>
      </c>
      <c r="O61" s="534"/>
      <c r="P61" s="455"/>
      <c r="Q61" s="455"/>
      <c r="R61" s="455"/>
      <c r="S61" s="455"/>
      <c r="T61" s="455"/>
      <c r="U61" s="455">
        <v>1.7363945355966859E-2</v>
      </c>
      <c r="V61" s="455">
        <v>0</v>
      </c>
      <c r="W61" s="371"/>
      <c r="AA61" s="533">
        <v>14.054794520547945</v>
      </c>
      <c r="AB61" s="534"/>
      <c r="AC61" s="455"/>
      <c r="AD61" s="455"/>
      <c r="AE61" s="455"/>
      <c r="AF61" s="455"/>
      <c r="AG61" s="455"/>
      <c r="AH61" s="455">
        <v>1.6772735867868649E-2</v>
      </c>
      <c r="AI61" s="455">
        <v>0</v>
      </c>
      <c r="AJ61" s="371"/>
      <c r="AN61" s="533">
        <v>14.054794520547945</v>
      </c>
      <c r="AO61" s="534"/>
      <c r="AP61" s="455">
        <v>6.4600000000000005E-2</v>
      </c>
      <c r="AQ61" s="455">
        <v>1.06E-2</v>
      </c>
      <c r="AR61" s="455">
        <v>2.5000000000000001E-2</v>
      </c>
      <c r="AS61" s="455"/>
      <c r="AT61" s="455">
        <v>4.58E-2</v>
      </c>
      <c r="AU61" s="654">
        <v>1.11E-2</v>
      </c>
      <c r="AV61" s="455">
        <v>0</v>
      </c>
      <c r="AW61" s="371"/>
      <c r="BA61" s="533">
        <v>14.054794520547945</v>
      </c>
      <c r="BB61" s="534"/>
      <c r="BC61" s="455"/>
      <c r="BD61" s="455"/>
      <c r="BE61" s="455"/>
      <c r="BF61" s="455"/>
      <c r="BG61" s="455"/>
      <c r="BH61" s="782">
        <v>1.1671906388684095E-2</v>
      </c>
      <c r="BI61" s="455">
        <v>0</v>
      </c>
      <c r="BJ61" s="371"/>
    </row>
    <row r="62" spans="1:62">
      <c r="A62" s="533">
        <v>14.301369863013699</v>
      </c>
      <c r="B62" s="534"/>
      <c r="C62" s="455"/>
      <c r="D62" s="455"/>
      <c r="E62" s="455"/>
      <c r="F62" s="455"/>
      <c r="G62" s="455"/>
      <c r="H62" s="455">
        <v>3.1091806708860581E-2</v>
      </c>
      <c r="I62" s="455">
        <v>0</v>
      </c>
      <c r="J62" s="371"/>
      <c r="N62" s="533">
        <v>14.301369863013699</v>
      </c>
      <c r="O62" s="534"/>
      <c r="P62" s="455"/>
      <c r="Q62" s="455"/>
      <c r="R62" s="455"/>
      <c r="S62" s="455"/>
      <c r="T62" s="455"/>
      <c r="U62" s="455">
        <v>1.7257625148201505E-2</v>
      </c>
      <c r="V62" s="455">
        <v>0</v>
      </c>
      <c r="W62" s="371"/>
      <c r="AA62" s="533">
        <v>14.301369863013699</v>
      </c>
      <c r="AB62" s="534"/>
      <c r="AC62" s="455"/>
      <c r="AD62" s="455"/>
      <c r="AE62" s="455"/>
      <c r="AF62" s="455"/>
      <c r="AG62" s="455"/>
      <c r="AH62" s="455">
        <v>1.6719619543310804E-2</v>
      </c>
      <c r="AI62" s="455">
        <v>0</v>
      </c>
      <c r="AJ62" s="371"/>
      <c r="AN62" s="533">
        <v>14.301369863013699</v>
      </c>
      <c r="AO62" s="534"/>
      <c r="AP62" s="455">
        <v>6.4600000000000005E-2</v>
      </c>
      <c r="AQ62" s="455">
        <v>1.0699999999999999E-2</v>
      </c>
      <c r="AR62" s="455">
        <v>2.5000000000000001E-2</v>
      </c>
      <c r="AS62" s="455"/>
      <c r="AT62" s="455">
        <v>4.5600000000000002E-2</v>
      </c>
      <c r="AU62" s="654">
        <v>1.0999999999999999E-2</v>
      </c>
      <c r="AV62" s="455">
        <v>0</v>
      </c>
      <c r="AW62" s="371"/>
      <c r="BA62" s="533">
        <v>14.301369863013699</v>
      </c>
      <c r="BB62" s="534"/>
      <c r="BC62" s="455"/>
      <c r="BD62" s="455"/>
      <c r="BE62" s="455"/>
      <c r="BF62" s="455"/>
      <c r="BG62" s="455"/>
      <c r="BH62" s="782">
        <v>1.1740631402997526E-2</v>
      </c>
      <c r="BI62" s="455">
        <v>0</v>
      </c>
      <c r="BJ62" s="371"/>
    </row>
    <row r="63" spans="1:62">
      <c r="A63" s="533">
        <v>14.547945205479452</v>
      </c>
      <c r="B63" s="534"/>
      <c r="C63" s="455"/>
      <c r="D63" s="455"/>
      <c r="E63" s="455"/>
      <c r="F63" s="455"/>
      <c r="G63" s="455"/>
      <c r="H63" s="455">
        <v>3.1093415741839658E-2</v>
      </c>
      <c r="I63" s="455">
        <v>0</v>
      </c>
      <c r="J63" s="371"/>
      <c r="N63" s="533">
        <v>14.547945205479452</v>
      </c>
      <c r="O63" s="534"/>
      <c r="P63" s="455"/>
      <c r="Q63" s="455"/>
      <c r="R63" s="455"/>
      <c r="S63" s="455"/>
      <c r="T63" s="455"/>
      <c r="U63" s="455">
        <v>1.7150814041928975E-2</v>
      </c>
      <c r="V63" s="455">
        <v>0</v>
      </c>
      <c r="W63" s="371"/>
      <c r="AA63" s="533">
        <v>14.547945205479452</v>
      </c>
      <c r="AB63" s="534"/>
      <c r="AC63" s="455"/>
      <c r="AD63" s="455"/>
      <c r="AE63" s="455"/>
      <c r="AF63" s="455"/>
      <c r="AG63" s="455"/>
      <c r="AH63" s="455">
        <v>1.665968571755716E-2</v>
      </c>
      <c r="AI63" s="455">
        <v>0</v>
      </c>
      <c r="AJ63" s="371"/>
      <c r="AN63" s="533">
        <v>14.547945205479452</v>
      </c>
      <c r="AO63" s="534"/>
      <c r="AP63" s="455">
        <v>6.4600000000000005E-2</v>
      </c>
      <c r="AQ63" s="455">
        <v>1.0800000000000001E-2</v>
      </c>
      <c r="AR63" s="455">
        <v>2.5100000000000001E-2</v>
      </c>
      <c r="AS63" s="455"/>
      <c r="AT63" s="455">
        <v>4.5400000000000003E-2</v>
      </c>
      <c r="AU63" s="654">
        <v>1.09E-2</v>
      </c>
      <c r="AV63" s="455">
        <v>0</v>
      </c>
      <c r="AW63" s="371"/>
      <c r="BA63" s="533">
        <v>14.547945205479452</v>
      </c>
      <c r="BB63" s="534"/>
      <c r="BC63" s="455"/>
      <c r="BD63" s="455"/>
      <c r="BE63" s="455"/>
      <c r="BF63" s="455"/>
      <c r="BG63" s="455"/>
      <c r="BH63" s="782">
        <v>1.1802643259586354E-2</v>
      </c>
      <c r="BI63" s="455">
        <v>0</v>
      </c>
      <c r="BJ63" s="371"/>
    </row>
    <row r="64" spans="1:62">
      <c r="A64" s="533">
        <v>14.794520547945206</v>
      </c>
      <c r="B64" s="534"/>
      <c r="C64" s="455"/>
      <c r="D64" s="455"/>
      <c r="E64" s="455"/>
      <c r="F64" s="455"/>
      <c r="G64" s="455"/>
      <c r="H64" s="455">
        <v>3.1098139306534822E-2</v>
      </c>
      <c r="I64" s="455">
        <v>0</v>
      </c>
      <c r="J64" s="371"/>
      <c r="N64" s="533">
        <v>14.794520547945206</v>
      </c>
      <c r="O64" s="534"/>
      <c r="P64" s="455"/>
      <c r="Q64" s="455"/>
      <c r="R64" s="455"/>
      <c r="S64" s="455"/>
      <c r="T64" s="455"/>
      <c r="U64" s="455">
        <v>1.7043669276448403E-2</v>
      </c>
      <c r="V64" s="455">
        <v>0</v>
      </c>
      <c r="W64" s="371"/>
      <c r="AA64" s="533">
        <v>14.794520547945206</v>
      </c>
      <c r="AB64" s="534"/>
      <c r="AC64" s="455"/>
      <c r="AD64" s="455"/>
      <c r="AE64" s="455"/>
      <c r="AF64" s="455"/>
      <c r="AG64" s="455"/>
      <c r="AH64" s="455">
        <v>1.659315182089971E-2</v>
      </c>
      <c r="AI64" s="455">
        <v>0</v>
      </c>
      <c r="AJ64" s="371"/>
      <c r="AN64" s="533">
        <v>14.794520547945206</v>
      </c>
      <c r="AO64" s="534"/>
      <c r="AP64" s="455">
        <v>6.4600000000000005E-2</v>
      </c>
      <c r="AQ64" s="455">
        <v>1.09E-2</v>
      </c>
      <c r="AR64" s="455">
        <v>2.5100000000000001E-2</v>
      </c>
      <c r="AS64" s="455"/>
      <c r="AT64" s="455">
        <v>4.5199999999999997E-2</v>
      </c>
      <c r="AU64" s="654">
        <v>1.09E-2</v>
      </c>
      <c r="AV64" s="455">
        <v>0</v>
      </c>
      <c r="AW64" s="371"/>
      <c r="BA64" s="533">
        <v>14.794520547945206</v>
      </c>
      <c r="BB64" s="534"/>
      <c r="BC64" s="455"/>
      <c r="BD64" s="455"/>
      <c r="BE64" s="455"/>
      <c r="BF64" s="455"/>
      <c r="BG64" s="455"/>
      <c r="BH64" s="782">
        <v>1.1858249716570901E-2</v>
      </c>
      <c r="BI64" s="455">
        <v>0</v>
      </c>
      <c r="BJ64" s="371"/>
    </row>
    <row r="65" spans="1:62">
      <c r="A65" s="533">
        <v>15.04109589041096</v>
      </c>
      <c r="B65" s="534"/>
      <c r="C65" s="455"/>
      <c r="D65" s="455"/>
      <c r="E65" s="455"/>
      <c r="F65" s="455"/>
      <c r="G65" s="455"/>
      <c r="H65" s="455">
        <v>3.1105976878784025E-2</v>
      </c>
      <c r="I65" s="455">
        <v>0</v>
      </c>
      <c r="J65" s="371"/>
      <c r="N65" s="533">
        <v>15.04109589041096</v>
      </c>
      <c r="O65" s="534"/>
      <c r="P65" s="455"/>
      <c r="Q65" s="455"/>
      <c r="R65" s="455"/>
      <c r="S65" s="455"/>
      <c r="T65" s="455"/>
      <c r="U65" s="455">
        <v>1.6936332969902601E-2</v>
      </c>
      <c r="V65" s="455">
        <v>0</v>
      </c>
      <c r="W65" s="371"/>
      <c r="AA65" s="533">
        <v>15.04109589041096</v>
      </c>
      <c r="AB65" s="534"/>
      <c r="AC65" s="455"/>
      <c r="AD65" s="455"/>
      <c r="AE65" s="455"/>
      <c r="AF65" s="455"/>
      <c r="AG65" s="455"/>
      <c r="AH65" s="455">
        <v>1.6520229592778657E-2</v>
      </c>
      <c r="AI65" s="455">
        <v>0</v>
      </c>
      <c r="AJ65" s="371"/>
      <c r="AN65" s="533">
        <v>15.04109589041096</v>
      </c>
      <c r="AO65" s="534"/>
      <c r="AP65" s="455">
        <v>6.4600000000000005E-2</v>
      </c>
      <c r="AQ65" s="455">
        <v>1.0999999999999999E-2</v>
      </c>
      <c r="AR65" s="455">
        <v>2.5100000000000001E-2</v>
      </c>
      <c r="AS65" s="455"/>
      <c r="AT65" s="455">
        <v>4.5100000000000001E-2</v>
      </c>
      <c r="AU65" s="654">
        <v>1.0800000000000001E-2</v>
      </c>
      <c r="AV65" s="455">
        <v>0</v>
      </c>
      <c r="AW65" s="371"/>
      <c r="BA65" s="533">
        <v>15.04109589041096</v>
      </c>
      <c r="BB65" s="534"/>
      <c r="BC65" s="455"/>
      <c r="BD65" s="455"/>
      <c r="BE65" s="455"/>
      <c r="BF65" s="455"/>
      <c r="BG65" s="455"/>
      <c r="BH65" s="782">
        <v>1.1907744022110478E-2</v>
      </c>
      <c r="BI65" s="455">
        <v>0</v>
      </c>
      <c r="BJ65" s="371"/>
    </row>
    <row r="66" spans="1:62">
      <c r="A66" s="533">
        <v>15.287671232876713</v>
      </c>
      <c r="B66" s="534"/>
      <c r="C66" s="455"/>
      <c r="D66" s="455"/>
      <c r="E66" s="455"/>
      <c r="F66" s="455"/>
      <c r="G66" s="455"/>
      <c r="H66" s="455">
        <v>3.1116921454902746E-2</v>
      </c>
      <c r="I66" s="455">
        <v>0</v>
      </c>
      <c r="J66" s="371"/>
      <c r="N66" s="533">
        <v>15.287671232876713</v>
      </c>
      <c r="O66" s="534"/>
      <c r="P66" s="455"/>
      <c r="Q66" s="455"/>
      <c r="R66" s="455"/>
      <c r="S66" s="455"/>
      <c r="T66" s="455"/>
      <c r="U66" s="455">
        <v>1.6828939668353637E-2</v>
      </c>
      <c r="V66" s="455">
        <v>0</v>
      </c>
      <c r="W66" s="371"/>
      <c r="AA66" s="533">
        <v>15.287671232876713</v>
      </c>
      <c r="AB66" s="534"/>
      <c r="AC66" s="455"/>
      <c r="AD66" s="455"/>
      <c r="AE66" s="455"/>
      <c r="AF66" s="455"/>
      <c r="AG66" s="455"/>
      <c r="AH66" s="455">
        <v>1.6441120249707231E-2</v>
      </c>
      <c r="AI66" s="455">
        <v>0</v>
      </c>
      <c r="AJ66" s="371"/>
      <c r="AN66" s="533">
        <v>15.287671232876713</v>
      </c>
      <c r="AO66" s="534"/>
      <c r="AP66" s="455">
        <v>6.4500000000000002E-2</v>
      </c>
      <c r="AQ66" s="455">
        <v>1.11E-2</v>
      </c>
      <c r="AR66" s="455">
        <v>2.52E-2</v>
      </c>
      <c r="AS66" s="455"/>
      <c r="AT66" s="455">
        <v>4.4900000000000002E-2</v>
      </c>
      <c r="AU66" s="654">
        <v>1.0699999999999999E-2</v>
      </c>
      <c r="AV66" s="455">
        <v>0</v>
      </c>
      <c r="AW66" s="371"/>
      <c r="BA66" s="533">
        <v>15.287671232876713</v>
      </c>
      <c r="BB66" s="534"/>
      <c r="BC66" s="455"/>
      <c r="BD66" s="455"/>
      <c r="BE66" s="455"/>
      <c r="BF66" s="455"/>
      <c r="BG66" s="455"/>
      <c r="BH66" s="782">
        <v>1.1951407774233314E-2</v>
      </c>
      <c r="BI66" s="455">
        <v>0</v>
      </c>
      <c r="BJ66" s="371"/>
    </row>
    <row r="67" spans="1:62">
      <c r="A67" s="533">
        <v>15.534246575342467</v>
      </c>
      <c r="B67" s="534"/>
      <c r="C67" s="455"/>
      <c r="D67" s="455"/>
      <c r="E67" s="455"/>
      <c r="F67" s="455"/>
      <c r="G67" s="455"/>
      <c r="H67" s="455">
        <v>3.1130962477276425E-2</v>
      </c>
      <c r="I67" s="455">
        <v>0</v>
      </c>
      <c r="J67" s="371"/>
      <c r="N67" s="533">
        <v>15.534246575342467</v>
      </c>
      <c r="O67" s="534"/>
      <c r="P67" s="455"/>
      <c r="Q67" s="455"/>
      <c r="R67" s="455"/>
      <c r="S67" s="455"/>
      <c r="T67" s="455"/>
      <c r="U67" s="455">
        <v>1.6721615446288363E-2</v>
      </c>
      <c r="V67" s="455">
        <v>0</v>
      </c>
      <c r="W67" s="371"/>
      <c r="AA67" s="533">
        <v>15.534246575342467</v>
      </c>
      <c r="AB67" s="534"/>
      <c r="AC67" s="455"/>
      <c r="AD67" s="455"/>
      <c r="AE67" s="455"/>
      <c r="AF67" s="455"/>
      <c r="AG67" s="455"/>
      <c r="AH67" s="455">
        <v>1.6356020295396068E-2</v>
      </c>
      <c r="AI67" s="455">
        <v>0</v>
      </c>
      <c r="AJ67" s="371"/>
      <c r="AN67" s="533">
        <v>15.534246575342467</v>
      </c>
      <c r="AO67" s="534"/>
      <c r="AP67" s="455">
        <v>6.4500000000000002E-2</v>
      </c>
      <c r="AQ67" s="455">
        <v>1.11E-2</v>
      </c>
      <c r="AR67" s="455">
        <v>2.52E-2</v>
      </c>
      <c r="AS67" s="455"/>
      <c r="AT67" s="455">
        <v>4.48E-2</v>
      </c>
      <c r="AU67" s="654">
        <v>1.06E-2</v>
      </c>
      <c r="AV67" s="455">
        <v>0</v>
      </c>
      <c r="AW67" s="371"/>
      <c r="BA67" s="533">
        <v>15.534246575342467</v>
      </c>
      <c r="BB67" s="534"/>
      <c r="BC67" s="455"/>
      <c r="BD67" s="455"/>
      <c r="BE67" s="455"/>
      <c r="BF67" s="455"/>
      <c r="BG67" s="455"/>
      <c r="BH67" s="782">
        <v>1.1989511913864659E-2</v>
      </c>
      <c r="BI67" s="455">
        <v>0</v>
      </c>
      <c r="BJ67" s="371"/>
    </row>
    <row r="68" spans="1:62">
      <c r="A68" s="533">
        <v>15.780821917808218</v>
      </c>
      <c r="B68" s="534"/>
      <c r="C68" s="455"/>
      <c r="D68" s="455"/>
      <c r="E68" s="455"/>
      <c r="F68" s="455"/>
      <c r="G68" s="455"/>
      <c r="H68" s="455">
        <v>3.1148082842453739E-2</v>
      </c>
      <c r="I68" s="455">
        <v>0</v>
      </c>
      <c r="J68" s="371"/>
      <c r="N68" s="533">
        <v>15.780821917808218</v>
      </c>
      <c r="O68" s="534"/>
      <c r="P68" s="455"/>
      <c r="Q68" s="455"/>
      <c r="R68" s="455"/>
      <c r="S68" s="455"/>
      <c r="T68" s="455"/>
      <c r="U68" s="455">
        <v>1.6614476943611622E-2</v>
      </c>
      <c r="V68" s="455">
        <v>0</v>
      </c>
      <c r="W68" s="371"/>
      <c r="AA68" s="533">
        <v>15.780821917808218</v>
      </c>
      <c r="AB68" s="534"/>
      <c r="AC68" s="455"/>
      <c r="AD68" s="455"/>
      <c r="AE68" s="455"/>
      <c r="AF68" s="455"/>
      <c r="AG68" s="455"/>
      <c r="AH68" s="455">
        <v>1.6265117580202881E-2</v>
      </c>
      <c r="AI68" s="455">
        <v>0</v>
      </c>
      <c r="AJ68" s="371"/>
      <c r="AN68" s="533">
        <v>15.780821917808218</v>
      </c>
      <c r="AO68" s="534"/>
      <c r="AP68" s="455">
        <v>6.4500000000000002E-2</v>
      </c>
      <c r="AQ68" s="455">
        <v>1.12E-2</v>
      </c>
      <c r="AR68" s="455">
        <v>2.52E-2</v>
      </c>
      <c r="AS68" s="455"/>
      <c r="AT68" s="455">
        <v>4.4600000000000001E-2</v>
      </c>
      <c r="AU68" s="654">
        <v>1.0500000000000001E-2</v>
      </c>
      <c r="AV68" s="455">
        <v>0</v>
      </c>
      <c r="AW68" s="371"/>
      <c r="BA68" s="533">
        <v>15.780821917808218</v>
      </c>
      <c r="BB68" s="534"/>
      <c r="BC68" s="455"/>
      <c r="BD68" s="455"/>
      <c r="BE68" s="455"/>
      <c r="BF68" s="455"/>
      <c r="BG68" s="455"/>
      <c r="BH68" s="782">
        <v>1.2022315773784875E-2</v>
      </c>
      <c r="BI68" s="455">
        <v>0</v>
      </c>
      <c r="BJ68" s="371"/>
    </row>
    <row r="69" spans="1:62">
      <c r="A69" s="533">
        <v>16.027397260273972</v>
      </c>
      <c r="B69" s="534"/>
      <c r="C69" s="455"/>
      <c r="D69" s="455"/>
      <c r="E69" s="455"/>
      <c r="F69" s="455"/>
      <c r="G69" s="455"/>
      <c r="H69" s="455">
        <v>3.1168256996720656E-2</v>
      </c>
      <c r="I69" s="455">
        <v>0</v>
      </c>
      <c r="J69" s="371"/>
      <c r="N69" s="533">
        <v>16.027397260273972</v>
      </c>
      <c r="O69" s="534"/>
      <c r="P69" s="455"/>
      <c r="Q69" s="455"/>
      <c r="R69" s="455"/>
      <c r="S69" s="455"/>
      <c r="T69" s="455"/>
      <c r="U69" s="455">
        <v>1.6507633253574738E-2</v>
      </c>
      <c r="V69" s="455">
        <v>0</v>
      </c>
      <c r="W69" s="371"/>
      <c r="AA69" s="533">
        <v>16.027397260273972</v>
      </c>
      <c r="AB69" s="534"/>
      <c r="AC69" s="455"/>
      <c r="AD69" s="455"/>
      <c r="AE69" s="455"/>
      <c r="AF69" s="455"/>
      <c r="AG69" s="455"/>
      <c r="AH69" s="455">
        <v>1.6168594225959732E-2</v>
      </c>
      <c r="AI69" s="455">
        <v>0</v>
      </c>
      <c r="AJ69" s="371"/>
      <c r="AN69" s="533">
        <v>16.027397260273972</v>
      </c>
      <c r="AO69" s="534"/>
      <c r="AP69" s="455">
        <v>6.4399999999999999E-2</v>
      </c>
      <c r="AQ69" s="455">
        <v>1.1299999999999999E-2</v>
      </c>
      <c r="AR69" s="455">
        <v>2.53E-2</v>
      </c>
      <c r="AS69" s="455"/>
      <c r="AT69" s="455">
        <v>4.4499999999999998E-2</v>
      </c>
      <c r="AU69" s="654">
        <v>1.04E-2</v>
      </c>
      <c r="AV69" s="455">
        <v>0</v>
      </c>
      <c r="AW69" s="371"/>
      <c r="BA69" s="533">
        <v>16.027397260273972</v>
      </c>
      <c r="BB69" s="534"/>
      <c r="BC69" s="455"/>
      <c r="BD69" s="455"/>
      <c r="BE69" s="455"/>
      <c r="BF69" s="455"/>
      <c r="BG69" s="455"/>
      <c r="BH69" s="782">
        <v>1.2050069022417453E-2</v>
      </c>
      <c r="BI69" s="455">
        <v>0</v>
      </c>
      <c r="BJ69" s="371"/>
    </row>
    <row r="70" spans="1:62">
      <c r="A70" s="533">
        <v>16.273972602739725</v>
      </c>
      <c r="B70" s="534"/>
      <c r="C70" s="455"/>
      <c r="D70" s="455"/>
      <c r="E70" s="455"/>
      <c r="F70" s="455"/>
      <c r="G70" s="455"/>
      <c r="H70" s="455">
        <v>3.1191460590109799E-2</v>
      </c>
      <c r="I70" s="455">
        <v>0</v>
      </c>
      <c r="J70" s="371"/>
      <c r="N70" s="533">
        <v>16.273972602739725</v>
      </c>
      <c r="O70" s="534"/>
      <c r="P70" s="455"/>
      <c r="Q70" s="455"/>
      <c r="R70" s="455"/>
      <c r="S70" s="455"/>
      <c r="T70" s="455"/>
      <c r="U70" s="455">
        <v>1.6401187855193955E-2</v>
      </c>
      <c r="V70" s="455">
        <v>0</v>
      </c>
      <c r="W70" s="371"/>
      <c r="AA70" s="533">
        <v>16.273972602739725</v>
      </c>
      <c r="AB70" s="534"/>
      <c r="AC70" s="455"/>
      <c r="AD70" s="455"/>
      <c r="AE70" s="455"/>
      <c r="AF70" s="455"/>
      <c r="AG70" s="455"/>
      <c r="AH70" s="455">
        <v>1.6066624685359132E-2</v>
      </c>
      <c r="AI70" s="455">
        <v>0</v>
      </c>
      <c r="AJ70" s="371"/>
      <c r="AN70" s="533">
        <v>16.273972602739725</v>
      </c>
      <c r="AO70" s="534"/>
      <c r="AP70" s="455">
        <v>6.4399999999999999E-2</v>
      </c>
      <c r="AQ70" s="455">
        <v>1.1299999999999999E-2</v>
      </c>
      <c r="AR70" s="455">
        <v>2.53E-2</v>
      </c>
      <c r="AS70" s="455"/>
      <c r="AT70" s="455">
        <v>4.4299999999999999E-2</v>
      </c>
      <c r="AU70" s="654">
        <v>1.03E-2</v>
      </c>
      <c r="AV70" s="455">
        <v>0</v>
      </c>
      <c r="AW70" s="371"/>
      <c r="BA70" s="533">
        <v>16.273972602739725</v>
      </c>
      <c r="BB70" s="534"/>
      <c r="BC70" s="455"/>
      <c r="BD70" s="455"/>
      <c r="BE70" s="455"/>
      <c r="BF70" s="455"/>
      <c r="BG70" s="455"/>
      <c r="BH70" s="782">
        <v>1.2073009789508538E-2</v>
      </c>
      <c r="BI70" s="455">
        <v>0</v>
      </c>
      <c r="BJ70" s="371"/>
    </row>
    <row r="71" spans="1:62">
      <c r="A71" s="533">
        <v>16.520547945205479</v>
      </c>
      <c r="B71" s="534"/>
      <c r="C71" s="455"/>
      <c r="D71" s="455"/>
      <c r="E71" s="455"/>
      <c r="F71" s="455"/>
      <c r="G71" s="455"/>
      <c r="H71" s="455">
        <v>3.1217663770527482E-2</v>
      </c>
      <c r="I71" s="455">
        <v>0</v>
      </c>
      <c r="J71" s="371"/>
      <c r="N71" s="533">
        <v>16.520547945205479</v>
      </c>
      <c r="O71" s="534"/>
      <c r="P71" s="455"/>
      <c r="Q71" s="455"/>
      <c r="R71" s="455"/>
      <c r="S71" s="455"/>
      <c r="T71" s="455"/>
      <c r="U71" s="455">
        <v>1.6295233844526136E-2</v>
      </c>
      <c r="V71" s="455">
        <v>0</v>
      </c>
      <c r="W71" s="371"/>
      <c r="AA71" s="533">
        <v>16.520547945205479</v>
      </c>
      <c r="AB71" s="534"/>
      <c r="AC71" s="455"/>
      <c r="AD71" s="455"/>
      <c r="AE71" s="455"/>
      <c r="AF71" s="455"/>
      <c r="AG71" s="455"/>
      <c r="AH71" s="455">
        <v>1.5959381501893022E-2</v>
      </c>
      <c r="AI71" s="455">
        <v>0</v>
      </c>
      <c r="AJ71" s="371"/>
      <c r="AN71" s="533">
        <v>16.520547945205479</v>
      </c>
      <c r="AO71" s="534"/>
      <c r="AP71" s="455">
        <v>6.4399999999999999E-2</v>
      </c>
      <c r="AQ71" s="455">
        <v>1.14E-2</v>
      </c>
      <c r="AR71" s="455">
        <v>2.53E-2</v>
      </c>
      <c r="AS71" s="455"/>
      <c r="AT71" s="455">
        <v>4.4200000000000003E-2</v>
      </c>
      <c r="AU71" s="654">
        <v>1.01E-2</v>
      </c>
      <c r="AV71" s="455">
        <v>0</v>
      </c>
      <c r="AW71" s="371"/>
      <c r="BA71" s="533">
        <v>16.520547945205479</v>
      </c>
      <c r="BB71" s="534"/>
      <c r="BC71" s="455"/>
      <c r="BD71" s="455"/>
      <c r="BE71" s="455"/>
      <c r="BF71" s="455"/>
      <c r="BG71" s="455"/>
      <c r="BH71" s="782">
        <v>1.2091366538721449E-2</v>
      </c>
      <c r="BI71" s="455">
        <v>0</v>
      </c>
      <c r="BJ71" s="371"/>
    </row>
    <row r="72" spans="1:62">
      <c r="A72" s="533">
        <v>16.767123287671232</v>
      </c>
      <c r="B72" s="534"/>
      <c r="C72" s="455"/>
      <c r="D72" s="455"/>
      <c r="E72" s="455"/>
      <c r="F72" s="455"/>
      <c r="G72" s="455"/>
      <c r="H72" s="455">
        <v>3.1246831059206892E-2</v>
      </c>
      <c r="I72" s="455">
        <v>0</v>
      </c>
      <c r="J72" s="371"/>
      <c r="N72" s="533">
        <v>16.767123287671232</v>
      </c>
      <c r="O72" s="534"/>
      <c r="P72" s="455"/>
      <c r="Q72" s="455"/>
      <c r="R72" s="455"/>
      <c r="S72" s="455"/>
      <c r="T72" s="455"/>
      <c r="U72" s="455">
        <v>1.6189859624662795E-2</v>
      </c>
      <c r="V72" s="455">
        <v>0</v>
      </c>
      <c r="W72" s="371"/>
      <c r="AA72" s="533">
        <v>16.767123287671232</v>
      </c>
      <c r="AB72" s="534"/>
      <c r="AC72" s="455"/>
      <c r="AD72" s="455"/>
      <c r="AE72" s="455"/>
      <c r="AF72" s="455"/>
      <c r="AG72" s="455"/>
      <c r="AH72" s="455">
        <v>1.5847026623528215E-2</v>
      </c>
      <c r="AI72" s="455">
        <v>0</v>
      </c>
      <c r="AJ72" s="371"/>
      <c r="AN72" s="533">
        <v>16.767123287671232</v>
      </c>
      <c r="AO72" s="534"/>
      <c r="AP72" s="455">
        <v>6.4299999999999996E-2</v>
      </c>
      <c r="AQ72" s="455">
        <v>1.14E-2</v>
      </c>
      <c r="AR72" s="455">
        <v>2.5399999999999999E-2</v>
      </c>
      <c r="AS72" s="455"/>
      <c r="AT72" s="455">
        <v>4.3999999999999997E-2</v>
      </c>
      <c r="AU72" s="654">
        <v>0.01</v>
      </c>
      <c r="AV72" s="455">
        <v>0</v>
      </c>
      <c r="AW72" s="371"/>
      <c r="BA72" s="533">
        <v>16.767123287671232</v>
      </c>
      <c r="BB72" s="534"/>
      <c r="BC72" s="455"/>
      <c r="BD72" s="455"/>
      <c r="BE72" s="455"/>
      <c r="BF72" s="455"/>
      <c r="BG72" s="455"/>
      <c r="BH72" s="782">
        <v>1.2105358143996492E-2</v>
      </c>
      <c r="BI72" s="455">
        <v>0</v>
      </c>
      <c r="BJ72" s="371"/>
    </row>
    <row r="73" spans="1:62">
      <c r="A73" s="533">
        <v>17.013698630136986</v>
      </c>
      <c r="B73" s="534"/>
      <c r="C73" s="455"/>
      <c r="D73" s="455"/>
      <c r="E73" s="455"/>
      <c r="F73" s="455"/>
      <c r="G73" s="455"/>
      <c r="H73" s="455">
        <v>3.1278927259468237E-2</v>
      </c>
      <c r="I73" s="455">
        <v>0</v>
      </c>
      <c r="J73" s="371"/>
      <c r="N73" s="533">
        <v>17.013698630136986</v>
      </c>
      <c r="O73" s="534"/>
      <c r="P73" s="455"/>
      <c r="Q73" s="455"/>
      <c r="R73" s="455"/>
      <c r="S73" s="455"/>
      <c r="T73" s="455"/>
      <c r="U73" s="455">
        <v>1.6085148925024439E-2</v>
      </c>
      <c r="V73" s="455">
        <v>0</v>
      </c>
      <c r="W73" s="371"/>
      <c r="AA73" s="533">
        <v>17.013698630136986</v>
      </c>
      <c r="AB73" s="534"/>
      <c r="AC73" s="455"/>
      <c r="AD73" s="455"/>
      <c r="AE73" s="455"/>
      <c r="AF73" s="455"/>
      <c r="AG73" s="455"/>
      <c r="AH73" s="455">
        <v>1.57297201070139E-2</v>
      </c>
      <c r="AI73" s="455">
        <v>0</v>
      </c>
      <c r="AJ73" s="371"/>
      <c r="AN73" s="533">
        <v>17.013698630136986</v>
      </c>
      <c r="AO73" s="534"/>
      <c r="AP73" s="455">
        <v>6.4299999999999996E-2</v>
      </c>
      <c r="AQ73" s="455">
        <v>1.15E-2</v>
      </c>
      <c r="AR73" s="455">
        <v>2.5399999999999999E-2</v>
      </c>
      <c r="AS73" s="455"/>
      <c r="AT73" s="455">
        <v>4.3900000000000002E-2</v>
      </c>
      <c r="AU73" s="654">
        <v>9.9000000000000008E-3</v>
      </c>
      <c r="AV73" s="455">
        <v>0</v>
      </c>
      <c r="AW73" s="371"/>
      <c r="BA73" s="533">
        <v>17.013698630136986</v>
      </c>
      <c r="BB73" s="534"/>
      <c r="BC73" s="455"/>
      <c r="BD73" s="455"/>
      <c r="BE73" s="455"/>
      <c r="BF73" s="455"/>
      <c r="BG73" s="455"/>
      <c r="BH73" s="782">
        <v>1.2115196712430221E-2</v>
      </c>
      <c r="BI73" s="455">
        <v>0</v>
      </c>
      <c r="BJ73" s="371"/>
    </row>
    <row r="74" spans="1:62">
      <c r="A74" s="533">
        <v>17.260273972602739</v>
      </c>
      <c r="B74" s="534"/>
      <c r="C74" s="455"/>
      <c r="D74" s="455"/>
      <c r="E74" s="455"/>
      <c r="F74" s="455"/>
      <c r="G74" s="455"/>
      <c r="H74" s="455">
        <v>3.1313911507214298E-2</v>
      </c>
      <c r="I74" s="455">
        <v>0</v>
      </c>
      <c r="J74" s="371"/>
      <c r="N74" s="533">
        <v>17.260273972602739</v>
      </c>
      <c r="O74" s="534"/>
      <c r="P74" s="455"/>
      <c r="Q74" s="455"/>
      <c r="R74" s="455"/>
      <c r="S74" s="455"/>
      <c r="T74" s="455"/>
      <c r="U74" s="455">
        <v>1.5981176064550295E-2</v>
      </c>
      <c r="V74" s="455">
        <v>0</v>
      </c>
      <c r="W74" s="371"/>
      <c r="AA74" s="533">
        <v>17.260273972602739</v>
      </c>
      <c r="AB74" s="534"/>
      <c r="AC74" s="455"/>
      <c r="AD74" s="455"/>
      <c r="AE74" s="455"/>
      <c r="AF74" s="455"/>
      <c r="AG74" s="455"/>
      <c r="AH74" s="455">
        <v>1.5607615222623439E-2</v>
      </c>
      <c r="AI74" s="455">
        <v>0</v>
      </c>
      <c r="AJ74" s="371"/>
      <c r="AN74" s="533">
        <v>17.260273972602739</v>
      </c>
      <c r="AO74" s="534"/>
      <c r="AP74" s="455">
        <v>6.4199999999999993E-2</v>
      </c>
      <c r="AQ74" s="455">
        <v>1.15E-2</v>
      </c>
      <c r="AR74" s="455">
        <v>2.5399999999999999E-2</v>
      </c>
      <c r="AS74" s="455"/>
      <c r="AT74" s="455">
        <v>4.3799999999999999E-2</v>
      </c>
      <c r="AU74" s="654">
        <v>9.7999999999999997E-3</v>
      </c>
      <c r="AV74" s="455">
        <v>0</v>
      </c>
      <c r="AW74" s="371"/>
      <c r="BA74" s="533">
        <v>17.260273972602739</v>
      </c>
      <c r="BB74" s="534"/>
      <c r="BC74" s="455"/>
      <c r="BD74" s="455"/>
      <c r="BE74" s="455"/>
      <c r="BF74" s="455"/>
      <c r="BG74" s="455"/>
      <c r="BH74" s="782">
        <v>1.2121080027362785E-2</v>
      </c>
      <c r="BI74" s="455">
        <v>0</v>
      </c>
      <c r="BJ74" s="371"/>
    </row>
    <row r="75" spans="1:62">
      <c r="A75" s="533">
        <v>17.506849315068493</v>
      </c>
      <c r="B75" s="534"/>
      <c r="C75" s="455"/>
      <c r="D75" s="455"/>
      <c r="E75" s="455"/>
      <c r="F75" s="455"/>
      <c r="G75" s="455"/>
      <c r="H75" s="455">
        <v>3.1351743239446117E-2</v>
      </c>
      <c r="I75" s="455">
        <v>0</v>
      </c>
      <c r="J75" s="371"/>
      <c r="N75" s="533">
        <v>17.506849315068493</v>
      </c>
      <c r="O75" s="534"/>
      <c r="P75" s="455"/>
      <c r="Q75" s="455"/>
      <c r="R75" s="455"/>
      <c r="S75" s="455"/>
      <c r="T75" s="455"/>
      <c r="U75" s="455">
        <v>1.5878013529837531E-2</v>
      </c>
      <c r="V75" s="455">
        <v>0</v>
      </c>
      <c r="W75" s="371"/>
      <c r="AA75" s="533">
        <v>17.506849315068493</v>
      </c>
      <c r="AB75" s="534"/>
      <c r="AC75" s="455"/>
      <c r="AD75" s="455"/>
      <c r="AE75" s="455"/>
      <c r="AF75" s="455"/>
      <c r="AG75" s="455"/>
      <c r="AH75" s="455">
        <v>1.5480861406614421E-2</v>
      </c>
      <c r="AI75" s="455">
        <v>0</v>
      </c>
      <c r="AJ75" s="371"/>
      <c r="AN75" s="533">
        <v>17.506849315068493</v>
      </c>
      <c r="AO75" s="534"/>
      <c r="AP75" s="455">
        <v>6.4199999999999993E-2</v>
      </c>
      <c r="AQ75" s="455">
        <v>1.1599999999999999E-2</v>
      </c>
      <c r="AR75" s="455">
        <v>2.5499999999999998E-2</v>
      </c>
      <c r="AS75" s="455"/>
      <c r="AT75" s="455">
        <v>4.36E-2</v>
      </c>
      <c r="AU75" s="654">
        <v>9.7000000000000003E-3</v>
      </c>
      <c r="AV75" s="455">
        <v>0</v>
      </c>
      <c r="AW75" s="371"/>
      <c r="BA75" s="533">
        <v>17.506849315068493</v>
      </c>
      <c r="BB75" s="534"/>
      <c r="BC75" s="455"/>
      <c r="BD75" s="455"/>
      <c r="BE75" s="455"/>
      <c r="BF75" s="455"/>
      <c r="BG75" s="455"/>
      <c r="BH75" s="782">
        <v>1.2123204826549827E-2</v>
      </c>
      <c r="BI75" s="455">
        <v>0</v>
      </c>
      <c r="BJ75" s="371"/>
    </row>
    <row r="76" spans="1:62">
      <c r="A76" s="533">
        <v>17.753424657534246</v>
      </c>
      <c r="B76" s="534"/>
      <c r="C76" s="455"/>
      <c r="D76" s="455"/>
      <c r="E76" s="455"/>
      <c r="F76" s="455"/>
      <c r="G76" s="455"/>
      <c r="H76" s="455">
        <v>3.1392377180529341E-2</v>
      </c>
      <c r="I76" s="455">
        <v>0</v>
      </c>
      <c r="J76" s="371"/>
      <c r="N76" s="533">
        <v>17.753424657534246</v>
      </c>
      <c r="O76" s="534"/>
      <c r="P76" s="455"/>
      <c r="Q76" s="455"/>
      <c r="R76" s="455"/>
      <c r="S76" s="455"/>
      <c r="T76" s="455"/>
      <c r="U76" s="455">
        <v>1.5775725315219535E-2</v>
      </c>
      <c r="V76" s="455">
        <v>0</v>
      </c>
      <c r="W76" s="371"/>
      <c r="AA76" s="533">
        <v>17.753424657534246</v>
      </c>
      <c r="AB76" s="534"/>
      <c r="AC76" s="455"/>
      <c r="AD76" s="455"/>
      <c r="AE76" s="455"/>
      <c r="AF76" s="455"/>
      <c r="AG76" s="455"/>
      <c r="AH76" s="455">
        <v>1.5349605131594224E-2</v>
      </c>
      <c r="AI76" s="455">
        <v>0</v>
      </c>
      <c r="AJ76" s="371"/>
      <c r="AN76" s="533">
        <v>17.753424657534246</v>
      </c>
      <c r="AO76" s="534"/>
      <c r="AP76" s="455">
        <v>6.4100000000000004E-2</v>
      </c>
      <c r="AQ76" s="455">
        <v>1.1599999999999999E-2</v>
      </c>
      <c r="AR76" s="455">
        <v>2.5499999999999998E-2</v>
      </c>
      <c r="AS76" s="455"/>
      <c r="AT76" s="455">
        <v>4.3499999999999997E-2</v>
      </c>
      <c r="AU76" s="654">
        <v>9.4999999999999998E-3</v>
      </c>
      <c r="AV76" s="455">
        <v>0</v>
      </c>
      <c r="AW76" s="371"/>
      <c r="BA76" s="533">
        <v>17.753424657534246</v>
      </c>
      <c r="BB76" s="534"/>
      <c r="BC76" s="455"/>
      <c r="BD76" s="455"/>
      <c r="BE76" s="455"/>
      <c r="BF76" s="455"/>
      <c r="BG76" s="455"/>
      <c r="BH76" s="782">
        <v>1.2121753554748871E-2</v>
      </c>
      <c r="BI76" s="455">
        <v>0</v>
      </c>
      <c r="BJ76" s="371"/>
    </row>
    <row r="77" spans="1:62">
      <c r="A77" s="533">
        <v>18</v>
      </c>
      <c r="B77" s="534"/>
      <c r="C77" s="455"/>
      <c r="D77" s="455"/>
      <c r="E77" s="455"/>
      <c r="F77" s="455"/>
      <c r="G77" s="455"/>
      <c r="H77" s="455">
        <v>3.1435767319131003E-2</v>
      </c>
      <c r="I77" s="455">
        <v>0</v>
      </c>
      <c r="J77" s="371"/>
      <c r="N77" s="533">
        <v>18</v>
      </c>
      <c r="O77" s="534"/>
      <c r="P77" s="455"/>
      <c r="Q77" s="455"/>
      <c r="R77" s="455"/>
      <c r="S77" s="455"/>
      <c r="T77" s="455"/>
      <c r="U77" s="455">
        <v>1.5674374542810732E-2</v>
      </c>
      <c r="V77" s="455">
        <v>0</v>
      </c>
      <c r="W77" s="371"/>
      <c r="AA77" s="533">
        <v>18</v>
      </c>
      <c r="AB77" s="534"/>
      <c r="AC77" s="455"/>
      <c r="AD77" s="455"/>
      <c r="AE77" s="455"/>
      <c r="AF77" s="455"/>
      <c r="AG77" s="455"/>
      <c r="AH77" s="455">
        <v>1.5213984247484769E-2</v>
      </c>
      <c r="AI77" s="455">
        <v>0</v>
      </c>
      <c r="AJ77" s="371"/>
      <c r="AN77" s="533">
        <v>18</v>
      </c>
      <c r="AO77" s="534"/>
      <c r="AP77" s="455">
        <v>6.4000000000000001E-2</v>
      </c>
      <c r="AQ77" s="455">
        <v>1.1599999999999999E-2</v>
      </c>
      <c r="AR77" s="455">
        <v>2.5499999999999998E-2</v>
      </c>
      <c r="AS77" s="455"/>
      <c r="AT77" s="455">
        <v>4.3400000000000001E-2</v>
      </c>
      <c r="AU77" s="654">
        <v>9.4000000000000004E-3</v>
      </c>
      <c r="AV77" s="455">
        <v>0</v>
      </c>
      <c r="AW77" s="371"/>
      <c r="BA77" s="533">
        <v>18</v>
      </c>
      <c r="BB77" s="534"/>
      <c r="BC77" s="455"/>
      <c r="BD77" s="455"/>
      <c r="BE77" s="455"/>
      <c r="BF77" s="455"/>
      <c r="BG77" s="455"/>
      <c r="BH77" s="782">
        <v>1.2116903835230008E-2</v>
      </c>
      <c r="BI77" s="455">
        <v>0</v>
      </c>
      <c r="BJ77" s="371"/>
    </row>
    <row r="78" spans="1:62">
      <c r="A78" s="533">
        <v>18.246575342465754</v>
      </c>
      <c r="B78" s="534"/>
      <c r="C78" s="455"/>
      <c r="D78" s="455"/>
      <c r="E78" s="455"/>
      <c r="F78" s="455"/>
      <c r="G78" s="455"/>
      <c r="H78" s="455">
        <v>3.148186590723534E-2</v>
      </c>
      <c r="I78" s="455">
        <v>0</v>
      </c>
      <c r="J78" s="371"/>
      <c r="N78" s="533">
        <v>18.246575342465754</v>
      </c>
      <c r="O78" s="534"/>
      <c r="P78" s="455"/>
      <c r="Q78" s="455"/>
      <c r="R78" s="455"/>
      <c r="S78" s="455"/>
      <c r="T78" s="455"/>
      <c r="U78" s="455">
        <v>1.5574015864890711E-2</v>
      </c>
      <c r="V78" s="455">
        <v>0</v>
      </c>
      <c r="W78" s="371"/>
      <c r="AA78" s="533">
        <v>18.246575342465754</v>
      </c>
      <c r="AB78" s="534"/>
      <c r="AC78" s="455"/>
      <c r="AD78" s="455"/>
      <c r="AE78" s="455"/>
      <c r="AF78" s="455"/>
      <c r="AG78" s="455"/>
      <c r="AH78" s="455">
        <v>1.5074137477346206E-2</v>
      </c>
      <c r="AI78" s="455">
        <v>0</v>
      </c>
      <c r="AJ78" s="371"/>
      <c r="AN78" s="533">
        <v>18.246575342465754</v>
      </c>
      <c r="AO78" s="534"/>
      <c r="AP78" s="455">
        <v>6.4000000000000001E-2</v>
      </c>
      <c r="AQ78" s="455">
        <v>1.1599999999999999E-2</v>
      </c>
      <c r="AR78" s="455">
        <v>2.5600000000000001E-2</v>
      </c>
      <c r="AS78" s="455"/>
      <c r="AT78" s="455">
        <v>4.3299999999999998E-2</v>
      </c>
      <c r="AU78" s="654">
        <v>9.2999999999999992E-3</v>
      </c>
      <c r="AV78" s="455">
        <v>0</v>
      </c>
      <c r="AW78" s="371"/>
      <c r="BA78" s="533">
        <v>18.246575342465754</v>
      </c>
      <c r="BB78" s="534"/>
      <c r="BC78" s="455"/>
      <c r="BD78" s="455"/>
      <c r="BE78" s="455"/>
      <c r="BF78" s="455"/>
      <c r="BG78" s="455"/>
      <c r="BH78" s="782">
        <v>1.2108826620085944E-2</v>
      </c>
      <c r="BI78" s="455">
        <v>0</v>
      </c>
      <c r="BJ78" s="371"/>
    </row>
    <row r="79" spans="1:62">
      <c r="A79" s="533">
        <v>18.493150684931507</v>
      </c>
      <c r="B79" s="534"/>
      <c r="C79" s="455"/>
      <c r="D79" s="455"/>
      <c r="E79" s="455"/>
      <c r="F79" s="455"/>
      <c r="G79" s="455"/>
      <c r="H79" s="455">
        <v>3.1530625324322825E-2</v>
      </c>
      <c r="I79" s="455">
        <v>0</v>
      </c>
      <c r="J79" s="371"/>
      <c r="N79" s="533">
        <v>18.493150684931507</v>
      </c>
      <c r="O79" s="534"/>
      <c r="P79" s="455"/>
      <c r="Q79" s="455"/>
      <c r="R79" s="455"/>
      <c r="S79" s="455"/>
      <c r="T79" s="455"/>
      <c r="U79" s="455">
        <v>1.5474702098086102E-2</v>
      </c>
      <c r="V79" s="455">
        <v>0</v>
      </c>
      <c r="W79" s="371"/>
      <c r="AA79" s="533">
        <v>18.493150684931507</v>
      </c>
      <c r="AB79" s="534"/>
      <c r="AC79" s="455"/>
      <c r="AD79" s="455"/>
      <c r="AE79" s="455"/>
      <c r="AF79" s="455"/>
      <c r="AG79" s="455"/>
      <c r="AH79" s="455">
        <v>1.4930195822038028E-2</v>
      </c>
      <c r="AI79" s="455">
        <v>0</v>
      </c>
      <c r="AJ79" s="371"/>
      <c r="AN79" s="533">
        <v>18.493150684931507</v>
      </c>
      <c r="AO79" s="534"/>
      <c r="AP79" s="455">
        <v>6.3899999999999998E-2</v>
      </c>
      <c r="AQ79" s="455">
        <v>1.17E-2</v>
      </c>
      <c r="AR79" s="455">
        <v>2.5600000000000001E-2</v>
      </c>
      <c r="AS79" s="455"/>
      <c r="AT79" s="455">
        <v>4.3099999999999999E-2</v>
      </c>
      <c r="AU79" s="654">
        <v>9.1999999999999998E-3</v>
      </c>
      <c r="AV79" s="455">
        <v>0</v>
      </c>
      <c r="AW79" s="371"/>
      <c r="BA79" s="533">
        <v>18.493150684931507</v>
      </c>
      <c r="BB79" s="534"/>
      <c r="BC79" s="455"/>
      <c r="BD79" s="455"/>
      <c r="BE79" s="455"/>
      <c r="BF79" s="455"/>
      <c r="BG79" s="455"/>
      <c r="BH79" s="782">
        <v>1.2097683307071616E-2</v>
      </c>
      <c r="BI79" s="455">
        <v>0</v>
      </c>
      <c r="BJ79" s="371"/>
    </row>
    <row r="80" spans="1:62">
      <c r="A80" s="533">
        <v>18.739726027397261</v>
      </c>
      <c r="B80" s="534"/>
      <c r="C80" s="455"/>
      <c r="D80" s="455"/>
      <c r="E80" s="455"/>
      <c r="F80" s="455"/>
      <c r="G80" s="455"/>
      <c r="H80" s="455">
        <v>3.1581993337523873E-2</v>
      </c>
      <c r="I80" s="455">
        <v>0</v>
      </c>
      <c r="J80" s="371"/>
      <c r="N80" s="533">
        <v>18.739726027397261</v>
      </c>
      <c r="O80" s="534"/>
      <c r="P80" s="455"/>
      <c r="Q80" s="455"/>
      <c r="R80" s="455"/>
      <c r="S80" s="455"/>
      <c r="T80" s="455"/>
      <c r="U80" s="455">
        <v>1.5376481394052011E-2</v>
      </c>
      <c r="V80" s="455">
        <v>0</v>
      </c>
      <c r="W80" s="371"/>
      <c r="AA80" s="533">
        <v>18.739726027397261</v>
      </c>
      <c r="AB80" s="534"/>
      <c r="AC80" s="455"/>
      <c r="AD80" s="455"/>
      <c r="AE80" s="455"/>
      <c r="AF80" s="455"/>
      <c r="AG80" s="455"/>
      <c r="AH80" s="455">
        <v>1.4782287364835556E-2</v>
      </c>
      <c r="AI80" s="455">
        <v>0</v>
      </c>
      <c r="AJ80" s="371"/>
      <c r="AN80" s="533">
        <v>18.739726027397261</v>
      </c>
      <c r="AO80" s="534"/>
      <c r="AP80" s="455">
        <v>6.3799999999999996E-2</v>
      </c>
      <c r="AQ80" s="455">
        <v>1.17E-2</v>
      </c>
      <c r="AR80" s="455">
        <v>2.5600000000000001E-2</v>
      </c>
      <c r="AS80" s="455"/>
      <c r="AT80" s="455">
        <v>4.2999999999999997E-2</v>
      </c>
      <c r="AU80" s="654">
        <v>8.9999999999999993E-3</v>
      </c>
      <c r="AV80" s="455">
        <v>0</v>
      </c>
      <c r="AW80" s="371"/>
      <c r="BA80" s="533">
        <v>18.739726027397261</v>
      </c>
      <c r="BB80" s="534"/>
      <c r="BC80" s="455"/>
      <c r="BD80" s="455"/>
      <c r="BE80" s="455"/>
      <c r="BF80" s="455"/>
      <c r="BG80" s="455"/>
      <c r="BH80" s="782">
        <v>1.2083631483015056E-2</v>
      </c>
      <c r="BI80" s="455">
        <v>0</v>
      </c>
      <c r="BJ80" s="371"/>
    </row>
    <row r="81" spans="1:62">
      <c r="A81" s="533">
        <v>18.986301369863014</v>
      </c>
      <c r="B81" s="534"/>
      <c r="C81" s="455"/>
      <c r="D81" s="455"/>
      <c r="E81" s="455"/>
      <c r="F81" s="455"/>
      <c r="G81" s="455"/>
      <c r="H81" s="455">
        <v>3.1635920756870384E-2</v>
      </c>
      <c r="I81" s="455">
        <v>0</v>
      </c>
      <c r="J81" s="371"/>
      <c r="N81" s="533">
        <v>18.986301369863014</v>
      </c>
      <c r="O81" s="534"/>
      <c r="P81" s="455"/>
      <c r="Q81" s="455"/>
      <c r="R81" s="455"/>
      <c r="S81" s="455"/>
      <c r="T81" s="455"/>
      <c r="U81" s="455">
        <v>1.5279398165864988E-2</v>
      </c>
      <c r="V81" s="455">
        <v>0</v>
      </c>
      <c r="W81" s="371"/>
      <c r="AA81" s="533">
        <v>18.986301369863014</v>
      </c>
      <c r="AB81" s="534"/>
      <c r="AC81" s="455"/>
      <c r="AD81" s="455"/>
      <c r="AE81" s="455"/>
      <c r="AF81" s="455"/>
      <c r="AG81" s="455"/>
      <c r="AH81" s="455">
        <v>1.4630538188396214E-2</v>
      </c>
      <c r="AI81" s="455">
        <v>0</v>
      </c>
      <c r="AJ81" s="371"/>
      <c r="AN81" s="533">
        <v>18.986301369863014</v>
      </c>
      <c r="AO81" s="534"/>
      <c r="AP81" s="455">
        <v>6.3700000000000007E-2</v>
      </c>
      <c r="AQ81" s="455">
        <v>1.17E-2</v>
      </c>
      <c r="AR81" s="455">
        <v>2.5700000000000001E-2</v>
      </c>
      <c r="AS81" s="455"/>
      <c r="AT81" s="455">
        <v>4.2900000000000001E-2</v>
      </c>
      <c r="AU81" s="654">
        <v>8.8999999999999999E-3</v>
      </c>
      <c r="AV81" s="455">
        <v>0</v>
      </c>
      <c r="AW81" s="371"/>
      <c r="BA81" s="533">
        <v>18.986301369863014</v>
      </c>
      <c r="BB81" s="534"/>
      <c r="BC81" s="455"/>
      <c r="BD81" s="455"/>
      <c r="BE81" s="455"/>
      <c r="BF81" s="455"/>
      <c r="BG81" s="455"/>
      <c r="BH81" s="782">
        <v>1.2066818259524714E-2</v>
      </c>
      <c r="BI81" s="455">
        <v>0</v>
      </c>
      <c r="BJ81" s="371"/>
    </row>
    <row r="82" spans="1:62">
      <c r="A82" s="533">
        <v>19.232876712328768</v>
      </c>
      <c r="B82" s="534"/>
      <c r="C82" s="455"/>
      <c r="D82" s="455"/>
      <c r="E82" s="455"/>
      <c r="F82" s="455"/>
      <c r="G82" s="455"/>
      <c r="H82" s="455">
        <v>3.1692354643828358E-2</v>
      </c>
      <c r="I82" s="455">
        <v>0</v>
      </c>
      <c r="J82" s="371"/>
      <c r="N82" s="533">
        <v>19.232876712328768</v>
      </c>
      <c r="O82" s="534"/>
      <c r="P82" s="455"/>
      <c r="Q82" s="455"/>
      <c r="R82" s="455"/>
      <c r="S82" s="455"/>
      <c r="T82" s="455"/>
      <c r="U82" s="455">
        <v>1.518349213753134E-2</v>
      </c>
      <c r="V82" s="455">
        <v>0</v>
      </c>
      <c r="W82" s="371"/>
      <c r="AA82" s="533">
        <v>19.232876712328768</v>
      </c>
      <c r="AB82" s="534"/>
      <c r="AC82" s="455"/>
      <c r="AD82" s="455"/>
      <c r="AE82" s="455"/>
      <c r="AF82" s="455"/>
      <c r="AG82" s="455"/>
      <c r="AH82" s="455">
        <v>1.4475068575790839E-2</v>
      </c>
      <c r="AI82" s="455">
        <v>0</v>
      </c>
      <c r="AJ82" s="371"/>
      <c r="AN82" s="533">
        <v>19.232876712328768</v>
      </c>
      <c r="AO82" s="534"/>
      <c r="AP82" s="455">
        <v>6.3600000000000004E-2</v>
      </c>
      <c r="AQ82" s="455">
        <v>1.17E-2</v>
      </c>
      <c r="AR82" s="455">
        <v>2.5700000000000001E-2</v>
      </c>
      <c r="AS82" s="455"/>
      <c r="AT82" s="455">
        <v>4.2799999999999998E-2</v>
      </c>
      <c r="AU82" s="654">
        <v>8.8000000000000005E-3</v>
      </c>
      <c r="AV82" s="455">
        <v>0</v>
      </c>
      <c r="AW82" s="371"/>
      <c r="BA82" s="533">
        <v>19.232876712328768</v>
      </c>
      <c r="BB82" s="534"/>
      <c r="BC82" s="455"/>
      <c r="BD82" s="455"/>
      <c r="BE82" s="455"/>
      <c r="BF82" s="455"/>
      <c r="BG82" s="455"/>
      <c r="BH82" s="782">
        <v>1.2047387898293627E-2</v>
      </c>
      <c r="BI82" s="455">
        <v>0</v>
      </c>
      <c r="BJ82" s="371"/>
    </row>
    <row r="83" spans="1:62">
      <c r="A83" s="533">
        <v>19.479452054794521</v>
      </c>
      <c r="B83" s="534"/>
      <c r="C83" s="455"/>
      <c r="D83" s="455"/>
      <c r="E83" s="455"/>
      <c r="F83" s="455"/>
      <c r="G83" s="455"/>
      <c r="H83" s="455">
        <v>3.1751240297834382E-2</v>
      </c>
      <c r="I83" s="455">
        <v>0</v>
      </c>
      <c r="J83" s="371"/>
      <c r="N83" s="533">
        <v>19.479452054794521</v>
      </c>
      <c r="O83" s="534"/>
      <c r="P83" s="455"/>
      <c r="Q83" s="455"/>
      <c r="R83" s="455"/>
      <c r="S83" s="455"/>
      <c r="T83" s="455"/>
      <c r="U83" s="455">
        <v>1.5088802156756342E-2</v>
      </c>
      <c r="V83" s="455">
        <v>0</v>
      </c>
      <c r="W83" s="371"/>
      <c r="AA83" s="533">
        <v>19.479452054794521</v>
      </c>
      <c r="AB83" s="534"/>
      <c r="AC83" s="455"/>
      <c r="AD83" s="455"/>
      <c r="AE83" s="455"/>
      <c r="AF83" s="455"/>
      <c r="AG83" s="455"/>
      <c r="AH83" s="455">
        <v>1.4315996819565413E-2</v>
      </c>
      <c r="AI83" s="455">
        <v>0</v>
      </c>
      <c r="AJ83" s="371"/>
      <c r="AN83" s="533">
        <v>19.479452054794521</v>
      </c>
      <c r="AO83" s="534"/>
      <c r="AP83" s="455">
        <v>6.3600000000000004E-2</v>
      </c>
      <c r="AQ83" s="455">
        <v>1.17E-2</v>
      </c>
      <c r="AR83" s="455">
        <v>2.5700000000000001E-2</v>
      </c>
      <c r="AS83" s="455"/>
      <c r="AT83" s="455">
        <v>4.2700000000000002E-2</v>
      </c>
      <c r="AU83" s="654">
        <v>8.6E-3</v>
      </c>
      <c r="AV83" s="455">
        <v>0</v>
      </c>
      <c r="AW83" s="371"/>
      <c r="BA83" s="533">
        <v>19.479452054794521</v>
      </c>
      <c r="BB83" s="534"/>
      <c r="BC83" s="455"/>
      <c r="BD83" s="455"/>
      <c r="BE83" s="455"/>
      <c r="BF83" s="455"/>
      <c r="BG83" s="455"/>
      <c r="BH83" s="782">
        <v>1.2025477994397571E-2</v>
      </c>
      <c r="BI83" s="455">
        <v>0</v>
      </c>
      <c r="BJ83" s="371"/>
    </row>
    <row r="84" spans="1:62">
      <c r="A84" s="533">
        <v>19.726027397260275</v>
      </c>
      <c r="B84" s="534"/>
      <c r="C84" s="455"/>
      <c r="D84" s="455"/>
      <c r="E84" s="455"/>
      <c r="F84" s="455"/>
      <c r="G84" s="455"/>
      <c r="H84" s="455">
        <v>3.181252704186055E-2</v>
      </c>
      <c r="I84" s="455">
        <v>0</v>
      </c>
      <c r="J84" s="371"/>
      <c r="N84" s="533">
        <v>19.726027397260275</v>
      </c>
      <c r="O84" s="534"/>
      <c r="P84" s="455"/>
      <c r="Q84" s="455"/>
      <c r="R84" s="455"/>
      <c r="S84" s="455"/>
      <c r="T84" s="455"/>
      <c r="U84" s="455">
        <v>1.4995359556168708E-2</v>
      </c>
      <c r="V84" s="455">
        <v>0</v>
      </c>
      <c r="W84" s="371"/>
      <c r="AA84" s="533">
        <v>19.726027397260275</v>
      </c>
      <c r="AB84" s="534"/>
      <c r="AC84" s="455"/>
      <c r="AD84" s="455"/>
      <c r="AE84" s="455"/>
      <c r="AF84" s="455"/>
      <c r="AG84" s="455"/>
      <c r="AH84" s="455">
        <v>1.4153438243051708E-2</v>
      </c>
      <c r="AI84" s="455">
        <v>0</v>
      </c>
      <c r="AJ84" s="371"/>
      <c r="AN84" s="533">
        <v>19.726027397260275</v>
      </c>
      <c r="AO84" s="534"/>
      <c r="AP84" s="455">
        <v>6.3500000000000001E-2</v>
      </c>
      <c r="AQ84" s="455">
        <v>1.17E-2</v>
      </c>
      <c r="AR84" s="455">
        <v>2.58E-2</v>
      </c>
      <c r="AS84" s="455"/>
      <c r="AT84" s="455">
        <v>4.2599999999999999E-2</v>
      </c>
      <c r="AU84" s="654">
        <v>8.5000000000000006E-3</v>
      </c>
      <c r="AV84" s="455">
        <v>0</v>
      </c>
      <c r="AW84" s="371"/>
      <c r="BA84" s="533">
        <v>19.726027397260275</v>
      </c>
      <c r="BB84" s="534"/>
      <c r="BC84" s="455"/>
      <c r="BD84" s="455"/>
      <c r="BE84" s="455"/>
      <c r="BF84" s="455"/>
      <c r="BG84" s="455"/>
      <c r="BH84" s="782">
        <v>1.2001219495790805E-2</v>
      </c>
      <c r="BI84" s="455">
        <v>0</v>
      </c>
      <c r="BJ84" s="371"/>
    </row>
    <row r="85" spans="1:62">
      <c r="A85" s="533">
        <v>19.972602739726028</v>
      </c>
      <c r="B85" s="534"/>
      <c r="C85" s="455"/>
      <c r="D85" s="455"/>
      <c r="E85" s="455"/>
      <c r="F85" s="455"/>
      <c r="G85" s="455"/>
      <c r="H85" s="455">
        <v>3.1876160467221082E-2</v>
      </c>
      <c r="I85" s="455">
        <v>0</v>
      </c>
      <c r="J85" s="371"/>
      <c r="N85" s="533">
        <v>19.972602739726028</v>
      </c>
      <c r="O85" s="534"/>
      <c r="P85" s="455"/>
      <c r="Q85" s="455"/>
      <c r="R85" s="455"/>
      <c r="S85" s="455"/>
      <c r="T85" s="455"/>
      <c r="U85" s="455">
        <v>1.4903197623172604E-2</v>
      </c>
      <c r="V85" s="455">
        <v>0</v>
      </c>
      <c r="W85" s="371"/>
      <c r="AA85" s="533">
        <v>19.972602739726028</v>
      </c>
      <c r="AB85" s="534"/>
      <c r="AC85" s="455"/>
      <c r="AD85" s="455"/>
      <c r="AE85" s="455"/>
      <c r="AF85" s="455"/>
      <c r="AG85" s="455"/>
      <c r="AH85" s="455">
        <v>1.3987503329740747E-2</v>
      </c>
      <c r="AI85" s="455">
        <v>0</v>
      </c>
      <c r="AJ85" s="371"/>
      <c r="AN85" s="533">
        <v>19.972602739726028</v>
      </c>
      <c r="AO85" s="534"/>
      <c r="AP85" s="455">
        <v>6.3399999999999998E-2</v>
      </c>
      <c r="AQ85" s="455">
        <v>1.17E-2</v>
      </c>
      <c r="AR85" s="455">
        <v>2.58E-2</v>
      </c>
      <c r="AS85" s="455"/>
      <c r="AT85" s="455">
        <v>4.2500000000000003E-2</v>
      </c>
      <c r="AU85" s="654">
        <v>8.3000000000000001E-3</v>
      </c>
      <c r="AV85" s="455">
        <v>0</v>
      </c>
      <c r="AW85" s="371"/>
      <c r="BA85" s="533">
        <v>19.972602739726028</v>
      </c>
      <c r="BB85" s="534"/>
      <c r="BC85" s="455"/>
      <c r="BD85" s="455"/>
      <c r="BE85" s="455"/>
      <c r="BF85" s="455"/>
      <c r="BG85" s="455"/>
      <c r="BH85" s="782">
        <v>1.1974738617024361E-2</v>
      </c>
      <c r="BI85" s="455">
        <v>0</v>
      </c>
      <c r="BJ85" s="371"/>
    </row>
    <row r="86" spans="1:62">
      <c r="A86" s="533">
        <v>20.219178082191782</v>
      </c>
      <c r="B86" s="534"/>
      <c r="C86" s="455"/>
      <c r="D86" s="455"/>
      <c r="E86" s="455"/>
      <c r="F86" s="455"/>
      <c r="G86" s="455"/>
      <c r="H86" s="455">
        <v>3.1942085262794295E-2</v>
      </c>
      <c r="I86" s="455">
        <v>0</v>
      </c>
      <c r="J86" s="371"/>
      <c r="N86" s="533">
        <v>20.219178082191782</v>
      </c>
      <c r="O86" s="534"/>
      <c r="P86" s="455"/>
      <c r="Q86" s="455"/>
      <c r="R86" s="455"/>
      <c r="S86" s="455"/>
      <c r="T86" s="455"/>
      <c r="U86" s="455">
        <v>1.481234399540865E-2</v>
      </c>
      <c r="V86" s="455">
        <v>0</v>
      </c>
      <c r="W86" s="371"/>
      <c r="AA86" s="533">
        <v>20.219178082191782</v>
      </c>
      <c r="AB86" s="534"/>
      <c r="AC86" s="455"/>
      <c r="AD86" s="455"/>
      <c r="AE86" s="455"/>
      <c r="AF86" s="455"/>
      <c r="AG86" s="455"/>
      <c r="AH86" s="455">
        <v>1.381830247737148E-2</v>
      </c>
      <c r="AI86" s="455">
        <v>0</v>
      </c>
      <c r="AJ86" s="371"/>
      <c r="AN86" s="533">
        <v>20.219178082191782</v>
      </c>
      <c r="AO86" s="534"/>
      <c r="AP86" s="455">
        <v>6.3299999999999995E-2</v>
      </c>
      <c r="AQ86" s="455">
        <v>1.17E-2</v>
      </c>
      <c r="AR86" s="455">
        <v>2.58E-2</v>
      </c>
      <c r="AS86" s="455"/>
      <c r="AT86" s="455">
        <v>4.24E-2</v>
      </c>
      <c r="AU86" s="654">
        <v>8.2000000000000007E-3</v>
      </c>
      <c r="AV86" s="455">
        <v>0</v>
      </c>
      <c r="AW86" s="371"/>
      <c r="BA86" s="533">
        <v>20.219178082191782</v>
      </c>
      <c r="BB86" s="534"/>
      <c r="BC86" s="455"/>
      <c r="BD86" s="455"/>
      <c r="BE86" s="455"/>
      <c r="BF86" s="455"/>
      <c r="BG86" s="455"/>
      <c r="BH86" s="782">
        <v>1.1946155870081743E-2</v>
      </c>
      <c r="BI86" s="455">
        <v>0</v>
      </c>
      <c r="BJ86" s="371"/>
    </row>
    <row r="87" spans="1:62">
      <c r="A87" s="533">
        <v>20.465753424657535</v>
      </c>
      <c r="B87" s="534"/>
      <c r="C87" s="455"/>
      <c r="D87" s="455"/>
      <c r="E87" s="455"/>
      <c r="F87" s="455"/>
      <c r="G87" s="455"/>
      <c r="H87" s="455">
        <v>3.201024726374091E-2</v>
      </c>
      <c r="I87" s="455">
        <v>0</v>
      </c>
      <c r="J87" s="371"/>
      <c r="N87" s="533">
        <v>20.465753424657535</v>
      </c>
      <c r="O87" s="534"/>
      <c r="P87" s="455"/>
      <c r="Q87" s="455"/>
      <c r="R87" s="455"/>
      <c r="S87" s="455"/>
      <c r="T87" s="455"/>
      <c r="U87" s="455">
        <v>1.4722824499333376E-2</v>
      </c>
      <c r="V87" s="455">
        <v>0</v>
      </c>
      <c r="W87" s="371"/>
      <c r="AA87" s="533">
        <v>20.465753424657535</v>
      </c>
      <c r="AB87" s="534"/>
      <c r="AC87" s="455"/>
      <c r="AD87" s="455"/>
      <c r="AE87" s="455"/>
      <c r="AF87" s="455"/>
      <c r="AG87" s="455"/>
      <c r="AH87" s="455">
        <v>1.364594025340149E-2</v>
      </c>
      <c r="AI87" s="455">
        <v>0</v>
      </c>
      <c r="AJ87" s="371"/>
      <c r="AN87" s="533">
        <v>20.465753424657535</v>
      </c>
      <c r="AO87" s="534"/>
      <c r="AP87" s="455">
        <v>6.3200000000000006E-2</v>
      </c>
      <c r="AQ87" s="455">
        <v>1.17E-2</v>
      </c>
      <c r="AR87" s="455">
        <v>2.58E-2</v>
      </c>
      <c r="AS87" s="455"/>
      <c r="AT87" s="455">
        <v>4.2299999999999997E-2</v>
      </c>
      <c r="AU87" s="654">
        <v>8.0999999999999996E-3</v>
      </c>
      <c r="AV87" s="455">
        <v>0</v>
      </c>
      <c r="AW87" s="371"/>
      <c r="BA87" s="533">
        <v>20.465753424657535</v>
      </c>
      <c r="BB87" s="534"/>
      <c r="BC87" s="455"/>
      <c r="BD87" s="455"/>
      <c r="BE87" s="455"/>
      <c r="BF87" s="455"/>
      <c r="BG87" s="455"/>
      <c r="BH87" s="782">
        <v>1.191558610448018E-2</v>
      </c>
      <c r="BI87" s="455">
        <v>0</v>
      </c>
      <c r="BJ87" s="371"/>
    </row>
    <row r="88" spans="1:62">
      <c r="A88" s="533">
        <v>20.712328767123289</v>
      </c>
      <c r="B88" s="534"/>
      <c r="C88" s="455"/>
      <c r="D88" s="455"/>
      <c r="E88" s="455"/>
      <c r="F88" s="455"/>
      <c r="G88" s="455"/>
      <c r="H88" s="455">
        <v>3.2080593355321652E-2</v>
      </c>
      <c r="I88" s="455">
        <v>0</v>
      </c>
      <c r="J88" s="371"/>
      <c r="N88" s="533">
        <v>20.712328767123289</v>
      </c>
      <c r="O88" s="534"/>
      <c r="P88" s="455"/>
      <c r="Q88" s="455"/>
      <c r="R88" s="455"/>
      <c r="S88" s="455"/>
      <c r="T88" s="455"/>
      <c r="U88" s="455">
        <v>1.4634660280682388E-2</v>
      </c>
      <c r="V88" s="455">
        <v>0</v>
      </c>
      <c r="W88" s="371"/>
      <c r="AA88" s="533">
        <v>20.712328767123289</v>
      </c>
      <c r="AB88" s="534"/>
      <c r="AC88" s="455"/>
      <c r="AD88" s="455"/>
      <c r="AE88" s="455"/>
      <c r="AF88" s="455"/>
      <c r="AG88" s="455"/>
      <c r="AH88" s="455">
        <v>1.3470519241488121E-2</v>
      </c>
      <c r="AI88" s="455">
        <v>0</v>
      </c>
      <c r="AJ88" s="371"/>
      <c r="AN88" s="533">
        <v>20.712328767123289</v>
      </c>
      <c r="AO88" s="534"/>
      <c r="AP88" s="455">
        <v>6.3E-2</v>
      </c>
      <c r="AQ88" s="455">
        <v>1.17E-2</v>
      </c>
      <c r="AR88" s="455">
        <v>2.58E-2</v>
      </c>
      <c r="AS88" s="455"/>
      <c r="AT88" s="455">
        <v>4.2200000000000001E-2</v>
      </c>
      <c r="AU88" s="654">
        <v>7.9000000000000008E-3</v>
      </c>
      <c r="AV88" s="455">
        <v>0</v>
      </c>
      <c r="AW88" s="371"/>
      <c r="BA88" s="533">
        <v>20.712328767123289</v>
      </c>
      <c r="BB88" s="534"/>
      <c r="BC88" s="455"/>
      <c r="BD88" s="455"/>
      <c r="BE88" s="455"/>
      <c r="BF88" s="455"/>
      <c r="BG88" s="455"/>
      <c r="BH88" s="782">
        <v>1.1883140362722644E-2</v>
      </c>
      <c r="BI88" s="455">
        <v>0</v>
      </c>
      <c r="BJ88" s="371"/>
    </row>
    <row r="89" spans="1:62">
      <c r="A89" s="533">
        <v>20.958904109589042</v>
      </c>
      <c r="B89" s="534"/>
      <c r="C89" s="455"/>
      <c r="D89" s="455"/>
      <c r="E89" s="455"/>
      <c r="F89" s="455"/>
      <c r="G89" s="455"/>
      <c r="H89" s="455">
        <v>3.2153068605016877E-2</v>
      </c>
      <c r="I89" s="455">
        <v>0</v>
      </c>
      <c r="J89" s="371"/>
      <c r="N89" s="533">
        <v>20.958904109589042</v>
      </c>
      <c r="O89" s="534"/>
      <c r="P89" s="455"/>
      <c r="Q89" s="455"/>
      <c r="R89" s="455"/>
      <c r="S89" s="455"/>
      <c r="T89" s="455"/>
      <c r="U89" s="455">
        <v>1.4547873447821491E-2</v>
      </c>
      <c r="V89" s="455">
        <v>0</v>
      </c>
      <c r="W89" s="371"/>
      <c r="AA89" s="533">
        <v>20.958904109589042</v>
      </c>
      <c r="AB89" s="534"/>
      <c r="AC89" s="455"/>
      <c r="AD89" s="455"/>
      <c r="AE89" s="455"/>
      <c r="AF89" s="455"/>
      <c r="AG89" s="455"/>
      <c r="AH89" s="455">
        <v>1.3292140001222252E-2</v>
      </c>
      <c r="AI89" s="455">
        <v>0</v>
      </c>
      <c r="AJ89" s="371"/>
      <c r="AN89" s="533">
        <v>20.958904109589042</v>
      </c>
      <c r="AO89" s="534"/>
      <c r="AP89" s="455">
        <v>6.2899999999999998E-2</v>
      </c>
      <c r="AQ89" s="455">
        <v>1.17E-2</v>
      </c>
      <c r="AR89" s="455">
        <v>2.5899999999999999E-2</v>
      </c>
      <c r="AS89" s="455"/>
      <c r="AT89" s="455">
        <v>4.2200000000000001E-2</v>
      </c>
      <c r="AU89" s="654">
        <v>7.7999999999999996E-3</v>
      </c>
      <c r="AV89" s="455">
        <v>0</v>
      </c>
      <c r="AW89" s="371"/>
      <c r="BA89" s="533">
        <v>20.958904109589042</v>
      </c>
      <c r="BB89" s="534"/>
      <c r="BC89" s="455"/>
      <c r="BD89" s="455"/>
      <c r="BE89" s="455"/>
      <c r="BF89" s="455"/>
      <c r="BG89" s="455"/>
      <c r="BH89" s="782">
        <v>1.1848924966183061E-2</v>
      </c>
      <c r="BI89" s="455">
        <v>0</v>
      </c>
      <c r="BJ89" s="371"/>
    </row>
    <row r="90" spans="1:62">
      <c r="A90" s="533">
        <v>21.205479452054796</v>
      </c>
      <c r="B90" s="534"/>
      <c r="C90" s="455"/>
      <c r="D90" s="455"/>
      <c r="E90" s="455"/>
      <c r="F90" s="455"/>
      <c r="G90" s="455"/>
      <c r="H90" s="455">
        <v>3.222761918505257E-2</v>
      </c>
      <c r="I90" s="455">
        <v>0</v>
      </c>
      <c r="J90" s="371"/>
      <c r="N90" s="533">
        <v>21.205479452054796</v>
      </c>
      <c r="O90" s="534"/>
      <c r="P90" s="455"/>
      <c r="Q90" s="455"/>
      <c r="R90" s="455"/>
      <c r="S90" s="455"/>
      <c r="T90" s="455"/>
      <c r="U90" s="455">
        <v>1.4462481484666334E-2</v>
      </c>
      <c r="V90" s="455">
        <v>0</v>
      </c>
      <c r="W90" s="371"/>
      <c r="AA90" s="533">
        <v>21.205479452054796</v>
      </c>
      <c r="AB90" s="534"/>
      <c r="AC90" s="455"/>
      <c r="AD90" s="455"/>
      <c r="AE90" s="455"/>
      <c r="AF90" s="455"/>
      <c r="AG90" s="455"/>
      <c r="AH90" s="455">
        <v>1.3110900170770767E-2</v>
      </c>
      <c r="AI90" s="455">
        <v>0</v>
      </c>
      <c r="AJ90" s="371"/>
      <c r="AN90" s="533">
        <v>21.205479452054796</v>
      </c>
      <c r="AO90" s="534"/>
      <c r="AP90" s="455">
        <v>6.2799999999999995E-2</v>
      </c>
      <c r="AQ90" s="455">
        <v>1.1599999999999999E-2</v>
      </c>
      <c r="AR90" s="455">
        <v>2.5899999999999999E-2</v>
      </c>
      <c r="AS90" s="455"/>
      <c r="AT90" s="455">
        <v>4.2099999999999999E-2</v>
      </c>
      <c r="AU90" s="654">
        <v>7.6E-3</v>
      </c>
      <c r="AV90" s="455">
        <v>0</v>
      </c>
      <c r="AW90" s="371"/>
      <c r="BA90" s="533">
        <v>21.205479452054796</v>
      </c>
      <c r="BB90" s="534"/>
      <c r="BC90" s="455"/>
      <c r="BD90" s="455"/>
      <c r="BE90" s="455"/>
      <c r="BF90" s="455"/>
      <c r="BG90" s="455"/>
      <c r="BH90" s="782">
        <v>1.181304153094298E-2</v>
      </c>
      <c r="BI90" s="455">
        <v>0</v>
      </c>
      <c r="BJ90" s="371"/>
    </row>
    <row r="91" spans="1:62">
      <c r="A91" s="533">
        <v>21.452054794520549</v>
      </c>
      <c r="B91" s="534"/>
      <c r="C91" s="455"/>
      <c r="D91" s="455"/>
      <c r="E91" s="455"/>
      <c r="F91" s="455"/>
      <c r="G91" s="455"/>
      <c r="H91" s="455">
        <v>3.2304190314877967E-2</v>
      </c>
      <c r="I91" s="455">
        <v>0</v>
      </c>
      <c r="J91" s="371"/>
      <c r="N91" s="533">
        <v>21.452054794520549</v>
      </c>
      <c r="O91" s="534"/>
      <c r="P91" s="455"/>
      <c r="Q91" s="455"/>
      <c r="R91" s="455"/>
      <c r="S91" s="455"/>
      <c r="T91" s="455"/>
      <c r="U91" s="455">
        <v>1.4378500948261763E-2</v>
      </c>
      <c r="V91" s="455">
        <v>0</v>
      </c>
      <c r="W91" s="371"/>
      <c r="AA91" s="533">
        <v>21.452054794520549</v>
      </c>
      <c r="AB91" s="534"/>
      <c r="AC91" s="455"/>
      <c r="AD91" s="455"/>
      <c r="AE91" s="455"/>
      <c r="AF91" s="455"/>
      <c r="AG91" s="455"/>
      <c r="AH91" s="455">
        <v>1.292689536320224E-2</v>
      </c>
      <c r="AI91" s="455">
        <v>0</v>
      </c>
      <c r="AJ91" s="371"/>
      <c r="AN91" s="533">
        <v>21.452054794520549</v>
      </c>
      <c r="AO91" s="534"/>
      <c r="AP91" s="455">
        <v>6.2700000000000006E-2</v>
      </c>
      <c r="AQ91" s="455">
        <v>1.1599999999999999E-2</v>
      </c>
      <c r="AR91" s="455">
        <v>2.5899999999999999E-2</v>
      </c>
      <c r="AS91" s="455"/>
      <c r="AT91" s="455">
        <v>4.2000000000000003E-2</v>
      </c>
      <c r="AU91" s="654">
        <v>7.4999999999999997E-3</v>
      </c>
      <c r="AV91" s="455">
        <v>0</v>
      </c>
      <c r="AW91" s="371"/>
      <c r="BA91" s="533">
        <v>21.452054794520549</v>
      </c>
      <c r="BB91" s="534"/>
      <c r="BC91" s="455"/>
      <c r="BD91" s="455"/>
      <c r="BE91" s="455"/>
      <c r="BF91" s="455"/>
      <c r="BG91" s="455"/>
      <c r="BH91" s="782">
        <v>1.1775587880350935E-2</v>
      </c>
      <c r="BI91" s="455">
        <v>0</v>
      </c>
      <c r="BJ91" s="371"/>
    </row>
    <row r="92" spans="1:62">
      <c r="A92" s="533">
        <v>21.698630136986303</v>
      </c>
      <c r="B92" s="534"/>
      <c r="C92" s="455"/>
      <c r="D92" s="455"/>
      <c r="E92" s="455"/>
      <c r="F92" s="455"/>
      <c r="G92" s="455"/>
      <c r="H92" s="455">
        <v>3.2382729308178426E-2</v>
      </c>
      <c r="I92" s="455">
        <v>0</v>
      </c>
      <c r="J92" s="371"/>
      <c r="N92" s="533">
        <v>21.698630136986303</v>
      </c>
      <c r="O92" s="534"/>
      <c r="P92" s="455"/>
      <c r="Q92" s="455"/>
      <c r="R92" s="455"/>
      <c r="S92" s="455"/>
      <c r="T92" s="455"/>
      <c r="U92" s="455">
        <v>1.4295946544922611E-2</v>
      </c>
      <c r="V92" s="455">
        <v>0</v>
      </c>
      <c r="W92" s="371"/>
      <c r="AA92" s="533">
        <v>21.698630136986303</v>
      </c>
      <c r="AB92" s="534"/>
      <c r="AC92" s="455"/>
      <c r="AD92" s="455"/>
      <c r="AE92" s="455"/>
      <c r="AF92" s="455"/>
      <c r="AG92" s="455"/>
      <c r="AH92" s="455">
        <v>1.2740218244520429E-2</v>
      </c>
      <c r="AI92" s="455">
        <v>0</v>
      </c>
      <c r="AJ92" s="371"/>
      <c r="AN92" s="533">
        <v>21.698630136986303</v>
      </c>
      <c r="AO92" s="534"/>
      <c r="AP92" s="455">
        <v>6.2600000000000003E-2</v>
      </c>
      <c r="AQ92" s="455">
        <v>1.1599999999999999E-2</v>
      </c>
      <c r="AR92" s="455">
        <v>2.5899999999999999E-2</v>
      </c>
      <c r="AS92" s="455"/>
      <c r="AT92" s="455">
        <v>4.19E-2</v>
      </c>
      <c r="AU92" s="654">
        <v>7.4000000000000003E-3</v>
      </c>
      <c r="AV92" s="455">
        <v>0</v>
      </c>
      <c r="AW92" s="371"/>
      <c r="BA92" s="533">
        <v>21.698630136986303</v>
      </c>
      <c r="BB92" s="534"/>
      <c r="BC92" s="455"/>
      <c r="BD92" s="455"/>
      <c r="BE92" s="455"/>
      <c r="BF92" s="455"/>
      <c r="BG92" s="455"/>
      <c r="BH92" s="782">
        <v>1.1736656165854065E-2</v>
      </c>
      <c r="BI92" s="455">
        <v>0</v>
      </c>
      <c r="BJ92" s="371"/>
    </row>
    <row r="93" spans="1:62">
      <c r="A93" s="533">
        <v>21.945205479452056</v>
      </c>
      <c r="B93" s="534"/>
      <c r="C93" s="455"/>
      <c r="D93" s="455"/>
      <c r="E93" s="455"/>
      <c r="F93" s="455"/>
      <c r="G93" s="455"/>
      <c r="H93" s="455">
        <v>3.2463179655534358E-2</v>
      </c>
      <c r="I93" s="455">
        <v>0</v>
      </c>
      <c r="J93" s="371"/>
      <c r="N93" s="533">
        <v>21.945205479452056</v>
      </c>
      <c r="O93" s="534"/>
      <c r="P93" s="455"/>
      <c r="Q93" s="455"/>
      <c r="R93" s="455"/>
      <c r="S93" s="455"/>
      <c r="T93" s="455"/>
      <c r="U93" s="455">
        <v>1.4214828317314021E-2</v>
      </c>
      <c r="V93" s="455">
        <v>0</v>
      </c>
      <c r="W93" s="371"/>
      <c r="AA93" s="533">
        <v>21.945205479452056</v>
      </c>
      <c r="AB93" s="534"/>
      <c r="AC93" s="455"/>
      <c r="AD93" s="455"/>
      <c r="AE93" s="455"/>
      <c r="AF93" s="455"/>
      <c r="AG93" s="455"/>
      <c r="AH93" s="455">
        <v>1.2550957563485898E-2</v>
      </c>
      <c r="AI93" s="455">
        <v>0</v>
      </c>
      <c r="AJ93" s="371"/>
      <c r="AN93" s="533">
        <v>21.945205479452056</v>
      </c>
      <c r="AO93" s="534"/>
      <c r="AP93" s="455">
        <v>6.2399999999999997E-2</v>
      </c>
      <c r="AQ93" s="455">
        <v>1.1599999999999999E-2</v>
      </c>
      <c r="AR93" s="455">
        <v>2.5899999999999999E-2</v>
      </c>
      <c r="AS93" s="455"/>
      <c r="AT93" s="455">
        <v>4.1799999999999997E-2</v>
      </c>
      <c r="AU93" s="654">
        <v>7.1999999999999998E-3</v>
      </c>
      <c r="AV93" s="455">
        <v>0</v>
      </c>
      <c r="AW93" s="371"/>
      <c r="BA93" s="533">
        <v>21.945205479452056</v>
      </c>
      <c r="BB93" s="534"/>
      <c r="BC93" s="455"/>
      <c r="BD93" s="455"/>
      <c r="BE93" s="455"/>
      <c r="BF93" s="455"/>
      <c r="BG93" s="455"/>
      <c r="BH93" s="782">
        <v>1.1696336681787711E-2</v>
      </c>
      <c r="BI93" s="455">
        <v>0</v>
      </c>
      <c r="BJ93" s="371"/>
    </row>
    <row r="94" spans="1:62">
      <c r="A94" s="533">
        <v>22.19178082191781</v>
      </c>
      <c r="B94" s="534"/>
      <c r="C94" s="455"/>
      <c r="D94" s="455"/>
      <c r="E94" s="455"/>
      <c r="F94" s="455"/>
      <c r="G94" s="455"/>
      <c r="H94" s="455">
        <v>3.2545491730206377E-2</v>
      </c>
      <c r="I94" s="455">
        <v>0</v>
      </c>
      <c r="J94" s="371"/>
      <c r="N94" s="533">
        <v>22.19178082191781</v>
      </c>
      <c r="O94" s="534"/>
      <c r="P94" s="455"/>
      <c r="Q94" s="455"/>
      <c r="R94" s="455"/>
      <c r="S94" s="455"/>
      <c r="T94" s="455"/>
      <c r="U94" s="455">
        <v>1.4135159200117764E-2</v>
      </c>
      <c r="V94" s="455">
        <v>0</v>
      </c>
      <c r="W94" s="371"/>
      <c r="AA94" s="533">
        <v>22.19178082191781</v>
      </c>
      <c r="AB94" s="534"/>
      <c r="AC94" s="455"/>
      <c r="AD94" s="455"/>
      <c r="AE94" s="455"/>
      <c r="AF94" s="455"/>
      <c r="AG94" s="455"/>
      <c r="AH94" s="455">
        <v>1.2359203893083537E-2</v>
      </c>
      <c r="AI94" s="455">
        <v>0</v>
      </c>
      <c r="AJ94" s="371"/>
      <c r="AN94" s="533">
        <v>22.19178082191781</v>
      </c>
      <c r="AO94" s="534"/>
      <c r="AP94" s="455">
        <v>6.2300000000000001E-2</v>
      </c>
      <c r="AQ94" s="455">
        <v>1.15E-2</v>
      </c>
      <c r="AR94" s="455">
        <v>2.5899999999999999E-2</v>
      </c>
      <c r="AS94" s="455"/>
      <c r="AT94" s="455">
        <v>4.1799999999999997E-2</v>
      </c>
      <c r="AU94" s="654">
        <v>7.1000000000000004E-3</v>
      </c>
      <c r="AV94" s="455">
        <v>0</v>
      </c>
      <c r="AW94" s="371"/>
      <c r="BA94" s="533">
        <v>22.19178082191781</v>
      </c>
      <c r="BB94" s="534"/>
      <c r="BC94" s="455"/>
      <c r="BD94" s="455"/>
      <c r="BE94" s="455"/>
      <c r="BF94" s="455"/>
      <c r="BG94" s="455"/>
      <c r="BH94" s="782">
        <v>1.1654714068488392E-2</v>
      </c>
      <c r="BI94" s="455">
        <v>0</v>
      </c>
      <c r="BJ94" s="371"/>
    </row>
    <row r="95" spans="1:62">
      <c r="A95" s="533">
        <v>22.438356164383563</v>
      </c>
      <c r="B95" s="534"/>
      <c r="C95" s="455"/>
      <c r="D95" s="455"/>
      <c r="E95" s="455"/>
      <c r="F95" s="455"/>
      <c r="G95" s="455"/>
      <c r="H95" s="455">
        <v>3.2629610146601484E-2</v>
      </c>
      <c r="I95" s="455">
        <v>0</v>
      </c>
      <c r="J95" s="371"/>
      <c r="N95" s="533">
        <v>22.438356164383563</v>
      </c>
      <c r="O95" s="534"/>
      <c r="P95" s="455"/>
      <c r="Q95" s="455"/>
      <c r="R95" s="455"/>
      <c r="S95" s="455"/>
      <c r="T95" s="455"/>
      <c r="U95" s="455">
        <v>1.4056944584670328E-2</v>
      </c>
      <c r="V95" s="455">
        <v>0</v>
      </c>
      <c r="W95" s="371"/>
      <c r="AA95" s="533">
        <v>22.438356164383563</v>
      </c>
      <c r="AB95" s="534"/>
      <c r="AC95" s="455"/>
      <c r="AD95" s="455"/>
      <c r="AE95" s="455"/>
      <c r="AF95" s="455"/>
      <c r="AG95" s="455"/>
      <c r="AH95" s="455">
        <v>1.2165041037034863E-2</v>
      </c>
      <c r="AI95" s="455">
        <v>0</v>
      </c>
      <c r="AJ95" s="371"/>
      <c r="AN95" s="533">
        <v>22.438356164383563</v>
      </c>
      <c r="AO95" s="534"/>
      <c r="AP95" s="455">
        <v>6.2100000000000002E-2</v>
      </c>
      <c r="AQ95" s="455">
        <v>1.15E-2</v>
      </c>
      <c r="AR95" s="455">
        <v>2.5899999999999999E-2</v>
      </c>
      <c r="AS95" s="455"/>
      <c r="AT95" s="455">
        <v>4.1700000000000001E-2</v>
      </c>
      <c r="AU95" s="654">
        <v>6.8999999999999999E-3</v>
      </c>
      <c r="AV95" s="455">
        <v>0</v>
      </c>
      <c r="AW95" s="371"/>
      <c r="BA95" s="533">
        <v>22.438356164383563</v>
      </c>
      <c r="BB95" s="534"/>
      <c r="BC95" s="455"/>
      <c r="BD95" s="455"/>
      <c r="BE95" s="455"/>
      <c r="BF95" s="455"/>
      <c r="BG95" s="455"/>
      <c r="BH95" s="782">
        <v>1.1611870118592993E-2</v>
      </c>
      <c r="BI95" s="455">
        <v>0</v>
      </c>
      <c r="BJ95" s="371"/>
    </row>
    <row r="96" spans="1:62">
      <c r="A96" s="533">
        <v>22.684931506849313</v>
      </c>
      <c r="B96" s="534"/>
      <c r="C96" s="455"/>
      <c r="D96" s="455"/>
      <c r="E96" s="455"/>
      <c r="F96" s="455"/>
      <c r="G96" s="455"/>
      <c r="H96" s="455">
        <v>3.2715485463771232E-2</v>
      </c>
      <c r="I96" s="455">
        <v>0</v>
      </c>
      <c r="J96" s="371"/>
      <c r="N96" s="533">
        <v>22.684931506849313</v>
      </c>
      <c r="O96" s="534"/>
      <c r="P96" s="455"/>
      <c r="Q96" s="455"/>
      <c r="R96" s="455"/>
      <c r="S96" s="455"/>
      <c r="T96" s="455"/>
      <c r="U96" s="455">
        <v>1.3980194642449373E-2</v>
      </c>
      <c r="V96" s="455">
        <v>0</v>
      </c>
      <c r="W96" s="371"/>
      <c r="AA96" s="533">
        <v>22.684931506849313</v>
      </c>
      <c r="AB96" s="534"/>
      <c r="AC96" s="455"/>
      <c r="AD96" s="455"/>
      <c r="AE96" s="455"/>
      <c r="AF96" s="455"/>
      <c r="AG96" s="455"/>
      <c r="AH96" s="455">
        <v>1.1968553641082291E-2</v>
      </c>
      <c r="AI96" s="455">
        <v>0</v>
      </c>
      <c r="AJ96" s="371"/>
      <c r="AN96" s="533">
        <v>22.684931506849313</v>
      </c>
      <c r="AO96" s="534"/>
      <c r="AP96" s="455">
        <v>6.2E-2</v>
      </c>
      <c r="AQ96" s="455">
        <v>1.15E-2</v>
      </c>
      <c r="AR96" s="455">
        <v>2.5899999999999999E-2</v>
      </c>
      <c r="AS96" s="455"/>
      <c r="AT96" s="455">
        <v>4.1599999999999998E-2</v>
      </c>
      <c r="AU96" s="654">
        <v>6.7999999999999996E-3</v>
      </c>
      <c r="AV96" s="455">
        <v>0</v>
      </c>
      <c r="AW96" s="371"/>
      <c r="BA96" s="533">
        <v>22.684931506849313</v>
      </c>
      <c r="BB96" s="534"/>
      <c r="BC96" s="455"/>
      <c r="BD96" s="455"/>
      <c r="BE96" s="455"/>
      <c r="BF96" s="455"/>
      <c r="BG96" s="455"/>
      <c r="BH96" s="782">
        <v>1.1567885739822037E-2</v>
      </c>
      <c r="BI96" s="455">
        <v>0</v>
      </c>
      <c r="BJ96" s="371"/>
    </row>
    <row r="97" spans="1:62">
      <c r="A97" s="533">
        <v>22.931506849315067</v>
      </c>
      <c r="B97" s="534"/>
      <c r="C97" s="455"/>
      <c r="D97" s="455"/>
      <c r="E97" s="455"/>
      <c r="F97" s="455"/>
      <c r="G97" s="455"/>
      <c r="H97" s="455">
        <v>3.280306434392255E-2</v>
      </c>
      <c r="I97" s="455">
        <v>0</v>
      </c>
      <c r="J97" s="371"/>
      <c r="N97" s="533">
        <v>22.931506849315067</v>
      </c>
      <c r="O97" s="534"/>
      <c r="P97" s="455"/>
      <c r="Q97" s="455"/>
      <c r="R97" s="455"/>
      <c r="S97" s="455"/>
      <c r="T97" s="455"/>
      <c r="U97" s="455">
        <v>1.3904913930282259E-2</v>
      </c>
      <c r="V97" s="455">
        <v>0</v>
      </c>
      <c r="W97" s="371"/>
      <c r="AA97" s="533">
        <v>22.931506849315067</v>
      </c>
      <c r="AB97" s="534"/>
      <c r="AC97" s="455"/>
      <c r="AD97" s="455"/>
      <c r="AE97" s="455"/>
      <c r="AF97" s="455"/>
      <c r="AG97" s="455"/>
      <c r="AH97" s="455">
        <v>1.1769822471463742E-2</v>
      </c>
      <c r="AI97" s="455">
        <v>0</v>
      </c>
      <c r="AJ97" s="371"/>
      <c r="AN97" s="533">
        <v>22.931506849315067</v>
      </c>
      <c r="AO97" s="534"/>
      <c r="AP97" s="455">
        <v>6.1899999999999997E-2</v>
      </c>
      <c r="AQ97" s="455">
        <v>1.14E-2</v>
      </c>
      <c r="AR97" s="455">
        <v>2.5899999999999999E-2</v>
      </c>
      <c r="AS97" s="455"/>
      <c r="AT97" s="455">
        <v>4.1599999999999998E-2</v>
      </c>
      <c r="AU97" s="654">
        <v>6.6E-3</v>
      </c>
      <c r="AV97" s="455">
        <v>0</v>
      </c>
      <c r="AW97" s="371"/>
      <c r="BA97" s="533">
        <v>22.931506849315067</v>
      </c>
      <c r="BB97" s="534"/>
      <c r="BC97" s="455"/>
      <c r="BD97" s="455"/>
      <c r="BE97" s="455"/>
      <c r="BF97" s="455"/>
      <c r="BG97" s="455"/>
      <c r="BH97" s="782">
        <v>1.1522834256322056E-2</v>
      </c>
      <c r="BI97" s="455">
        <v>0</v>
      </c>
      <c r="BJ97" s="371"/>
    </row>
    <row r="98" spans="1:62">
      <c r="A98" s="533">
        <v>23.17808219178082</v>
      </c>
      <c r="B98" s="534"/>
      <c r="C98" s="455"/>
      <c r="D98" s="455"/>
      <c r="E98" s="455"/>
      <c r="F98" s="455"/>
      <c r="G98" s="455"/>
      <c r="H98" s="455">
        <v>3.2892294532687716E-2</v>
      </c>
      <c r="I98" s="455">
        <v>0</v>
      </c>
      <c r="J98" s="371"/>
      <c r="N98" s="533">
        <v>23.17808219178082</v>
      </c>
      <c r="O98" s="534"/>
      <c r="P98" s="455"/>
      <c r="Q98" s="455"/>
      <c r="R98" s="455"/>
      <c r="S98" s="455"/>
      <c r="T98" s="455"/>
      <c r="U98" s="455">
        <v>1.3831107029828926E-2</v>
      </c>
      <c r="V98" s="455">
        <v>0</v>
      </c>
      <c r="W98" s="371"/>
      <c r="AA98" s="533">
        <v>23.17808219178082</v>
      </c>
      <c r="AB98" s="534"/>
      <c r="AC98" s="455"/>
      <c r="AD98" s="455"/>
      <c r="AE98" s="455"/>
      <c r="AF98" s="455"/>
      <c r="AG98" s="455"/>
      <c r="AH98" s="455">
        <v>1.1568926275142166E-2</v>
      </c>
      <c r="AI98" s="455">
        <v>0</v>
      </c>
      <c r="AJ98" s="371"/>
      <c r="AN98" s="533">
        <v>23.17808219178082</v>
      </c>
      <c r="AO98" s="534"/>
      <c r="AP98" s="455">
        <v>6.1699999999999998E-2</v>
      </c>
      <c r="AQ98" s="455">
        <v>1.14E-2</v>
      </c>
      <c r="AR98" s="455">
        <v>2.5899999999999999E-2</v>
      </c>
      <c r="AS98" s="455"/>
      <c r="AT98" s="455">
        <v>4.1500000000000002E-2</v>
      </c>
      <c r="AU98" s="654">
        <v>6.4999999999999997E-3</v>
      </c>
      <c r="AV98" s="455">
        <v>0</v>
      </c>
      <c r="AW98" s="371"/>
      <c r="BA98" s="533">
        <v>23.17808219178082</v>
      </c>
      <c r="BB98" s="534"/>
      <c r="BC98" s="455"/>
      <c r="BD98" s="455"/>
      <c r="BE98" s="455"/>
      <c r="BF98" s="455"/>
      <c r="BG98" s="455"/>
      <c r="BH98" s="782">
        <v>1.147678620685233E-2</v>
      </c>
      <c r="BI98" s="455">
        <v>0</v>
      </c>
      <c r="BJ98" s="371"/>
    </row>
    <row r="99" spans="1:62">
      <c r="A99" s="533">
        <v>23.424657534246574</v>
      </c>
      <c r="B99" s="534"/>
      <c r="C99" s="455"/>
      <c r="D99" s="455"/>
      <c r="E99" s="455"/>
      <c r="F99" s="455"/>
      <c r="G99" s="455"/>
      <c r="H99" s="455">
        <v>3.2983126756443326E-2</v>
      </c>
      <c r="I99" s="455">
        <v>0</v>
      </c>
      <c r="J99" s="371"/>
      <c r="N99" s="533">
        <v>23.424657534246574</v>
      </c>
      <c r="O99" s="534"/>
      <c r="P99" s="455"/>
      <c r="Q99" s="455"/>
      <c r="R99" s="455"/>
      <c r="S99" s="455"/>
      <c r="T99" s="455"/>
      <c r="U99" s="455">
        <v>1.3758775747617857E-2</v>
      </c>
      <c r="V99" s="455">
        <v>0</v>
      </c>
      <c r="W99" s="371"/>
      <c r="AA99" s="533">
        <v>23.424657534246574</v>
      </c>
      <c r="AB99" s="534"/>
      <c r="AC99" s="455"/>
      <c r="AD99" s="455"/>
      <c r="AE99" s="455"/>
      <c r="AF99" s="455"/>
      <c r="AG99" s="455"/>
      <c r="AH99" s="455">
        <v>1.1365945607529682E-2</v>
      </c>
      <c r="AI99" s="455">
        <v>0</v>
      </c>
      <c r="AJ99" s="371"/>
      <c r="AN99" s="533">
        <v>23.424657534246574</v>
      </c>
      <c r="AO99" s="534"/>
      <c r="AP99" s="455">
        <v>6.1499999999999999E-2</v>
      </c>
      <c r="AQ99" s="455">
        <v>1.14E-2</v>
      </c>
      <c r="AR99" s="455">
        <v>2.5899999999999999E-2</v>
      </c>
      <c r="AS99" s="455"/>
      <c r="AT99" s="455">
        <v>4.1399999999999999E-2</v>
      </c>
      <c r="AU99" s="654">
        <v>6.4000000000000003E-3</v>
      </c>
      <c r="AV99" s="455">
        <v>0</v>
      </c>
      <c r="AW99" s="371"/>
      <c r="BA99" s="533">
        <v>23.424657534246574</v>
      </c>
      <c r="BB99" s="534"/>
      <c r="BC99" s="455"/>
      <c r="BD99" s="455"/>
      <c r="BE99" s="455"/>
      <c r="BF99" s="455"/>
      <c r="BG99" s="455"/>
      <c r="BH99" s="782">
        <v>1.1429813102137976E-2</v>
      </c>
      <c r="BI99" s="455">
        <v>0</v>
      </c>
      <c r="BJ99" s="371"/>
    </row>
    <row r="100" spans="1:62">
      <c r="A100" s="533">
        <v>23.671232876712327</v>
      </c>
      <c r="B100" s="534"/>
      <c r="C100" s="455"/>
      <c r="D100" s="455"/>
      <c r="E100" s="455"/>
      <c r="F100" s="455"/>
      <c r="G100" s="455"/>
      <c r="H100" s="455">
        <v>3.3075510796597651E-2</v>
      </c>
      <c r="I100" s="455">
        <v>0</v>
      </c>
      <c r="J100" s="371"/>
      <c r="N100" s="533">
        <v>23.671232876712327</v>
      </c>
      <c r="O100" s="534"/>
      <c r="P100" s="455"/>
      <c r="Q100" s="455"/>
      <c r="R100" s="455"/>
      <c r="S100" s="455"/>
      <c r="T100" s="455"/>
      <c r="U100" s="455">
        <v>1.3687921914432799E-2</v>
      </c>
      <c r="V100" s="455">
        <v>0</v>
      </c>
      <c r="W100" s="371"/>
      <c r="AA100" s="533">
        <v>23.671232876712327</v>
      </c>
      <c r="AB100" s="534"/>
      <c r="AC100" s="455"/>
      <c r="AD100" s="455"/>
      <c r="AE100" s="455"/>
      <c r="AF100" s="455"/>
      <c r="AG100" s="455"/>
      <c r="AH100" s="455">
        <v>1.1160953331524892E-2</v>
      </c>
      <c r="AI100" s="455">
        <v>0</v>
      </c>
      <c r="AJ100" s="371"/>
      <c r="AN100" s="533">
        <v>23.671232876712327</v>
      </c>
      <c r="AO100" s="534"/>
      <c r="AP100" s="455">
        <v>6.1400000000000003E-2</v>
      </c>
      <c r="AQ100" s="455">
        <v>1.1299999999999999E-2</v>
      </c>
      <c r="AR100" s="455">
        <v>2.5899999999999999E-2</v>
      </c>
      <c r="AS100" s="455"/>
      <c r="AT100" s="455">
        <v>4.1399999999999999E-2</v>
      </c>
      <c r="AU100" s="654">
        <v>6.1999999999999998E-3</v>
      </c>
      <c r="AV100" s="455">
        <v>0</v>
      </c>
      <c r="AW100" s="371"/>
      <c r="BA100" s="533">
        <v>23.671232876712327</v>
      </c>
      <c r="BB100" s="534"/>
      <c r="BC100" s="455"/>
      <c r="BD100" s="455"/>
      <c r="BE100" s="455"/>
      <c r="BF100" s="455"/>
      <c r="BG100" s="455"/>
      <c r="BH100" s="782">
        <v>1.1381979839379275E-2</v>
      </c>
      <c r="BI100" s="455">
        <v>0</v>
      </c>
      <c r="BJ100" s="371"/>
    </row>
    <row r="101" spans="1:62">
      <c r="A101" s="533">
        <v>23.917808219178081</v>
      </c>
      <c r="B101" s="534"/>
      <c r="C101" s="455"/>
      <c r="D101" s="455"/>
      <c r="E101" s="455"/>
      <c r="F101" s="455"/>
      <c r="G101" s="455"/>
      <c r="H101" s="455">
        <v>3.3169397449638538E-2</v>
      </c>
      <c r="I101" s="455">
        <v>0</v>
      </c>
      <c r="J101" s="371"/>
      <c r="N101" s="533">
        <v>23.917808219178081</v>
      </c>
      <c r="O101" s="534"/>
      <c r="P101" s="455"/>
      <c r="Q101" s="455"/>
      <c r="R101" s="455"/>
      <c r="S101" s="455"/>
      <c r="T101" s="455"/>
      <c r="U101" s="455">
        <v>1.3618545510054814E-2</v>
      </c>
      <c r="V101" s="455">
        <v>0</v>
      </c>
      <c r="W101" s="371"/>
      <c r="AA101" s="533">
        <v>23.917808219178081</v>
      </c>
      <c r="AB101" s="534"/>
      <c r="AC101" s="455"/>
      <c r="AD101" s="455"/>
      <c r="AE101" s="455"/>
      <c r="AF101" s="455"/>
      <c r="AG101" s="455"/>
      <c r="AH101" s="455">
        <v>1.0954025054168426E-2</v>
      </c>
      <c r="AI101" s="455">
        <v>0</v>
      </c>
      <c r="AJ101" s="371"/>
      <c r="AN101" s="533">
        <v>23.917808219178081</v>
      </c>
      <c r="AO101" s="534"/>
      <c r="AP101" s="455">
        <v>6.1199999999999997E-2</v>
      </c>
      <c r="AQ101" s="455">
        <v>1.1299999999999999E-2</v>
      </c>
      <c r="AR101" s="455">
        <v>2.5899999999999999E-2</v>
      </c>
      <c r="AS101" s="455"/>
      <c r="AT101" s="455">
        <v>4.1300000000000003E-2</v>
      </c>
      <c r="AU101" s="654">
        <v>6.1000000000000004E-3</v>
      </c>
      <c r="AV101" s="455">
        <v>0</v>
      </c>
      <c r="AW101" s="371"/>
      <c r="BA101" s="533">
        <v>23.917808219178081</v>
      </c>
      <c r="BB101" s="534"/>
      <c r="BC101" s="455"/>
      <c r="BD101" s="455"/>
      <c r="BE101" s="455"/>
      <c r="BF101" s="455"/>
      <c r="BG101" s="455"/>
      <c r="BH101" s="782">
        <v>1.1333348513953512E-2</v>
      </c>
      <c r="BI101" s="455">
        <v>0</v>
      </c>
      <c r="BJ101" s="371"/>
    </row>
    <row r="102" spans="1:62">
      <c r="A102" s="533">
        <v>24.164383561643834</v>
      </c>
      <c r="B102" s="534"/>
      <c r="C102" s="455"/>
      <c r="D102" s="455"/>
      <c r="E102" s="455"/>
      <c r="F102" s="455"/>
      <c r="G102" s="455"/>
      <c r="H102" s="455">
        <v>3.326473762456339E-2</v>
      </c>
      <c r="I102" s="455">
        <v>0</v>
      </c>
      <c r="J102" s="371"/>
      <c r="N102" s="533">
        <v>24.164383561643834</v>
      </c>
      <c r="O102" s="534"/>
      <c r="P102" s="455"/>
      <c r="Q102" s="455"/>
      <c r="R102" s="455"/>
      <c r="S102" s="455"/>
      <c r="T102" s="455"/>
      <c r="U102" s="455">
        <v>1.3550646550663625E-2</v>
      </c>
      <c r="V102" s="455">
        <v>0</v>
      </c>
      <c r="W102" s="371"/>
      <c r="AA102" s="533">
        <v>24.164383561643834</v>
      </c>
      <c r="AB102" s="534"/>
      <c r="AC102" s="455"/>
      <c r="AD102" s="455"/>
      <c r="AE102" s="455"/>
      <c r="AF102" s="455"/>
      <c r="AG102" s="455"/>
      <c r="AH102" s="455">
        <v>1.0745231531686272E-2</v>
      </c>
      <c r="AI102" s="455">
        <v>0</v>
      </c>
      <c r="AJ102" s="371"/>
      <c r="AN102" s="533">
        <v>24.164383561643834</v>
      </c>
      <c r="AO102" s="534"/>
      <c r="AP102" s="455">
        <v>6.1100000000000002E-2</v>
      </c>
      <c r="AQ102" s="455">
        <v>1.12E-2</v>
      </c>
      <c r="AR102" s="455">
        <v>2.5899999999999999E-2</v>
      </c>
      <c r="AS102" s="455"/>
      <c r="AT102" s="455">
        <v>4.1300000000000003E-2</v>
      </c>
      <c r="AU102" s="654">
        <v>5.8999999999999999E-3</v>
      </c>
      <c r="AV102" s="455">
        <v>0</v>
      </c>
      <c r="AW102" s="371"/>
      <c r="BA102" s="533">
        <v>24.164383561643834</v>
      </c>
      <c r="BB102" s="534"/>
      <c r="BC102" s="455"/>
      <c r="BD102" s="455"/>
      <c r="BE102" s="455"/>
      <c r="BF102" s="455"/>
      <c r="BG102" s="455"/>
      <c r="BH102" s="782">
        <v>1.1283981267028231E-2</v>
      </c>
      <c r="BI102" s="455">
        <v>0</v>
      </c>
      <c r="BJ102" s="371"/>
    </row>
    <row r="103" spans="1:62">
      <c r="A103" s="533">
        <v>24.410958904109588</v>
      </c>
      <c r="B103" s="534"/>
      <c r="C103" s="455"/>
      <c r="D103" s="455"/>
      <c r="E103" s="455"/>
      <c r="F103" s="455"/>
      <c r="G103" s="455"/>
      <c r="H103" s="455">
        <v>3.3361483178772966E-2</v>
      </c>
      <c r="I103" s="455">
        <v>0</v>
      </c>
      <c r="J103" s="371"/>
      <c r="N103" s="533">
        <v>24.410958904109588</v>
      </c>
      <c r="O103" s="534"/>
      <c r="P103" s="455"/>
      <c r="Q103" s="455"/>
      <c r="R103" s="455"/>
      <c r="S103" s="455"/>
      <c r="T103" s="455"/>
      <c r="U103" s="455">
        <v>1.3484223226005287E-2</v>
      </c>
      <c r="V103" s="455">
        <v>0</v>
      </c>
      <c r="W103" s="371"/>
      <c r="AA103" s="533">
        <v>24.410958904109588</v>
      </c>
      <c r="AB103" s="534"/>
      <c r="AC103" s="455"/>
      <c r="AD103" s="455"/>
      <c r="AE103" s="455"/>
      <c r="AF103" s="455"/>
      <c r="AG103" s="455"/>
      <c r="AH103" s="455">
        <v>1.0534642484567369E-2</v>
      </c>
      <c r="AI103" s="455">
        <v>0</v>
      </c>
      <c r="AJ103" s="371"/>
      <c r="AN103" s="533">
        <v>24.410958904109588</v>
      </c>
      <c r="AO103" s="534"/>
      <c r="AP103" s="455">
        <v>6.0900000000000003E-2</v>
      </c>
      <c r="AQ103" s="455">
        <v>1.12E-2</v>
      </c>
      <c r="AR103" s="455">
        <v>2.5899999999999999E-2</v>
      </c>
      <c r="AS103" s="455"/>
      <c r="AT103" s="455">
        <v>4.1200000000000001E-2</v>
      </c>
      <c r="AU103" s="654">
        <v>5.7999999999999996E-3</v>
      </c>
      <c r="AV103" s="455">
        <v>0</v>
      </c>
      <c r="AW103" s="371"/>
      <c r="BA103" s="533">
        <v>24.410958904109588</v>
      </c>
      <c r="BB103" s="534"/>
      <c r="BC103" s="455"/>
      <c r="BD103" s="455"/>
      <c r="BE103" s="455"/>
      <c r="BF103" s="455"/>
      <c r="BG103" s="455"/>
      <c r="BH103" s="782">
        <v>1.1233935514336935E-2</v>
      </c>
      <c r="BI103" s="455">
        <v>0</v>
      </c>
      <c r="BJ103" s="371"/>
    </row>
    <row r="104" spans="1:62">
      <c r="A104" s="533">
        <v>24.657534246575342</v>
      </c>
      <c r="B104" s="534"/>
      <c r="C104" s="455"/>
      <c r="D104" s="455"/>
      <c r="E104" s="455"/>
      <c r="F104" s="455"/>
      <c r="G104" s="455"/>
      <c r="H104" s="455">
        <v>3.3459586980533862E-2</v>
      </c>
      <c r="I104" s="455">
        <v>0</v>
      </c>
      <c r="J104" s="371"/>
      <c r="N104" s="533">
        <v>24.657534246575342</v>
      </c>
      <c r="O104" s="534"/>
      <c r="P104" s="455"/>
      <c r="Q104" s="455"/>
      <c r="R104" s="455"/>
      <c r="S104" s="455"/>
      <c r="T104" s="455"/>
      <c r="U104" s="455">
        <v>1.3419271848343461E-2</v>
      </c>
      <c r="V104" s="455">
        <v>0</v>
      </c>
      <c r="W104" s="371"/>
      <c r="AA104" s="533">
        <v>24.657534246575342</v>
      </c>
      <c r="AB104" s="534"/>
      <c r="AC104" s="455"/>
      <c r="AD104" s="455"/>
      <c r="AE104" s="455"/>
      <c r="AF104" s="455"/>
      <c r="AG104" s="455"/>
      <c r="AH104" s="455">
        <v>1.0322329440066058E-2</v>
      </c>
      <c r="AI104" s="455">
        <v>0</v>
      </c>
      <c r="AJ104" s="371"/>
      <c r="AN104" s="533">
        <v>24.657534246575342</v>
      </c>
      <c r="AO104" s="534"/>
      <c r="AP104" s="455">
        <v>6.0699999999999997E-2</v>
      </c>
      <c r="AQ104" s="455">
        <v>1.11E-2</v>
      </c>
      <c r="AR104" s="455">
        <v>2.5899999999999999E-2</v>
      </c>
      <c r="AS104" s="455"/>
      <c r="AT104" s="455">
        <v>4.1200000000000001E-2</v>
      </c>
      <c r="AU104" s="654">
        <v>5.5999999999999999E-3</v>
      </c>
      <c r="AV104" s="455">
        <v>0</v>
      </c>
      <c r="AW104" s="371"/>
      <c r="BA104" s="533">
        <v>24.657534246575342</v>
      </c>
      <c r="BB104" s="534"/>
      <c r="BC104" s="455"/>
      <c r="BD104" s="455"/>
      <c r="BE104" s="455"/>
      <c r="BF104" s="455"/>
      <c r="BG104" s="455"/>
      <c r="BH104" s="782">
        <v>1.1183265884058935E-2</v>
      </c>
      <c r="BI104" s="455">
        <v>0</v>
      </c>
      <c r="BJ104" s="371"/>
    </row>
    <row r="105" spans="1:62">
      <c r="A105" s="533">
        <v>24.904109589041095</v>
      </c>
      <c r="B105" s="534"/>
      <c r="C105" s="455"/>
      <c r="D105" s="455"/>
      <c r="E105" s="455"/>
      <c r="F105" s="455"/>
      <c r="G105" s="455"/>
      <c r="H105" s="455">
        <v>3.355900300511605E-2</v>
      </c>
      <c r="I105" s="455">
        <v>0</v>
      </c>
      <c r="J105" s="371"/>
      <c r="N105" s="533">
        <v>24.904109589041095</v>
      </c>
      <c r="O105" s="534"/>
      <c r="P105" s="455"/>
      <c r="Q105" s="455"/>
      <c r="R105" s="455"/>
      <c r="S105" s="455"/>
      <c r="T105" s="455"/>
      <c r="U105" s="455">
        <v>1.3355789702360621E-2</v>
      </c>
      <c r="V105" s="455">
        <v>0</v>
      </c>
      <c r="W105" s="371"/>
      <c r="AA105" s="533">
        <v>24.904109589041095</v>
      </c>
      <c r="AB105" s="534"/>
      <c r="AC105" s="455"/>
      <c r="AD105" s="455"/>
      <c r="AE105" s="455"/>
      <c r="AF105" s="455"/>
      <c r="AG105" s="455"/>
      <c r="AH105" s="455">
        <v>1.0108355283160675E-2</v>
      </c>
      <c r="AI105" s="455">
        <v>0</v>
      </c>
      <c r="AJ105" s="371"/>
      <c r="AN105" s="533">
        <v>24.904109589041095</v>
      </c>
      <c r="AO105" s="534"/>
      <c r="AP105" s="455">
        <v>6.0499999999999998E-2</v>
      </c>
      <c r="AQ105" s="455">
        <v>1.11E-2</v>
      </c>
      <c r="AR105" s="455">
        <v>2.5899999999999999E-2</v>
      </c>
      <c r="AS105" s="455"/>
      <c r="AT105" s="455">
        <v>4.1099999999999998E-2</v>
      </c>
      <c r="AU105" s="654">
        <v>5.4999999999999997E-3</v>
      </c>
      <c r="AV105" s="455">
        <v>0</v>
      </c>
      <c r="AW105" s="371"/>
      <c r="BA105" s="533">
        <v>24.904109589041095</v>
      </c>
      <c r="BB105" s="534"/>
      <c r="BC105" s="455"/>
      <c r="BD105" s="455"/>
      <c r="BE105" s="455"/>
      <c r="BF105" s="455"/>
      <c r="BG105" s="455"/>
      <c r="BH105" s="782">
        <v>1.113202606938235E-2</v>
      </c>
      <c r="BI105" s="455">
        <v>0</v>
      </c>
      <c r="BJ105" s="371"/>
    </row>
    <row r="106" spans="1:62">
      <c r="A106" s="533">
        <v>25.150684931506849</v>
      </c>
      <c r="B106" s="534"/>
      <c r="C106" s="455"/>
      <c r="D106" s="455"/>
      <c r="E106" s="455"/>
      <c r="F106" s="455"/>
      <c r="G106" s="455"/>
      <c r="H106" s="455">
        <v>3.3659684176946092E-2</v>
      </c>
      <c r="I106" s="455">
        <v>0</v>
      </c>
      <c r="J106" s="371"/>
      <c r="N106" s="533">
        <v>25.150684931506849</v>
      </c>
      <c r="O106" s="534"/>
      <c r="P106" s="455"/>
      <c r="Q106" s="455"/>
      <c r="R106" s="455"/>
      <c r="S106" s="455"/>
      <c r="T106" s="455"/>
      <c r="U106" s="455">
        <v>1.329377129516307E-2</v>
      </c>
      <c r="V106" s="455">
        <v>0</v>
      </c>
      <c r="W106" s="371"/>
      <c r="AA106" s="533">
        <v>25.150684931506849</v>
      </c>
      <c r="AB106" s="534"/>
      <c r="AC106" s="455"/>
      <c r="AD106" s="455"/>
      <c r="AE106" s="455"/>
      <c r="AF106" s="455"/>
      <c r="AG106" s="455"/>
      <c r="AH106" s="455">
        <v>9.8927875425387501E-3</v>
      </c>
      <c r="AI106" s="455">
        <v>0</v>
      </c>
      <c r="AJ106" s="371"/>
      <c r="AN106" s="533">
        <v>25.150684931506849</v>
      </c>
      <c r="AO106" s="534"/>
      <c r="AP106" s="455">
        <v>6.0299999999999999E-2</v>
      </c>
      <c r="AQ106" s="455">
        <v>1.0999999999999999E-2</v>
      </c>
      <c r="AR106" s="455">
        <v>2.5899999999999999E-2</v>
      </c>
      <c r="AS106" s="455"/>
      <c r="AT106" s="455">
        <v>4.1099999999999998E-2</v>
      </c>
      <c r="AU106" s="654">
        <v>5.4000000000000003E-3</v>
      </c>
      <c r="AV106" s="455">
        <v>0</v>
      </c>
      <c r="AW106" s="371"/>
      <c r="BA106" s="533">
        <v>25.150684931506849</v>
      </c>
      <c r="BB106" s="534"/>
      <c r="BC106" s="455"/>
      <c r="BD106" s="455"/>
      <c r="BE106" s="455"/>
      <c r="BF106" s="455"/>
      <c r="BG106" s="455"/>
      <c r="BH106" s="782">
        <v>1.1080266025389474E-2</v>
      </c>
      <c r="BI106" s="455">
        <v>0</v>
      </c>
      <c r="BJ106" s="371"/>
    </row>
    <row r="107" spans="1:62">
      <c r="A107" s="533">
        <v>25.397260273972602</v>
      </c>
      <c r="B107" s="534"/>
      <c r="C107" s="455"/>
      <c r="D107" s="455"/>
      <c r="E107" s="455"/>
      <c r="F107" s="455"/>
      <c r="G107" s="455"/>
      <c r="H107" s="455">
        <v>3.376158545850827E-2</v>
      </c>
      <c r="I107" s="455">
        <v>0</v>
      </c>
      <c r="J107" s="371"/>
      <c r="N107" s="533">
        <v>25.397260273972602</v>
      </c>
      <c r="O107" s="534"/>
      <c r="P107" s="455"/>
      <c r="Q107" s="455"/>
      <c r="R107" s="455"/>
      <c r="S107" s="455"/>
      <c r="T107" s="455"/>
      <c r="U107" s="455">
        <v>1.3233211155256663E-2</v>
      </c>
      <c r="V107" s="455">
        <v>0</v>
      </c>
      <c r="W107" s="371"/>
      <c r="AA107" s="533">
        <v>25.397260273972602</v>
      </c>
      <c r="AB107" s="534"/>
      <c r="AC107" s="455"/>
      <c r="AD107" s="455"/>
      <c r="AE107" s="455"/>
      <c r="AF107" s="455"/>
      <c r="AG107" s="455"/>
      <c r="AH107" s="455">
        <v>9.6756908229347349E-3</v>
      </c>
      <c r="AI107" s="455">
        <v>0</v>
      </c>
      <c r="AJ107" s="371"/>
      <c r="AN107" s="533">
        <v>25.397260273972602</v>
      </c>
      <c r="AO107" s="534"/>
      <c r="AP107" s="455">
        <v>6.0199999999999997E-2</v>
      </c>
      <c r="AQ107" s="455">
        <v>1.0999999999999999E-2</v>
      </c>
      <c r="AR107" s="455">
        <v>2.58E-2</v>
      </c>
      <c r="AS107" s="455"/>
      <c r="AT107" s="455">
        <v>4.1000000000000002E-2</v>
      </c>
      <c r="AU107" s="654">
        <v>5.1999999999999998E-3</v>
      </c>
      <c r="AV107" s="455">
        <v>0</v>
      </c>
      <c r="AW107" s="371"/>
      <c r="BA107" s="533">
        <v>25.397260273972602</v>
      </c>
      <c r="BB107" s="534"/>
      <c r="BC107" s="455"/>
      <c r="BD107" s="455"/>
      <c r="BE107" s="455"/>
      <c r="BF107" s="455"/>
      <c r="BG107" s="455"/>
      <c r="BH107" s="782">
        <v>1.1028034794796415E-2</v>
      </c>
      <c r="BI107" s="455">
        <v>0</v>
      </c>
      <c r="BJ107" s="371"/>
    </row>
    <row r="108" spans="1:62">
      <c r="A108" s="533">
        <v>25.643835616438356</v>
      </c>
      <c r="B108" s="534"/>
      <c r="C108" s="455"/>
      <c r="D108" s="455"/>
      <c r="E108" s="455"/>
      <c r="F108" s="455"/>
      <c r="G108" s="455"/>
      <c r="H108" s="455">
        <v>3.386466378554398E-2</v>
      </c>
      <c r="I108" s="455">
        <v>0</v>
      </c>
      <c r="J108" s="371"/>
      <c r="N108" s="533">
        <v>25.643835616438356</v>
      </c>
      <c r="O108" s="534"/>
      <c r="P108" s="455"/>
      <c r="Q108" s="455"/>
      <c r="R108" s="455"/>
      <c r="S108" s="455"/>
      <c r="T108" s="455"/>
      <c r="U108" s="455">
        <v>1.3174103844406204E-2</v>
      </c>
      <c r="V108" s="455">
        <v>0</v>
      </c>
      <c r="W108" s="371"/>
      <c r="AA108" s="533">
        <v>25.643835616438356</v>
      </c>
      <c r="AB108" s="534"/>
      <c r="AC108" s="455"/>
      <c r="AD108" s="455"/>
      <c r="AE108" s="455"/>
      <c r="AF108" s="455"/>
      <c r="AG108" s="455"/>
      <c r="AH108" s="455">
        <v>9.457124893031077E-3</v>
      </c>
      <c r="AI108" s="455">
        <v>0</v>
      </c>
      <c r="AJ108" s="371"/>
      <c r="AN108" s="533">
        <v>25.643835616438356</v>
      </c>
      <c r="AO108" s="534"/>
      <c r="AP108" s="455">
        <v>0.06</v>
      </c>
      <c r="AQ108" s="455">
        <v>1.09E-2</v>
      </c>
      <c r="AR108" s="455">
        <v>2.58E-2</v>
      </c>
      <c r="AS108" s="455"/>
      <c r="AT108" s="455">
        <v>4.1000000000000002E-2</v>
      </c>
      <c r="AU108" s="654">
        <v>5.1000000000000004E-3</v>
      </c>
      <c r="AV108" s="455">
        <v>0</v>
      </c>
      <c r="AW108" s="371"/>
      <c r="BA108" s="533">
        <v>25.643835616438356</v>
      </c>
      <c r="BB108" s="534"/>
      <c r="BC108" s="455"/>
      <c r="BD108" s="455"/>
      <c r="BE108" s="455"/>
      <c r="BF108" s="455"/>
      <c r="BG108" s="455"/>
      <c r="BH108" s="782">
        <v>1.0975378593919283E-2</v>
      </c>
      <c r="BI108" s="455">
        <v>0</v>
      </c>
      <c r="BJ108" s="371"/>
    </row>
    <row r="109" spans="1:62">
      <c r="A109" s="533">
        <v>25.890410958904109</v>
      </c>
      <c r="B109" s="534"/>
      <c r="C109" s="455"/>
      <c r="D109" s="455"/>
      <c r="E109" s="455"/>
      <c r="F109" s="455"/>
      <c r="G109" s="455"/>
      <c r="H109" s="455">
        <v>3.3968875137127874E-2</v>
      </c>
      <c r="I109" s="455">
        <v>0</v>
      </c>
      <c r="J109" s="371"/>
      <c r="N109" s="533">
        <v>25.890410958904109</v>
      </c>
      <c r="O109" s="534"/>
      <c r="P109" s="455"/>
      <c r="Q109" s="455"/>
      <c r="R109" s="455"/>
      <c r="S109" s="455"/>
      <c r="T109" s="455"/>
      <c r="U109" s="455">
        <v>1.3116443007396672E-2</v>
      </c>
      <c r="V109" s="455">
        <v>0</v>
      </c>
      <c r="W109" s="371"/>
      <c r="AA109" s="533">
        <v>25.890410958904109</v>
      </c>
      <c r="AB109" s="534"/>
      <c r="AC109" s="455"/>
      <c r="AD109" s="455"/>
      <c r="AE109" s="455"/>
      <c r="AF109" s="455"/>
      <c r="AG109" s="455"/>
      <c r="AH109" s="455">
        <v>9.2371513139459793E-3</v>
      </c>
      <c r="AI109" s="455">
        <v>0</v>
      </c>
      <c r="AJ109" s="371"/>
      <c r="AN109" s="533">
        <v>25.890410958904109</v>
      </c>
      <c r="AO109" s="534"/>
      <c r="AP109" s="455">
        <v>5.9799999999999999E-2</v>
      </c>
      <c r="AQ109" s="455">
        <v>1.09E-2</v>
      </c>
      <c r="AR109" s="455">
        <v>2.58E-2</v>
      </c>
      <c r="AS109" s="455"/>
      <c r="AT109" s="455">
        <v>4.1000000000000002E-2</v>
      </c>
      <c r="AU109" s="654">
        <v>4.8999999999999998E-3</v>
      </c>
      <c r="AV109" s="455">
        <v>0</v>
      </c>
      <c r="AW109" s="371"/>
      <c r="BA109" s="533">
        <v>25.890410958904109</v>
      </c>
      <c r="BB109" s="534"/>
      <c r="BC109" s="455"/>
      <c r="BD109" s="455"/>
      <c r="BE109" s="455"/>
      <c r="BF109" s="455"/>
      <c r="BG109" s="455"/>
      <c r="BH109" s="782">
        <v>1.0922340844532696E-2</v>
      </c>
      <c r="BI109" s="455">
        <v>0</v>
      </c>
      <c r="BJ109" s="371"/>
    </row>
    <row r="110" spans="1:62">
      <c r="A110" s="533">
        <v>26.136986301369863</v>
      </c>
      <c r="B110" s="534"/>
      <c r="C110" s="455"/>
      <c r="D110" s="455"/>
      <c r="E110" s="455"/>
      <c r="F110" s="455"/>
      <c r="G110" s="455"/>
      <c r="H110" s="455">
        <v>3.4074174567118254E-2</v>
      </c>
      <c r="I110" s="455">
        <v>0</v>
      </c>
      <c r="J110" s="371"/>
      <c r="N110" s="533">
        <v>26.136986301369863</v>
      </c>
      <c r="O110" s="534"/>
      <c r="P110" s="455"/>
      <c r="Q110" s="455"/>
      <c r="R110" s="455"/>
      <c r="S110" s="455"/>
      <c r="T110" s="455"/>
      <c r="U110" s="455">
        <v>1.3060219497340375E-2</v>
      </c>
      <c r="V110" s="455">
        <v>0</v>
      </c>
      <c r="W110" s="371"/>
      <c r="AA110" s="533">
        <v>26.136986301369863</v>
      </c>
      <c r="AB110" s="534"/>
      <c r="AC110" s="455"/>
      <c r="AD110" s="455"/>
      <c r="AE110" s="455"/>
      <c r="AF110" s="455"/>
      <c r="AG110" s="455"/>
      <c r="AH110" s="455">
        <v>9.0158296812477001E-3</v>
      </c>
      <c r="AI110" s="455">
        <v>0</v>
      </c>
      <c r="AJ110" s="371"/>
      <c r="AN110" s="533">
        <v>26.136986301369863</v>
      </c>
      <c r="AO110" s="534"/>
      <c r="AP110" s="455">
        <v>5.96E-2</v>
      </c>
      <c r="AQ110" s="455">
        <v>1.0800000000000001E-2</v>
      </c>
      <c r="AR110" s="455">
        <v>2.58E-2</v>
      </c>
      <c r="AS110" s="455"/>
      <c r="AT110" s="455">
        <v>4.0899999999999999E-2</v>
      </c>
      <c r="AU110" s="654">
        <v>4.7999999999999996E-3</v>
      </c>
      <c r="AV110" s="455">
        <v>0</v>
      </c>
      <c r="AW110" s="371"/>
      <c r="BA110" s="533">
        <v>26.136986301369863</v>
      </c>
      <c r="BB110" s="534"/>
      <c r="BC110" s="455"/>
      <c r="BD110" s="455"/>
      <c r="BE110" s="455"/>
      <c r="BF110" s="455"/>
      <c r="BG110" s="455"/>
      <c r="BH110" s="782">
        <v>1.0868965009765308E-2</v>
      </c>
      <c r="BI110" s="455">
        <v>0</v>
      </c>
      <c r="BJ110" s="371"/>
    </row>
    <row r="111" spans="1:62">
      <c r="A111" s="533">
        <v>26.383561643835616</v>
      </c>
      <c r="B111" s="534"/>
      <c r="C111" s="455"/>
      <c r="D111" s="455"/>
      <c r="E111" s="455"/>
      <c r="F111" s="455"/>
      <c r="G111" s="455"/>
      <c r="H111" s="455">
        <v>3.4180522963502158E-2</v>
      </c>
      <c r="I111" s="455">
        <v>0</v>
      </c>
      <c r="J111" s="371"/>
      <c r="N111" s="533">
        <v>26.383561643835616</v>
      </c>
      <c r="O111" s="534"/>
      <c r="P111" s="455"/>
      <c r="Q111" s="455"/>
      <c r="R111" s="455"/>
      <c r="S111" s="455"/>
      <c r="T111" s="455"/>
      <c r="U111" s="455">
        <v>1.3005425124109182E-2</v>
      </c>
      <c r="V111" s="455">
        <v>0</v>
      </c>
      <c r="W111" s="371"/>
      <c r="AA111" s="533">
        <v>26.383561643835616</v>
      </c>
      <c r="AB111" s="534"/>
      <c r="AC111" s="455"/>
      <c r="AD111" s="455"/>
      <c r="AE111" s="455"/>
      <c r="AF111" s="455"/>
      <c r="AG111" s="455"/>
      <c r="AH111" s="455">
        <v>8.7932176001233042E-3</v>
      </c>
      <c r="AI111" s="455">
        <v>0</v>
      </c>
      <c r="AJ111" s="371"/>
      <c r="AN111" s="533">
        <v>26.383561643835616</v>
      </c>
      <c r="AO111" s="534"/>
      <c r="AP111" s="455">
        <v>5.9400000000000001E-2</v>
      </c>
      <c r="AQ111" s="455">
        <v>1.0800000000000001E-2</v>
      </c>
      <c r="AR111" s="455">
        <v>2.5700000000000001E-2</v>
      </c>
      <c r="AS111" s="455"/>
      <c r="AT111" s="455">
        <v>4.0899999999999999E-2</v>
      </c>
      <c r="AU111" s="654">
        <v>4.7000000000000002E-3</v>
      </c>
      <c r="AV111" s="455">
        <v>0</v>
      </c>
      <c r="AW111" s="371"/>
      <c r="BA111" s="533">
        <v>26.383561643835616</v>
      </c>
      <c r="BB111" s="534"/>
      <c r="BC111" s="455"/>
      <c r="BD111" s="455"/>
      <c r="BE111" s="455"/>
      <c r="BF111" s="455"/>
      <c r="BG111" s="455"/>
      <c r="BH111" s="782">
        <v>1.0815290775845865E-2</v>
      </c>
      <c r="BI111" s="455">
        <v>0</v>
      </c>
      <c r="BJ111" s="371"/>
    </row>
    <row r="112" spans="1:62">
      <c r="A112" s="533">
        <v>26.63013698630137</v>
      </c>
      <c r="B112" s="534"/>
      <c r="C112" s="455"/>
      <c r="D112" s="455"/>
      <c r="E112" s="455"/>
      <c r="F112" s="455"/>
      <c r="G112" s="455"/>
      <c r="H112" s="455">
        <v>3.4287876425820096E-2</v>
      </c>
      <c r="I112" s="455">
        <v>0</v>
      </c>
      <c r="J112" s="371"/>
      <c r="N112" s="533">
        <v>26.63013698630137</v>
      </c>
      <c r="O112" s="534"/>
      <c r="P112" s="455"/>
      <c r="Q112" s="455"/>
      <c r="R112" s="455"/>
      <c r="S112" s="455"/>
      <c r="T112" s="455"/>
      <c r="U112" s="455">
        <v>1.2952052678001369E-2</v>
      </c>
      <c r="V112" s="455">
        <v>0</v>
      </c>
      <c r="W112" s="371"/>
      <c r="AA112" s="533">
        <v>26.63013698630137</v>
      </c>
      <c r="AB112" s="534"/>
      <c r="AC112" s="455"/>
      <c r="AD112" s="455"/>
      <c r="AE112" s="455"/>
      <c r="AF112" s="455"/>
      <c r="AG112" s="455"/>
      <c r="AH112" s="455">
        <v>8.5693716314048096E-3</v>
      </c>
      <c r="AI112" s="455">
        <v>0</v>
      </c>
      <c r="AJ112" s="371"/>
      <c r="AN112" s="533">
        <v>26.63013698630137</v>
      </c>
      <c r="AO112" s="534"/>
      <c r="AP112" s="455">
        <v>5.9200000000000003E-2</v>
      </c>
      <c r="AQ112" s="455">
        <v>1.0699999999999999E-2</v>
      </c>
      <c r="AR112" s="455">
        <v>2.5700000000000001E-2</v>
      </c>
      <c r="AS112" s="455"/>
      <c r="AT112" s="455">
        <v>4.0899999999999999E-2</v>
      </c>
      <c r="AU112" s="654">
        <v>4.4999999999999997E-3</v>
      </c>
      <c r="AV112" s="455">
        <v>0</v>
      </c>
      <c r="AW112" s="371"/>
      <c r="BA112" s="533">
        <v>26.63013698630137</v>
      </c>
      <c r="BB112" s="534"/>
      <c r="BC112" s="455"/>
      <c r="BD112" s="455"/>
      <c r="BE112" s="455"/>
      <c r="BF112" s="455"/>
      <c r="BG112" s="455"/>
      <c r="BH112" s="782">
        <v>1.0761356929277488E-2</v>
      </c>
      <c r="BI112" s="455">
        <v>0</v>
      </c>
      <c r="BJ112" s="371"/>
    </row>
    <row r="113" spans="1:62">
      <c r="A113" s="533">
        <v>26.876712328767123</v>
      </c>
      <c r="B113" s="534"/>
      <c r="C113" s="455"/>
      <c r="D113" s="455"/>
      <c r="E113" s="455"/>
      <c r="F113" s="455"/>
      <c r="G113" s="455"/>
      <c r="H113" s="455">
        <v>3.4396196854632688E-2</v>
      </c>
      <c r="I113" s="455">
        <v>0</v>
      </c>
      <c r="J113" s="371"/>
      <c r="N113" s="533">
        <v>26.876712328767123</v>
      </c>
      <c r="O113" s="534"/>
      <c r="P113" s="455"/>
      <c r="Q113" s="455"/>
      <c r="R113" s="455"/>
      <c r="S113" s="455"/>
      <c r="T113" s="455"/>
      <c r="U113" s="455">
        <v>1.2900091218935206E-2</v>
      </c>
      <c r="V113" s="455">
        <v>0</v>
      </c>
      <c r="W113" s="371"/>
      <c r="AA113" s="533">
        <v>26.876712328767123</v>
      </c>
      <c r="AB113" s="534"/>
      <c r="AC113" s="455"/>
      <c r="AD113" s="455"/>
      <c r="AE113" s="455"/>
      <c r="AF113" s="455"/>
      <c r="AG113" s="455"/>
      <c r="AH113" s="455">
        <v>8.3443473095883292E-3</v>
      </c>
      <c r="AI113" s="455">
        <v>0</v>
      </c>
      <c r="AJ113" s="371"/>
      <c r="AN113" s="533">
        <v>26.876712328767123</v>
      </c>
      <c r="AO113" s="534"/>
      <c r="AP113" s="455">
        <v>5.8999999999999997E-2</v>
      </c>
      <c r="AQ113" s="455">
        <v>1.06E-2</v>
      </c>
      <c r="AR113" s="455">
        <v>2.5700000000000001E-2</v>
      </c>
      <c r="AS113" s="455"/>
      <c r="AT113" s="455">
        <v>4.0800000000000003E-2</v>
      </c>
      <c r="AU113" s="654">
        <v>4.4000000000000003E-3</v>
      </c>
      <c r="AV113" s="455">
        <v>0</v>
      </c>
      <c r="AW113" s="371"/>
      <c r="BA113" s="533">
        <v>26.876712328767123</v>
      </c>
      <c r="BB113" s="534"/>
      <c r="BC113" s="455"/>
      <c r="BD113" s="455"/>
      <c r="BE113" s="455"/>
      <c r="BF113" s="455"/>
      <c r="BG113" s="455"/>
      <c r="BH113" s="782">
        <v>1.0707200394598937E-2</v>
      </c>
      <c r="BI113" s="455">
        <v>0</v>
      </c>
      <c r="BJ113" s="371"/>
    </row>
    <row r="114" spans="1:62">
      <c r="A114" s="533">
        <v>27.123287671232877</v>
      </c>
      <c r="B114" s="534"/>
      <c r="C114" s="455"/>
      <c r="D114" s="455"/>
      <c r="E114" s="455"/>
      <c r="F114" s="455"/>
      <c r="G114" s="455"/>
      <c r="H114" s="455">
        <v>3.4505441327297603E-2</v>
      </c>
      <c r="I114" s="455">
        <v>0</v>
      </c>
      <c r="J114" s="371"/>
      <c r="N114" s="533">
        <v>27.123287671232877</v>
      </c>
      <c r="O114" s="534"/>
      <c r="P114" s="455"/>
      <c r="Q114" s="455"/>
      <c r="R114" s="455"/>
      <c r="S114" s="455"/>
      <c r="T114" s="455"/>
      <c r="U114" s="455">
        <v>1.2849532623953941E-2</v>
      </c>
      <c r="V114" s="455">
        <v>0</v>
      </c>
      <c r="W114" s="371"/>
      <c r="AA114" s="533">
        <v>27.123287671232877</v>
      </c>
      <c r="AB114" s="534"/>
      <c r="AC114" s="455"/>
      <c r="AD114" s="455"/>
      <c r="AE114" s="455"/>
      <c r="AF114" s="455"/>
      <c r="AG114" s="455"/>
      <c r="AH114" s="455">
        <v>8.1181963085978914E-3</v>
      </c>
      <c r="AI114" s="455">
        <v>0</v>
      </c>
      <c r="AJ114" s="371"/>
      <c r="AN114" s="533">
        <v>27.123287671232877</v>
      </c>
      <c r="AO114" s="534"/>
      <c r="AP114" s="455">
        <v>5.8700000000000002E-2</v>
      </c>
      <c r="AQ114" s="455">
        <v>1.06E-2</v>
      </c>
      <c r="AR114" s="455">
        <v>2.5600000000000001E-2</v>
      </c>
      <c r="AS114" s="455"/>
      <c r="AT114" s="455">
        <v>4.0800000000000003E-2</v>
      </c>
      <c r="AU114" s="654">
        <v>4.3E-3</v>
      </c>
      <c r="AV114" s="455">
        <v>0</v>
      </c>
      <c r="AW114" s="371"/>
      <c r="BA114" s="533">
        <v>27.123287671232877</v>
      </c>
      <c r="BB114" s="534"/>
      <c r="BC114" s="455"/>
      <c r="BD114" s="455"/>
      <c r="BE114" s="455"/>
      <c r="BF114" s="455"/>
      <c r="BG114" s="455"/>
      <c r="BH114" s="782">
        <v>1.0652857176482122E-2</v>
      </c>
      <c r="BI114" s="455">
        <v>0</v>
      </c>
      <c r="BJ114" s="371"/>
    </row>
    <row r="115" spans="1:62">
      <c r="A115" s="533">
        <v>27.36986301369863</v>
      </c>
      <c r="B115" s="534"/>
      <c r="C115" s="455"/>
      <c r="D115" s="455"/>
      <c r="E115" s="455"/>
      <c r="F115" s="455"/>
      <c r="G115" s="455"/>
      <c r="H115" s="455">
        <v>3.461557378794633E-2</v>
      </c>
      <c r="I115" s="455">
        <v>0</v>
      </c>
      <c r="J115" s="371"/>
      <c r="N115" s="533">
        <v>27.36986301369863</v>
      </c>
      <c r="O115" s="534"/>
      <c r="P115" s="455"/>
      <c r="Q115" s="455"/>
      <c r="R115" s="455"/>
      <c r="S115" s="455"/>
      <c r="T115" s="455"/>
      <c r="U115" s="455">
        <v>1.280036506316562E-2</v>
      </c>
      <c r="V115" s="455">
        <v>0</v>
      </c>
      <c r="W115" s="371"/>
      <c r="AA115" s="533">
        <v>27.36986301369863</v>
      </c>
      <c r="AB115" s="534"/>
      <c r="AC115" s="455"/>
      <c r="AD115" s="455"/>
      <c r="AE115" s="455"/>
      <c r="AF115" s="455"/>
      <c r="AG115" s="455"/>
      <c r="AH115" s="455">
        <v>7.8909730408716072E-3</v>
      </c>
      <c r="AI115" s="455">
        <v>0</v>
      </c>
      <c r="AJ115" s="371"/>
      <c r="AN115" s="533">
        <v>27.36986301369863</v>
      </c>
      <c r="AO115" s="534"/>
      <c r="AP115" s="455">
        <v>5.8500000000000003E-2</v>
      </c>
      <c r="AQ115" s="455">
        <v>1.0500000000000001E-2</v>
      </c>
      <c r="AR115" s="455">
        <v>2.5600000000000001E-2</v>
      </c>
      <c r="AS115" s="455"/>
      <c r="AT115" s="455">
        <v>4.0800000000000003E-2</v>
      </c>
      <c r="AU115" s="654">
        <v>4.1000000000000003E-3</v>
      </c>
      <c r="AV115" s="455">
        <v>0</v>
      </c>
      <c r="AW115" s="371"/>
      <c r="BA115" s="533">
        <v>27.36986301369863</v>
      </c>
      <c r="BB115" s="534"/>
      <c r="BC115" s="455"/>
      <c r="BD115" s="455"/>
      <c r="BE115" s="455"/>
      <c r="BF115" s="455"/>
      <c r="BG115" s="455"/>
      <c r="BH115" s="782">
        <v>1.0598359524035983E-2</v>
      </c>
      <c r="BI115" s="455">
        <v>0</v>
      </c>
      <c r="BJ115" s="371"/>
    </row>
    <row r="116" spans="1:62">
      <c r="A116" s="533">
        <v>27.616438356164384</v>
      </c>
      <c r="B116" s="534"/>
      <c r="C116" s="455"/>
      <c r="D116" s="455"/>
      <c r="E116" s="455"/>
      <c r="F116" s="455"/>
      <c r="G116" s="455"/>
      <c r="H116" s="455">
        <v>3.4726555222342581E-2</v>
      </c>
      <c r="I116" s="455">
        <v>0</v>
      </c>
      <c r="J116" s="371"/>
      <c r="N116" s="533">
        <v>27.616438356164384</v>
      </c>
      <c r="O116" s="534"/>
      <c r="P116" s="455"/>
      <c r="Q116" s="455"/>
      <c r="R116" s="455"/>
      <c r="S116" s="455"/>
      <c r="T116" s="455"/>
      <c r="U116" s="455">
        <v>1.2752577636633955E-2</v>
      </c>
      <c r="V116" s="455">
        <v>0</v>
      </c>
      <c r="W116" s="371"/>
      <c r="AA116" s="533">
        <v>27.616438356164384</v>
      </c>
      <c r="AB116" s="534"/>
      <c r="AC116" s="455"/>
      <c r="AD116" s="455"/>
      <c r="AE116" s="455"/>
      <c r="AF116" s="455"/>
      <c r="AG116" s="455"/>
      <c r="AH116" s="455">
        <v>7.6627280687628918E-3</v>
      </c>
      <c r="AI116" s="455">
        <v>0</v>
      </c>
      <c r="AJ116" s="371"/>
      <c r="AN116" s="533">
        <v>27.616438356164384</v>
      </c>
      <c r="AO116" s="534"/>
      <c r="AP116" s="455">
        <v>5.8299999999999998E-2</v>
      </c>
      <c r="AQ116" s="455">
        <v>1.04E-2</v>
      </c>
      <c r="AR116" s="455">
        <v>2.5499999999999998E-2</v>
      </c>
      <c r="AS116" s="455"/>
      <c r="AT116" s="455">
        <v>4.07E-2</v>
      </c>
      <c r="AU116" s="654">
        <v>4.0000000000000001E-3</v>
      </c>
      <c r="AV116" s="455">
        <v>0</v>
      </c>
      <c r="AW116" s="371"/>
      <c r="BA116" s="533">
        <v>27.616438356164384</v>
      </c>
      <c r="BB116" s="534"/>
      <c r="BC116" s="455"/>
      <c r="BD116" s="455"/>
      <c r="BE116" s="455"/>
      <c r="BF116" s="455"/>
      <c r="BG116" s="455"/>
      <c r="BH116" s="782">
        <v>1.0543739708731348E-2</v>
      </c>
      <c r="BI116" s="455">
        <v>0</v>
      </c>
      <c r="BJ116" s="371"/>
    </row>
    <row r="117" spans="1:62">
      <c r="A117" s="533">
        <v>27.863013698630137</v>
      </c>
      <c r="B117" s="534"/>
      <c r="C117" s="455"/>
      <c r="D117" s="455"/>
      <c r="E117" s="455"/>
      <c r="F117" s="455"/>
      <c r="G117" s="455"/>
      <c r="H117" s="455">
        <v>3.483834765440319E-2</v>
      </c>
      <c r="I117" s="455">
        <v>0</v>
      </c>
      <c r="J117" s="371"/>
      <c r="N117" s="533">
        <v>27.863013698630137</v>
      </c>
      <c r="O117" s="534"/>
      <c r="P117" s="455"/>
      <c r="Q117" s="455"/>
      <c r="R117" s="455"/>
      <c r="S117" s="455"/>
      <c r="T117" s="455"/>
      <c r="U117" s="455">
        <v>1.2706160445702164E-2</v>
      </c>
      <c r="V117" s="455">
        <v>0</v>
      </c>
      <c r="W117" s="371"/>
      <c r="AA117" s="533">
        <v>27.863013698630137</v>
      </c>
      <c r="AB117" s="534"/>
      <c r="AC117" s="455"/>
      <c r="AD117" s="455"/>
      <c r="AE117" s="455"/>
      <c r="AF117" s="455"/>
      <c r="AG117" s="455"/>
      <c r="AH117" s="455">
        <v>7.4335109121377307E-3</v>
      </c>
      <c r="AI117" s="455">
        <v>0</v>
      </c>
      <c r="AJ117" s="371"/>
      <c r="AN117" s="533">
        <v>27.863013698630137</v>
      </c>
      <c r="AO117" s="534"/>
      <c r="AP117" s="455">
        <v>5.8099999999999999E-2</v>
      </c>
      <c r="AQ117" s="455">
        <v>1.04E-2</v>
      </c>
      <c r="AR117" s="455">
        <v>2.5499999999999998E-2</v>
      </c>
      <c r="AS117" s="455"/>
      <c r="AT117" s="455">
        <v>4.07E-2</v>
      </c>
      <c r="AU117" s="654">
        <v>3.8999999999999998E-3</v>
      </c>
      <c r="AV117" s="455">
        <v>0</v>
      </c>
      <c r="AW117" s="371"/>
      <c r="BA117" s="533">
        <v>27.863013698630137</v>
      </c>
      <c r="BB117" s="534"/>
      <c r="BC117" s="455"/>
      <c r="BD117" s="455"/>
      <c r="BE117" s="455"/>
      <c r="BF117" s="455"/>
      <c r="BG117" s="455"/>
      <c r="BH117" s="782">
        <v>1.0489028160323155E-2</v>
      </c>
      <c r="BI117" s="455">
        <v>0</v>
      </c>
      <c r="BJ117" s="371"/>
    </row>
    <row r="118" spans="1:62">
      <c r="A118" s="533">
        <v>28.109589041095891</v>
      </c>
      <c r="B118" s="534"/>
      <c r="C118" s="455"/>
      <c r="D118" s="455"/>
      <c r="E118" s="455"/>
      <c r="F118" s="455"/>
      <c r="G118" s="455"/>
      <c r="H118" s="455">
        <v>3.4950913079611512E-2</v>
      </c>
      <c r="I118" s="455">
        <v>0</v>
      </c>
      <c r="J118" s="371"/>
      <c r="N118" s="533">
        <v>28.109589041095891</v>
      </c>
      <c r="O118" s="534"/>
      <c r="P118" s="455"/>
      <c r="Q118" s="455"/>
      <c r="R118" s="455"/>
      <c r="S118" s="455"/>
      <c r="T118" s="455"/>
      <c r="U118" s="455">
        <v>1.2661099811489995E-2</v>
      </c>
      <c r="V118" s="455">
        <v>0</v>
      </c>
      <c r="W118" s="371"/>
      <c r="AA118" s="533">
        <v>28.109589041095891</v>
      </c>
      <c r="AB118" s="534"/>
      <c r="AC118" s="455"/>
      <c r="AD118" s="455"/>
      <c r="AE118" s="455"/>
      <c r="AF118" s="455"/>
      <c r="AG118" s="455"/>
      <c r="AH118" s="455">
        <v>7.2033719687771836E-3</v>
      </c>
      <c r="AI118" s="455">
        <v>0</v>
      </c>
      <c r="AJ118" s="371"/>
      <c r="AN118" s="533">
        <v>28.109589041095891</v>
      </c>
      <c r="AO118" s="534"/>
      <c r="AP118" s="455">
        <v>5.79E-2</v>
      </c>
      <c r="AQ118" s="455">
        <v>1.03E-2</v>
      </c>
      <c r="AR118" s="455">
        <v>2.5399999999999999E-2</v>
      </c>
      <c r="AS118" s="455"/>
      <c r="AT118" s="455">
        <v>4.07E-2</v>
      </c>
      <c r="AU118" s="654">
        <v>3.7000000000000002E-3</v>
      </c>
      <c r="AV118" s="455">
        <v>0</v>
      </c>
      <c r="AW118" s="371"/>
      <c r="BA118" s="533">
        <v>28.109589041095891</v>
      </c>
      <c r="BB118" s="534"/>
      <c r="BC118" s="455"/>
      <c r="BD118" s="455"/>
      <c r="BE118" s="455"/>
      <c r="BF118" s="455"/>
      <c r="BG118" s="455"/>
      <c r="BH118" s="782">
        <v>1.0434255320882269E-2</v>
      </c>
      <c r="BI118" s="455">
        <v>0</v>
      </c>
      <c r="BJ118" s="371"/>
    </row>
    <row r="119" spans="1:62">
      <c r="A119" s="533">
        <v>28.356164383561644</v>
      </c>
      <c r="B119" s="534"/>
      <c r="C119" s="455"/>
      <c r="D119" s="455"/>
      <c r="E119" s="455"/>
      <c r="F119" s="455"/>
      <c r="G119" s="455"/>
      <c r="H119" s="455">
        <v>3.5064217464647607E-2</v>
      </c>
      <c r="I119" s="455">
        <v>0</v>
      </c>
      <c r="J119" s="371"/>
      <c r="N119" s="533">
        <v>28.356164383561644</v>
      </c>
      <c r="O119" s="534"/>
      <c r="P119" s="455"/>
      <c r="Q119" s="455"/>
      <c r="R119" s="455"/>
      <c r="S119" s="455"/>
      <c r="T119" s="455"/>
      <c r="U119" s="455">
        <v>1.2617385878135323E-2</v>
      </c>
      <c r="V119" s="455">
        <v>0</v>
      </c>
      <c r="W119" s="371"/>
      <c r="AA119" s="533">
        <v>28.356164383561644</v>
      </c>
      <c r="AB119" s="534"/>
      <c r="AC119" s="455"/>
      <c r="AD119" s="455"/>
      <c r="AE119" s="455"/>
      <c r="AF119" s="455"/>
      <c r="AG119" s="455"/>
      <c r="AH119" s="455">
        <v>6.9723568307902273E-3</v>
      </c>
      <c r="AI119" s="455">
        <v>0</v>
      </c>
      <c r="AJ119" s="371"/>
      <c r="AN119" s="533">
        <v>28.356164383561644</v>
      </c>
      <c r="AO119" s="534"/>
      <c r="AP119" s="455">
        <v>5.7599999999999998E-2</v>
      </c>
      <c r="AQ119" s="455">
        <v>1.0200000000000001E-2</v>
      </c>
      <c r="AR119" s="455">
        <v>2.5399999999999999E-2</v>
      </c>
      <c r="AS119" s="455"/>
      <c r="AT119" s="455">
        <v>4.07E-2</v>
      </c>
      <c r="AU119" s="654">
        <v>3.5999999999999999E-3</v>
      </c>
      <c r="AV119" s="455">
        <v>0</v>
      </c>
      <c r="AW119" s="371"/>
      <c r="BA119" s="533">
        <v>28.356164383561644</v>
      </c>
      <c r="BB119" s="534"/>
      <c r="BC119" s="455"/>
      <c r="BD119" s="455"/>
      <c r="BE119" s="455"/>
      <c r="BF119" s="455"/>
      <c r="BG119" s="455"/>
      <c r="BH119" s="782">
        <v>1.0379447876769365E-2</v>
      </c>
      <c r="BI119" s="455">
        <v>0</v>
      </c>
      <c r="BJ119" s="371"/>
    </row>
    <row r="120" spans="1:62">
      <c r="A120" s="533">
        <v>28.602739726027398</v>
      </c>
      <c r="B120" s="534"/>
      <c r="C120" s="455"/>
      <c r="D120" s="455"/>
      <c r="E120" s="455"/>
      <c r="F120" s="455"/>
      <c r="G120" s="455"/>
      <c r="H120" s="455">
        <v>3.5178225748407455E-2</v>
      </c>
      <c r="I120" s="455">
        <v>0</v>
      </c>
      <c r="J120" s="371"/>
      <c r="N120" s="533">
        <v>28.602739726027398</v>
      </c>
      <c r="O120" s="534"/>
      <c r="P120" s="455"/>
      <c r="Q120" s="455"/>
      <c r="R120" s="455"/>
      <c r="S120" s="455"/>
      <c r="T120" s="455"/>
      <c r="U120" s="455">
        <v>1.2575006894717689E-2</v>
      </c>
      <c r="V120" s="455">
        <v>0</v>
      </c>
      <c r="W120" s="371"/>
      <c r="AA120" s="533">
        <v>28.602739726027398</v>
      </c>
      <c r="AB120" s="534"/>
      <c r="AC120" s="455"/>
      <c r="AD120" s="455"/>
      <c r="AE120" s="455"/>
      <c r="AF120" s="455"/>
      <c r="AG120" s="455"/>
      <c r="AH120" s="455">
        <v>6.7405119512167211E-3</v>
      </c>
      <c r="AI120" s="455">
        <v>0</v>
      </c>
      <c r="AJ120" s="371"/>
      <c r="AN120" s="533">
        <v>28.602739726027398</v>
      </c>
      <c r="AO120" s="534"/>
      <c r="AP120" s="455">
        <v>5.74E-2</v>
      </c>
      <c r="AQ120" s="455">
        <v>1.0200000000000001E-2</v>
      </c>
      <c r="AR120" s="455">
        <v>2.53E-2</v>
      </c>
      <c r="AS120" s="455"/>
      <c r="AT120" s="455">
        <v>4.07E-2</v>
      </c>
      <c r="AU120" s="654">
        <v>3.5000000000000001E-3</v>
      </c>
      <c r="AV120" s="455">
        <v>0</v>
      </c>
      <c r="AW120" s="371"/>
      <c r="BA120" s="533">
        <v>28.602739726027398</v>
      </c>
      <c r="BB120" s="534"/>
      <c r="BC120" s="455"/>
      <c r="BD120" s="455"/>
      <c r="BE120" s="455"/>
      <c r="BF120" s="455"/>
      <c r="BG120" s="455"/>
      <c r="BH120" s="782">
        <v>1.0324632536629297E-2</v>
      </c>
      <c r="BI120" s="455">
        <v>0</v>
      </c>
      <c r="BJ120" s="371"/>
    </row>
    <row r="121" spans="1:62">
      <c r="A121" s="533">
        <v>28.849315068493151</v>
      </c>
      <c r="B121" s="534"/>
      <c r="C121" s="455"/>
      <c r="D121" s="455"/>
      <c r="E121" s="455"/>
      <c r="F121" s="455"/>
      <c r="G121" s="455"/>
      <c r="H121" s="455">
        <v>3.5292901942544974E-2</v>
      </c>
      <c r="I121" s="455">
        <v>0</v>
      </c>
      <c r="J121" s="371"/>
      <c r="N121" s="533">
        <v>28.849315068493151</v>
      </c>
      <c r="O121" s="534"/>
      <c r="P121" s="455"/>
      <c r="Q121" s="455"/>
      <c r="R121" s="455"/>
      <c r="S121" s="455"/>
      <c r="T121" s="455"/>
      <c r="U121" s="455">
        <v>1.2533947376735854E-2</v>
      </c>
      <c r="V121" s="455">
        <v>0</v>
      </c>
      <c r="W121" s="371"/>
      <c r="AA121" s="533">
        <v>28.849315068493151</v>
      </c>
      <c r="AB121" s="534"/>
      <c r="AC121" s="455"/>
      <c r="AD121" s="455"/>
      <c r="AE121" s="455"/>
      <c r="AF121" s="455"/>
      <c r="AG121" s="455"/>
      <c r="AH121" s="455">
        <v>6.5078856025624354E-3</v>
      </c>
      <c r="AI121" s="455">
        <v>0</v>
      </c>
      <c r="AJ121" s="371"/>
      <c r="AN121" s="533">
        <v>28.849315068493151</v>
      </c>
      <c r="AO121" s="534"/>
      <c r="AP121" s="455">
        <v>5.7200000000000001E-2</v>
      </c>
      <c r="AQ121" s="455">
        <v>1.01E-2</v>
      </c>
      <c r="AR121" s="455">
        <v>2.53E-2</v>
      </c>
      <c r="AS121" s="455"/>
      <c r="AT121" s="455">
        <v>4.0599999999999997E-2</v>
      </c>
      <c r="AU121" s="654">
        <v>3.3E-3</v>
      </c>
      <c r="AV121" s="455">
        <v>0</v>
      </c>
      <c r="AW121" s="371"/>
      <c r="BA121" s="533">
        <v>28.849315068493151</v>
      </c>
      <c r="BB121" s="534"/>
      <c r="BC121" s="455"/>
      <c r="BD121" s="455"/>
      <c r="BE121" s="455"/>
      <c r="BF121" s="455"/>
      <c r="BG121" s="455"/>
      <c r="BH121" s="782">
        <v>1.026983509895607E-2</v>
      </c>
      <c r="BI121" s="455">
        <v>0</v>
      </c>
      <c r="BJ121" s="371"/>
    </row>
    <row r="122" spans="1:62">
      <c r="A122" s="533">
        <v>29.095890410958905</v>
      </c>
      <c r="B122" s="534"/>
      <c r="C122" s="455"/>
      <c r="D122" s="455"/>
      <c r="E122" s="455"/>
      <c r="F122" s="455"/>
      <c r="G122" s="455"/>
      <c r="H122" s="455">
        <v>3.5408211996681649E-2</v>
      </c>
      <c r="I122" s="455">
        <v>0</v>
      </c>
      <c r="J122" s="371"/>
      <c r="N122" s="533">
        <v>29.095890410958905</v>
      </c>
      <c r="O122" s="534"/>
      <c r="P122" s="455"/>
      <c r="Q122" s="455"/>
      <c r="R122" s="455"/>
      <c r="S122" s="455"/>
      <c r="T122" s="455"/>
      <c r="U122" s="455">
        <v>1.2494197522648021E-2</v>
      </c>
      <c r="V122" s="455">
        <v>0</v>
      </c>
      <c r="W122" s="371"/>
      <c r="AA122" s="533">
        <v>29.095890410958905</v>
      </c>
      <c r="AB122" s="534"/>
      <c r="AC122" s="455"/>
      <c r="AD122" s="455"/>
      <c r="AE122" s="455"/>
      <c r="AF122" s="455"/>
      <c r="AG122" s="455"/>
      <c r="AH122" s="455">
        <v>6.27451937229484E-3</v>
      </c>
      <c r="AI122" s="455">
        <v>0</v>
      </c>
      <c r="AJ122" s="371"/>
      <c r="AN122" s="533">
        <v>29.095890410958905</v>
      </c>
      <c r="AO122" s="534"/>
      <c r="AP122" s="455">
        <v>5.6899999999999999E-2</v>
      </c>
      <c r="AQ122" s="455">
        <v>0.01</v>
      </c>
      <c r="AR122" s="455">
        <v>2.52E-2</v>
      </c>
      <c r="AS122" s="455"/>
      <c r="AT122" s="455">
        <v>4.0599999999999997E-2</v>
      </c>
      <c r="AU122" s="654">
        <v>3.2000000000000002E-3</v>
      </c>
      <c r="AV122" s="455">
        <v>0</v>
      </c>
      <c r="AW122" s="371"/>
      <c r="BA122" s="533">
        <v>29.095890410958905</v>
      </c>
      <c r="BB122" s="534"/>
      <c r="BC122" s="455"/>
      <c r="BD122" s="455"/>
      <c r="BE122" s="455"/>
      <c r="BF122" s="455"/>
      <c r="BG122" s="455"/>
      <c r="BH122" s="782">
        <v>1.0215078557626489E-2</v>
      </c>
      <c r="BI122" s="455">
        <v>0</v>
      </c>
      <c r="BJ122" s="371"/>
    </row>
    <row r="123" spans="1:62">
      <c r="A123" s="533">
        <v>29.342465753424658</v>
      </c>
      <c r="B123" s="534"/>
      <c r="C123" s="455"/>
      <c r="D123" s="455"/>
      <c r="E123" s="455"/>
      <c r="F123" s="455"/>
      <c r="G123" s="455"/>
      <c r="H123" s="455">
        <v>3.5524124868536289E-2</v>
      </c>
      <c r="I123" s="455">
        <v>0</v>
      </c>
      <c r="J123" s="371"/>
      <c r="N123" s="533">
        <v>29.342465753424658</v>
      </c>
      <c r="O123" s="534"/>
      <c r="P123" s="455"/>
      <c r="Q123" s="455"/>
      <c r="R123" s="455"/>
      <c r="S123" s="455"/>
      <c r="T123" s="455"/>
      <c r="U123" s="455">
        <v>1.2455742823819449E-2</v>
      </c>
      <c r="V123" s="455">
        <v>0</v>
      </c>
      <c r="W123" s="371"/>
      <c r="AA123" s="533">
        <v>29.342465753424658</v>
      </c>
      <c r="AB123" s="534"/>
      <c r="AC123" s="455"/>
      <c r="AD123" s="455"/>
      <c r="AE123" s="455"/>
      <c r="AF123" s="455"/>
      <c r="AG123" s="455"/>
      <c r="AH123" s="455">
        <v>6.0404566596552467E-3</v>
      </c>
      <c r="AI123" s="455">
        <v>0</v>
      </c>
      <c r="AJ123" s="371"/>
      <c r="AN123" s="533">
        <v>29.342465753424658</v>
      </c>
      <c r="AO123" s="534"/>
      <c r="AP123" s="455">
        <v>5.67E-2</v>
      </c>
      <c r="AQ123" s="455">
        <v>0.01</v>
      </c>
      <c r="AR123" s="455">
        <v>2.52E-2</v>
      </c>
      <c r="AS123" s="455"/>
      <c r="AT123" s="455">
        <v>4.0599999999999997E-2</v>
      </c>
      <c r="AU123" s="654">
        <v>3.0999999999999999E-3</v>
      </c>
      <c r="AV123" s="455">
        <v>0</v>
      </c>
      <c r="AW123" s="371"/>
      <c r="BA123" s="533">
        <v>29.342465753424658</v>
      </c>
      <c r="BB123" s="534"/>
      <c r="BC123" s="455"/>
      <c r="BD123" s="455"/>
      <c r="BE123" s="455"/>
      <c r="BF123" s="455"/>
      <c r="BG123" s="455"/>
      <c r="BH123" s="782">
        <v>1.0160385908978053E-2</v>
      </c>
      <c r="BI123" s="455">
        <v>0</v>
      </c>
      <c r="BJ123" s="371"/>
    </row>
    <row r="124" spans="1:62">
      <c r="A124" s="533">
        <v>29.589041095890412</v>
      </c>
      <c r="B124" s="534"/>
      <c r="C124" s="455"/>
      <c r="D124" s="455"/>
      <c r="E124" s="455"/>
      <c r="F124" s="455"/>
      <c r="G124" s="455"/>
      <c r="H124" s="455">
        <v>3.5640607486686404E-2</v>
      </c>
      <c r="I124" s="455">
        <v>0</v>
      </c>
      <c r="J124" s="371"/>
      <c r="N124" s="533">
        <v>29.589041095890412</v>
      </c>
      <c r="O124" s="534"/>
      <c r="P124" s="455"/>
      <c r="Q124" s="455"/>
      <c r="R124" s="455"/>
      <c r="S124" s="455"/>
      <c r="T124" s="455"/>
      <c r="U124" s="455">
        <v>1.2418570670277296E-2</v>
      </c>
      <c r="V124" s="455">
        <v>0</v>
      </c>
      <c r="W124" s="371"/>
      <c r="AA124" s="533">
        <v>29.589041095890412</v>
      </c>
      <c r="AB124" s="534"/>
      <c r="AC124" s="455"/>
      <c r="AD124" s="455"/>
      <c r="AE124" s="455"/>
      <c r="AF124" s="455"/>
      <c r="AG124" s="455"/>
      <c r="AH124" s="455">
        <v>5.8057398584572262E-3</v>
      </c>
      <c r="AI124" s="455">
        <v>0</v>
      </c>
      <c r="AJ124" s="371"/>
      <c r="AN124" s="533">
        <v>29.589041095890412</v>
      </c>
      <c r="AO124" s="534"/>
      <c r="AP124" s="455">
        <v>5.6399999999999999E-2</v>
      </c>
      <c r="AQ124" s="455">
        <v>9.9000000000000008E-3</v>
      </c>
      <c r="AR124" s="455">
        <v>2.5100000000000001E-2</v>
      </c>
      <c r="AS124" s="455"/>
      <c r="AT124" s="455">
        <v>4.0599999999999997E-2</v>
      </c>
      <c r="AU124" s="654">
        <v>2.8999999999999998E-3</v>
      </c>
      <c r="AV124" s="455">
        <v>0</v>
      </c>
      <c r="AW124" s="371"/>
      <c r="BA124" s="533">
        <v>29.589041095890412</v>
      </c>
      <c r="BB124" s="534"/>
      <c r="BC124" s="455"/>
      <c r="BD124" s="455"/>
      <c r="BE124" s="455"/>
      <c r="BF124" s="455"/>
      <c r="BG124" s="455"/>
      <c r="BH124" s="782">
        <v>1.0105778305779856E-2</v>
      </c>
      <c r="BI124" s="455">
        <v>0</v>
      </c>
      <c r="BJ124" s="371"/>
    </row>
    <row r="125" spans="1:62">
      <c r="A125" s="533">
        <v>29.835616438356166</v>
      </c>
      <c r="B125" s="534"/>
      <c r="C125" s="455"/>
      <c r="D125" s="455"/>
      <c r="E125" s="455"/>
      <c r="F125" s="455"/>
      <c r="G125" s="455"/>
      <c r="H125" s="455">
        <v>3.5757626819721278E-2</v>
      </c>
      <c r="I125" s="455">
        <v>0</v>
      </c>
      <c r="J125" s="371"/>
      <c r="N125" s="533">
        <v>29.835616438356166</v>
      </c>
      <c r="O125" s="534"/>
      <c r="P125" s="455"/>
      <c r="Q125" s="455"/>
      <c r="R125" s="455"/>
      <c r="S125" s="455"/>
      <c r="T125" s="455"/>
      <c r="U125" s="455">
        <v>1.2382666602100745E-2</v>
      </c>
      <c r="V125" s="455">
        <v>0</v>
      </c>
      <c r="W125" s="371"/>
      <c r="AA125" s="533">
        <v>29.835616438356166</v>
      </c>
      <c r="AB125" s="534"/>
      <c r="AC125" s="455"/>
      <c r="AD125" s="455"/>
      <c r="AE125" s="455"/>
      <c r="AF125" s="455"/>
      <c r="AG125" s="455"/>
      <c r="AH125" s="455">
        <v>5.5704112756238544E-3</v>
      </c>
      <c r="AI125" s="455">
        <v>0</v>
      </c>
      <c r="AJ125" s="371"/>
      <c r="AN125" s="533">
        <v>29.835616438356166</v>
      </c>
      <c r="AO125" s="534"/>
      <c r="AP125" s="455">
        <v>5.62E-2</v>
      </c>
      <c r="AQ125" s="455">
        <v>9.7999999999999997E-3</v>
      </c>
      <c r="AR125" s="455">
        <v>2.5000000000000001E-2</v>
      </c>
      <c r="AS125" s="455"/>
      <c r="AT125" s="455">
        <v>4.0599999999999997E-2</v>
      </c>
      <c r="AU125" s="654">
        <v>2.8E-3</v>
      </c>
      <c r="AV125" s="455">
        <v>0</v>
      </c>
      <c r="AW125" s="371"/>
      <c r="BA125" s="533">
        <v>29.835616438356166</v>
      </c>
      <c r="BB125" s="534"/>
      <c r="BC125" s="455"/>
      <c r="BD125" s="455"/>
      <c r="BE125" s="455"/>
      <c r="BF125" s="455"/>
      <c r="BG125" s="455"/>
      <c r="BH125" s="782">
        <v>1.0051278806711528E-2</v>
      </c>
      <c r="BI125" s="455">
        <v>0</v>
      </c>
      <c r="BJ125" s="371"/>
    </row>
    <row r="126" spans="1:62">
      <c r="A126" s="533">
        <v>30.082191780821919</v>
      </c>
      <c r="B126" s="534"/>
      <c r="C126" s="455"/>
      <c r="D126" s="455"/>
      <c r="E126" s="455"/>
      <c r="F126" s="455"/>
      <c r="G126" s="455"/>
      <c r="H126" s="455">
        <v>3.5875154745496074E-2</v>
      </c>
      <c r="I126" s="455">
        <v>0</v>
      </c>
      <c r="J126" s="371"/>
      <c r="N126" s="533">
        <v>30.082191780821919</v>
      </c>
      <c r="O126" s="534"/>
      <c r="P126" s="455"/>
      <c r="Q126" s="455"/>
      <c r="R126" s="455"/>
      <c r="S126" s="455"/>
      <c r="T126" s="455"/>
      <c r="U126" s="455">
        <v>1.2348018045231113E-2</v>
      </c>
      <c r="V126" s="455">
        <v>0</v>
      </c>
      <c r="W126" s="371"/>
      <c r="AA126" s="533">
        <v>30.082191780821919</v>
      </c>
      <c r="AB126" s="534"/>
      <c r="AC126" s="455"/>
      <c r="AD126" s="455"/>
      <c r="AE126" s="455"/>
      <c r="AF126" s="455"/>
      <c r="AG126" s="455"/>
      <c r="AH126" s="455">
        <v>5.3345093960843748E-3</v>
      </c>
      <c r="AI126" s="455">
        <v>0</v>
      </c>
      <c r="AJ126" s="371"/>
      <c r="AN126" s="533">
        <v>30.082191780821919</v>
      </c>
      <c r="AO126" s="534"/>
      <c r="AP126" s="455">
        <v>5.5899999999999998E-2</v>
      </c>
      <c r="AQ126" s="455">
        <v>9.7000000000000003E-3</v>
      </c>
      <c r="AR126" s="455">
        <v>2.5000000000000001E-2</v>
      </c>
      <c r="AS126" s="455"/>
      <c r="AT126" s="455">
        <v>4.0599999999999997E-2</v>
      </c>
      <c r="AU126" s="654">
        <v>2.7000000000000001E-3</v>
      </c>
      <c r="AV126" s="455">
        <v>0</v>
      </c>
      <c r="AW126" s="371"/>
      <c r="BA126" s="533">
        <v>30.082191780821919</v>
      </c>
      <c r="BB126" s="534"/>
      <c r="BC126" s="455"/>
      <c r="BD126" s="455"/>
      <c r="BE126" s="455"/>
      <c r="BF126" s="455"/>
      <c r="BG126" s="455"/>
      <c r="BH126" s="782">
        <v>9.9969048093457857E-3</v>
      </c>
      <c r="BI126" s="455">
        <v>0</v>
      </c>
      <c r="BJ126" s="371"/>
    </row>
    <row r="127" spans="1:62">
      <c r="A127" s="533">
        <v>30.328767123287673</v>
      </c>
      <c r="B127" s="534"/>
      <c r="C127" s="455"/>
      <c r="D127" s="455"/>
      <c r="E127" s="455"/>
      <c r="F127" s="455"/>
      <c r="G127" s="455"/>
      <c r="H127" s="455">
        <v>3.5993158211381271E-2</v>
      </c>
      <c r="I127" s="455">
        <v>0</v>
      </c>
      <c r="J127" s="371"/>
      <c r="N127" s="533">
        <v>30.328767123287673</v>
      </c>
      <c r="O127" s="534"/>
      <c r="P127" s="455"/>
      <c r="Q127" s="455"/>
      <c r="R127" s="455"/>
      <c r="S127" s="455"/>
      <c r="T127" s="455"/>
      <c r="U127" s="455">
        <v>1.2314610563106454E-2</v>
      </c>
      <c r="V127" s="455">
        <v>0</v>
      </c>
      <c r="W127" s="371"/>
      <c r="AA127" s="533">
        <v>30.328767123287673</v>
      </c>
      <c r="AB127" s="534"/>
      <c r="AC127" s="455"/>
      <c r="AD127" s="455"/>
      <c r="AE127" s="455"/>
      <c r="AF127" s="455"/>
      <c r="AG127" s="455"/>
      <c r="AH127" s="455">
        <v>5.0980754468410439E-3</v>
      </c>
      <c r="AI127" s="455">
        <v>0</v>
      </c>
      <c r="AJ127" s="371"/>
      <c r="AN127" s="533">
        <v>30.328767123287673</v>
      </c>
      <c r="AO127" s="534"/>
      <c r="AP127" s="455">
        <v>5.57E-2</v>
      </c>
      <c r="AQ127" s="455">
        <v>9.7000000000000003E-3</v>
      </c>
      <c r="AR127" s="455">
        <v>2.4899999999999999E-2</v>
      </c>
      <c r="AS127" s="455"/>
      <c r="AT127" s="455">
        <v>4.0599999999999997E-2</v>
      </c>
      <c r="AU127" s="654">
        <v>2.5999999999999999E-3</v>
      </c>
      <c r="AV127" s="455">
        <v>0</v>
      </c>
      <c r="AW127" s="371"/>
      <c r="BA127" s="533">
        <v>30.328767123287673</v>
      </c>
      <c r="BB127" s="534"/>
      <c r="BC127" s="455"/>
      <c r="BD127" s="455"/>
      <c r="BE127" s="455"/>
      <c r="BF127" s="455"/>
      <c r="BG127" s="455"/>
      <c r="BH127" s="782">
        <v>9.942675635854048E-3</v>
      </c>
      <c r="BI127" s="455">
        <v>0</v>
      </c>
      <c r="BJ127" s="371"/>
    </row>
    <row r="128" spans="1:62">
      <c r="A128" s="533">
        <v>30.575342465753426</v>
      </c>
      <c r="B128" s="534"/>
      <c r="C128" s="455"/>
      <c r="D128" s="455"/>
      <c r="E128" s="455"/>
      <c r="F128" s="455"/>
      <c r="G128" s="455"/>
      <c r="H128" s="455">
        <v>3.6111609144696466E-2</v>
      </c>
      <c r="I128" s="455">
        <v>0</v>
      </c>
      <c r="J128" s="371"/>
      <c r="N128" s="533">
        <v>30.575342465753426</v>
      </c>
      <c r="O128" s="534"/>
      <c r="P128" s="455"/>
      <c r="Q128" s="455"/>
      <c r="R128" s="455"/>
      <c r="S128" s="455"/>
      <c r="T128" s="455"/>
      <c r="U128" s="455">
        <v>1.2282429741743872E-2</v>
      </c>
      <c r="V128" s="455">
        <v>0</v>
      </c>
      <c r="W128" s="371"/>
      <c r="AA128" s="533">
        <v>30.575342465753426</v>
      </c>
      <c r="AB128" s="534"/>
      <c r="AC128" s="455"/>
      <c r="AD128" s="455"/>
      <c r="AE128" s="455"/>
      <c r="AF128" s="455"/>
      <c r="AG128" s="455"/>
      <c r="AH128" s="455">
        <v>4.8611468356050125E-3</v>
      </c>
      <c r="AI128" s="455">
        <v>0</v>
      </c>
      <c r="AJ128" s="371"/>
      <c r="AN128" s="533">
        <v>30.575342465753426</v>
      </c>
      <c r="AO128" s="534"/>
      <c r="AP128" s="455">
        <v>5.5399999999999998E-2</v>
      </c>
      <c r="AQ128" s="455">
        <v>9.5999999999999992E-3</v>
      </c>
      <c r="AR128" s="455">
        <v>2.4799999999999999E-2</v>
      </c>
      <c r="AS128" s="455"/>
      <c r="AT128" s="455">
        <v>4.0599999999999997E-2</v>
      </c>
      <c r="AU128" s="654">
        <v>2.5000000000000001E-3</v>
      </c>
      <c r="AV128" s="455">
        <v>0</v>
      </c>
      <c r="AW128" s="371"/>
      <c r="BA128" s="533">
        <v>30.575342465753426</v>
      </c>
      <c r="BB128" s="534"/>
      <c r="BC128" s="455"/>
      <c r="BD128" s="455"/>
      <c r="BE128" s="455"/>
      <c r="BF128" s="455"/>
      <c r="BG128" s="455"/>
      <c r="BH128" s="782">
        <v>9.8886087535858813E-3</v>
      </c>
      <c r="BI128" s="455">
        <v>0</v>
      </c>
      <c r="BJ128" s="371"/>
    </row>
    <row r="129" spans="1:62">
      <c r="A129" s="533">
        <v>30.82191780821918</v>
      </c>
      <c r="B129" s="534"/>
      <c r="C129" s="455"/>
      <c r="D129" s="455"/>
      <c r="E129" s="455"/>
      <c r="F129" s="455"/>
      <c r="G129" s="455"/>
      <c r="H129" s="455">
        <v>3.6230478409587485E-2</v>
      </c>
      <c r="I129" s="455">
        <v>0</v>
      </c>
      <c r="J129" s="371"/>
      <c r="N129" s="533">
        <v>30.82191780821918</v>
      </c>
      <c r="O129" s="534"/>
      <c r="P129" s="455"/>
      <c r="Q129" s="455"/>
      <c r="R129" s="455"/>
      <c r="S129" s="455"/>
      <c r="T129" s="455"/>
      <c r="U129" s="455">
        <v>1.2251463051666134E-2</v>
      </c>
      <c r="V129" s="455">
        <v>0</v>
      </c>
      <c r="W129" s="371"/>
      <c r="AA129" s="533">
        <v>30.82191780821918</v>
      </c>
      <c r="AB129" s="534"/>
      <c r="AC129" s="455"/>
      <c r="AD129" s="455"/>
      <c r="AE129" s="455"/>
      <c r="AF129" s="455"/>
      <c r="AG129" s="455"/>
      <c r="AH129" s="455">
        <v>4.623759010075279E-3</v>
      </c>
      <c r="AI129" s="455">
        <v>0</v>
      </c>
      <c r="AJ129" s="371"/>
      <c r="AN129" s="533">
        <v>30.82191780821918</v>
      </c>
      <c r="AO129" s="534"/>
      <c r="AP129" s="455">
        <v>5.5199999999999999E-2</v>
      </c>
      <c r="AQ129" s="455">
        <v>9.4999999999999998E-3</v>
      </c>
      <c r="AR129" s="455">
        <v>2.4799999999999999E-2</v>
      </c>
      <c r="AS129" s="455"/>
      <c r="AT129" s="455">
        <v>4.0599999999999997E-2</v>
      </c>
      <c r="AU129" s="654">
        <v>2.3E-3</v>
      </c>
      <c r="AV129" s="455">
        <v>0</v>
      </c>
      <c r="AW129" s="371"/>
      <c r="BA129" s="533">
        <v>30.82191780821918</v>
      </c>
      <c r="BB129" s="534"/>
      <c r="BC129" s="455"/>
      <c r="BD129" s="455"/>
      <c r="BE129" s="455"/>
      <c r="BF129" s="455"/>
      <c r="BG129" s="455"/>
      <c r="BH129" s="782">
        <v>9.8347206796871589E-3</v>
      </c>
      <c r="BI129" s="455">
        <v>0</v>
      </c>
      <c r="BJ129" s="371"/>
    </row>
    <row r="130" spans="1:62">
      <c r="A130" s="533">
        <v>31.068493150684933</v>
      </c>
      <c r="B130" s="534"/>
      <c r="C130" s="455"/>
      <c r="D130" s="455"/>
      <c r="E130" s="455"/>
      <c r="F130" s="455"/>
      <c r="G130" s="455"/>
      <c r="H130" s="455">
        <v>3.6349738882168747E-2</v>
      </c>
      <c r="I130" s="455">
        <v>0</v>
      </c>
      <c r="J130" s="371"/>
      <c r="N130" s="533">
        <v>31.068493150684933</v>
      </c>
      <c r="O130" s="534"/>
      <c r="P130" s="455"/>
      <c r="Q130" s="455"/>
      <c r="R130" s="455"/>
      <c r="S130" s="455"/>
      <c r="T130" s="455"/>
      <c r="U130" s="455">
        <v>1.2221695162613289E-2</v>
      </c>
      <c r="V130" s="455">
        <v>0</v>
      </c>
      <c r="W130" s="371"/>
      <c r="AA130" s="533">
        <v>31.068493150684933</v>
      </c>
      <c r="AB130" s="534"/>
      <c r="AC130" s="455"/>
      <c r="AD130" s="455"/>
      <c r="AE130" s="455"/>
      <c r="AF130" s="455"/>
      <c r="AG130" s="455"/>
      <c r="AH130" s="455">
        <v>4.3859520678819486E-3</v>
      </c>
      <c r="AI130" s="455">
        <v>0</v>
      </c>
      <c r="AJ130" s="371"/>
      <c r="AN130" s="533">
        <v>31.068493150684933</v>
      </c>
      <c r="AO130" s="534"/>
      <c r="AP130" s="455">
        <v>5.4899999999999997E-2</v>
      </c>
      <c r="AQ130" s="455">
        <v>9.4000000000000004E-3</v>
      </c>
      <c r="AR130" s="455">
        <v>2.47E-2</v>
      </c>
      <c r="AS130" s="455"/>
      <c r="AT130" s="455">
        <v>4.0599999999999997E-2</v>
      </c>
      <c r="AU130" s="654">
        <v>2.2000000000000001E-3</v>
      </c>
      <c r="AV130" s="455">
        <v>0</v>
      </c>
      <c r="AW130" s="371"/>
      <c r="BA130" s="533">
        <v>31.068493150684933</v>
      </c>
      <c r="BB130" s="534"/>
      <c r="BC130" s="455"/>
      <c r="BD130" s="455"/>
      <c r="BE130" s="455"/>
      <c r="BF130" s="455"/>
      <c r="BG130" s="455"/>
      <c r="BH130" s="782">
        <v>9.78102797014202E-3</v>
      </c>
      <c r="BI130" s="455">
        <v>0</v>
      </c>
      <c r="BJ130" s="371"/>
    </row>
    <row r="131" spans="1:62">
      <c r="A131" s="533">
        <v>31.315068493150687</v>
      </c>
      <c r="B131" s="534"/>
      <c r="C131" s="455"/>
      <c r="D131" s="455"/>
      <c r="E131" s="455"/>
      <c r="F131" s="455"/>
      <c r="G131" s="455"/>
      <c r="H131" s="455">
        <v>3.6469362480488376E-2</v>
      </c>
      <c r="I131" s="455">
        <v>0</v>
      </c>
      <c r="J131" s="371"/>
      <c r="N131" s="533">
        <v>31.315068493150687</v>
      </c>
      <c r="O131" s="534"/>
      <c r="P131" s="455"/>
      <c r="Q131" s="455"/>
      <c r="R131" s="455"/>
      <c r="S131" s="455"/>
      <c r="T131" s="455"/>
      <c r="U131" s="455">
        <v>1.2193111691079173E-2</v>
      </c>
      <c r="V131" s="455">
        <v>0</v>
      </c>
      <c r="W131" s="371"/>
      <c r="AA131" s="533">
        <v>31.315068493150687</v>
      </c>
      <c r="AB131" s="534"/>
      <c r="AC131" s="455"/>
      <c r="AD131" s="455"/>
      <c r="AE131" s="455"/>
      <c r="AF131" s="455"/>
      <c r="AG131" s="455"/>
      <c r="AH131" s="455">
        <v>4.1477585119853444E-3</v>
      </c>
      <c r="AI131" s="455">
        <v>0</v>
      </c>
      <c r="AJ131" s="371"/>
      <c r="AN131" s="533">
        <v>31.315068493150687</v>
      </c>
      <c r="AO131" s="534"/>
      <c r="AP131" s="455">
        <v>5.4699999999999999E-2</v>
      </c>
      <c r="AQ131" s="455">
        <v>9.4000000000000004E-3</v>
      </c>
      <c r="AR131" s="455">
        <v>2.46E-2</v>
      </c>
      <c r="AS131" s="455"/>
      <c r="AT131" s="455">
        <v>4.0599999999999997E-2</v>
      </c>
      <c r="AU131" s="654">
        <v>2.0999999999999999E-3</v>
      </c>
      <c r="AV131" s="455">
        <v>0</v>
      </c>
      <c r="AW131" s="371"/>
      <c r="BA131" s="533">
        <v>31.315068493150687</v>
      </c>
      <c r="BB131" s="534"/>
      <c r="BC131" s="455"/>
      <c r="BD131" s="455"/>
      <c r="BE131" s="455"/>
      <c r="BF131" s="455"/>
      <c r="BG131" s="455"/>
      <c r="BH131" s="782">
        <v>9.7275452972014342E-3</v>
      </c>
      <c r="BI131" s="455">
        <v>0</v>
      </c>
      <c r="BJ131" s="371"/>
    </row>
    <row r="132" spans="1:62">
      <c r="A132" s="533">
        <v>31.561643835616437</v>
      </c>
      <c r="B132" s="534"/>
      <c r="C132" s="455"/>
      <c r="D132" s="455"/>
      <c r="E132" s="455"/>
      <c r="F132" s="455"/>
      <c r="G132" s="455"/>
      <c r="H132" s="455">
        <v>3.6589322028136584E-2</v>
      </c>
      <c r="I132" s="455">
        <v>0</v>
      </c>
      <c r="J132" s="371"/>
      <c r="N132" s="533">
        <v>31.561643835616437</v>
      </c>
      <c r="O132" s="534"/>
      <c r="P132" s="455"/>
      <c r="Q132" s="455"/>
      <c r="R132" s="455"/>
      <c r="S132" s="455"/>
      <c r="T132" s="455"/>
      <c r="U132" s="455">
        <v>1.216569922273103E-2</v>
      </c>
      <c r="V132" s="455">
        <v>0</v>
      </c>
      <c r="W132" s="371"/>
      <c r="AA132" s="533">
        <v>31.561643835616437</v>
      </c>
      <c r="AB132" s="534"/>
      <c r="AC132" s="455"/>
      <c r="AD132" s="455"/>
      <c r="AE132" s="455"/>
      <c r="AF132" s="455"/>
      <c r="AG132" s="455"/>
      <c r="AH132" s="455">
        <v>3.9092145490600139E-3</v>
      </c>
      <c r="AI132" s="455">
        <v>0</v>
      </c>
      <c r="AJ132" s="371"/>
      <c r="AN132" s="533">
        <v>31.561643835616437</v>
      </c>
      <c r="AO132" s="534"/>
      <c r="AP132" s="455">
        <v>5.4399999999999997E-2</v>
      </c>
      <c r="AQ132" s="455">
        <v>9.2999999999999992E-3</v>
      </c>
      <c r="AR132" s="455">
        <v>2.4500000000000001E-2</v>
      </c>
      <c r="AS132" s="455"/>
      <c r="AT132" s="455">
        <v>4.0500000000000001E-2</v>
      </c>
      <c r="AU132" s="654">
        <v>2E-3</v>
      </c>
      <c r="AV132" s="455">
        <v>0</v>
      </c>
      <c r="AW132" s="371"/>
      <c r="BA132" s="533">
        <v>31.561643835616437</v>
      </c>
      <c r="BB132" s="534"/>
      <c r="BC132" s="455"/>
      <c r="BD132" s="455"/>
      <c r="BE132" s="455"/>
      <c r="BF132" s="455"/>
      <c r="BG132" s="455"/>
      <c r="BH132" s="782">
        <v>9.6742864192558287E-3</v>
      </c>
      <c r="BI132" s="455">
        <v>0</v>
      </c>
      <c r="BJ132" s="371"/>
    </row>
    <row r="133" spans="1:62">
      <c r="A133" s="533">
        <v>31.80821917808219</v>
      </c>
      <c r="B133" s="534"/>
      <c r="C133" s="455"/>
      <c r="D133" s="455"/>
      <c r="E133" s="455"/>
      <c r="F133" s="455"/>
      <c r="G133" s="455"/>
      <c r="H133" s="455">
        <v>3.6709591431262512E-2</v>
      </c>
      <c r="I133" s="455">
        <v>0</v>
      </c>
      <c r="J133" s="371"/>
      <c r="N133" s="533">
        <v>31.80821917808219</v>
      </c>
      <c r="O133" s="534"/>
      <c r="P133" s="455"/>
      <c r="Q133" s="455"/>
      <c r="R133" s="455"/>
      <c r="S133" s="455"/>
      <c r="T133" s="455"/>
      <c r="U133" s="455">
        <v>1.2139442455344263E-2</v>
      </c>
      <c r="V133" s="455">
        <v>0</v>
      </c>
      <c r="W133" s="371"/>
      <c r="AA133" s="533">
        <v>31.80821917808219</v>
      </c>
      <c r="AB133" s="534"/>
      <c r="AC133" s="455"/>
      <c r="AD133" s="455"/>
      <c r="AE133" s="455"/>
      <c r="AF133" s="455"/>
      <c r="AG133" s="455"/>
      <c r="AH133" s="455">
        <v>3.6703535032025503E-3</v>
      </c>
      <c r="AI133" s="455">
        <v>0</v>
      </c>
      <c r="AJ133" s="371"/>
      <c r="AN133" s="533">
        <v>31.80821917808219</v>
      </c>
      <c r="AO133" s="534"/>
      <c r="AP133" s="455">
        <v>5.4100000000000002E-2</v>
      </c>
      <c r="AQ133" s="455">
        <v>9.1999999999999998E-3</v>
      </c>
      <c r="AR133" s="455">
        <v>2.4500000000000001E-2</v>
      </c>
      <c r="AS133" s="455"/>
      <c r="AT133" s="455">
        <v>4.0500000000000001E-2</v>
      </c>
      <c r="AU133" s="654">
        <v>1.9E-3</v>
      </c>
      <c r="AV133" s="455">
        <v>0</v>
      </c>
      <c r="AW133" s="371"/>
      <c r="BA133" s="533">
        <v>31.80821917808219</v>
      </c>
      <c r="BB133" s="534"/>
      <c r="BC133" s="455"/>
      <c r="BD133" s="455"/>
      <c r="BE133" s="455"/>
      <c r="BF133" s="455"/>
      <c r="BG133" s="455"/>
      <c r="BH133" s="782">
        <v>9.6212651047207221E-3</v>
      </c>
      <c r="BI133" s="455">
        <v>0</v>
      </c>
      <c r="BJ133" s="371"/>
    </row>
    <row r="134" spans="1:62">
      <c r="A134" s="533">
        <v>32.054794520547944</v>
      </c>
      <c r="B134" s="534"/>
      <c r="C134" s="455"/>
      <c r="D134" s="455"/>
      <c r="E134" s="455"/>
      <c r="F134" s="455"/>
      <c r="G134" s="455"/>
      <c r="H134" s="455">
        <v>3.6830145502889655E-2</v>
      </c>
      <c r="I134" s="455">
        <v>0</v>
      </c>
      <c r="J134" s="371"/>
      <c r="N134" s="533">
        <v>32.054794520547944</v>
      </c>
      <c r="O134" s="534"/>
      <c r="P134" s="455"/>
      <c r="Q134" s="455"/>
      <c r="R134" s="455"/>
      <c r="S134" s="455"/>
      <c r="T134" s="455"/>
      <c r="U134" s="455">
        <v>1.2114327055036345E-2</v>
      </c>
      <c r="V134" s="455">
        <v>0</v>
      </c>
      <c r="W134" s="371"/>
      <c r="AA134" s="533">
        <v>32.054794520547944</v>
      </c>
      <c r="AB134" s="534"/>
      <c r="AC134" s="455"/>
      <c r="AD134" s="455"/>
      <c r="AE134" s="455"/>
      <c r="AF134" s="455"/>
      <c r="AG134" s="455"/>
      <c r="AH134" s="455">
        <v>3.4312086411127929E-3</v>
      </c>
      <c r="AI134" s="455">
        <v>0</v>
      </c>
      <c r="AJ134" s="371"/>
      <c r="AN134" s="533">
        <v>32.054794520547944</v>
      </c>
      <c r="AO134" s="534"/>
      <c r="AP134" s="455">
        <v>5.3900000000000003E-2</v>
      </c>
      <c r="AQ134" s="455">
        <v>9.1000000000000004E-3</v>
      </c>
      <c r="AR134" s="455">
        <v>2.4400000000000002E-2</v>
      </c>
      <c r="AS134" s="455"/>
      <c r="AT134" s="455">
        <v>4.0599999999999997E-2</v>
      </c>
      <c r="AU134" s="654">
        <v>1.6999999999999999E-3</v>
      </c>
      <c r="AV134" s="455">
        <v>0</v>
      </c>
      <c r="AW134" s="371"/>
      <c r="BA134" s="533">
        <v>32.054794520547944</v>
      </c>
      <c r="BB134" s="534"/>
      <c r="BC134" s="455"/>
      <c r="BD134" s="455"/>
      <c r="BE134" s="455"/>
      <c r="BF134" s="455"/>
      <c r="BG134" s="455"/>
      <c r="BH134" s="782">
        <v>9.5684941983400496E-3</v>
      </c>
      <c r="BI134" s="455">
        <v>0</v>
      </c>
      <c r="BJ134" s="371"/>
    </row>
    <row r="135" spans="1:62">
      <c r="A135" s="533">
        <v>32.301369863013697</v>
      </c>
      <c r="B135" s="534"/>
      <c r="C135" s="455"/>
      <c r="D135" s="455"/>
      <c r="E135" s="455"/>
      <c r="F135" s="455"/>
      <c r="G135" s="455"/>
      <c r="H135" s="455">
        <v>3.6950959066382127E-2</v>
      </c>
      <c r="I135" s="455">
        <v>0</v>
      </c>
      <c r="J135" s="371"/>
      <c r="N135" s="533">
        <v>32.301369863013697</v>
      </c>
      <c r="O135" s="534"/>
      <c r="P135" s="455"/>
      <c r="Q135" s="455"/>
      <c r="R135" s="455"/>
      <c r="S135" s="455"/>
      <c r="T135" s="455"/>
      <c r="U135" s="455">
        <v>1.2090337747713953E-2</v>
      </c>
      <c r="V135" s="455">
        <v>0</v>
      </c>
      <c r="W135" s="371"/>
      <c r="AA135" s="533">
        <v>32.301369863013697</v>
      </c>
      <c r="AB135" s="534"/>
      <c r="AC135" s="455"/>
      <c r="AD135" s="455"/>
      <c r="AE135" s="455"/>
      <c r="AF135" s="455"/>
      <c r="AG135" s="455"/>
      <c r="AH135" s="455">
        <v>3.1918122345495625E-3</v>
      </c>
      <c r="AI135" s="455">
        <v>0</v>
      </c>
      <c r="AJ135" s="371"/>
      <c r="AN135" s="533">
        <v>32.301369863013697</v>
      </c>
      <c r="AO135" s="534"/>
      <c r="AP135" s="455">
        <v>5.3600000000000002E-2</v>
      </c>
      <c r="AQ135" s="455">
        <v>9.1000000000000004E-3</v>
      </c>
      <c r="AR135" s="455">
        <v>2.4299999999999999E-2</v>
      </c>
      <c r="AS135" s="455"/>
      <c r="AT135" s="455">
        <v>4.0599999999999997E-2</v>
      </c>
      <c r="AU135" s="654">
        <v>1.6000000000000001E-3</v>
      </c>
      <c r="AV135" s="455">
        <v>0</v>
      </c>
      <c r="AW135" s="371"/>
      <c r="BA135" s="533">
        <v>32.301369863013697</v>
      </c>
      <c r="BB135" s="534"/>
      <c r="BC135" s="455"/>
      <c r="BD135" s="455"/>
      <c r="BE135" s="455"/>
      <c r="BF135" s="455"/>
      <c r="BG135" s="455"/>
      <c r="BH135" s="782">
        <v>9.515985629700241E-3</v>
      </c>
      <c r="BI135" s="455">
        <v>0</v>
      </c>
      <c r="BJ135" s="371"/>
    </row>
    <row r="136" spans="1:62">
      <c r="A136" s="533">
        <v>32.547945205479451</v>
      </c>
      <c r="B136" s="534"/>
      <c r="C136" s="455"/>
      <c r="D136" s="455"/>
      <c r="E136" s="455"/>
      <c r="F136" s="455"/>
      <c r="G136" s="455"/>
      <c r="H136" s="455">
        <v>3.7072007995154088E-2</v>
      </c>
      <c r="I136" s="455">
        <v>0</v>
      </c>
      <c r="J136" s="371"/>
      <c r="N136" s="533">
        <v>32.547945205479451</v>
      </c>
      <c r="O136" s="534"/>
      <c r="P136" s="455"/>
      <c r="Q136" s="455"/>
      <c r="R136" s="455"/>
      <c r="S136" s="455"/>
      <c r="T136" s="455"/>
      <c r="U136" s="455">
        <v>1.2067461163746129E-2</v>
      </c>
      <c r="V136" s="455">
        <v>0</v>
      </c>
      <c r="W136" s="371"/>
      <c r="AA136" s="533">
        <v>32.547945205479451</v>
      </c>
      <c r="AB136" s="534"/>
      <c r="AC136" s="455"/>
      <c r="AD136" s="455"/>
      <c r="AE136" s="455"/>
      <c r="AF136" s="455"/>
      <c r="AG136" s="455"/>
      <c r="AH136" s="455">
        <v>2.9521964931551459E-3</v>
      </c>
      <c r="AI136" s="455">
        <v>0</v>
      </c>
      <c r="AJ136" s="371"/>
      <c r="AN136" s="533">
        <v>32.547945205479451</v>
      </c>
      <c r="AO136" s="534"/>
      <c r="AP136" s="455">
        <v>5.33E-2</v>
      </c>
      <c r="AQ136" s="455">
        <v>8.9999999999999993E-3</v>
      </c>
      <c r="AR136" s="455">
        <v>2.4199999999999999E-2</v>
      </c>
      <c r="AS136" s="455"/>
      <c r="AT136" s="455">
        <v>4.0599999999999997E-2</v>
      </c>
      <c r="AU136" s="654">
        <v>1.5E-3</v>
      </c>
      <c r="AV136" s="455">
        <v>0</v>
      </c>
      <c r="AW136" s="371"/>
      <c r="BA136" s="533">
        <v>32.547945205479451</v>
      </c>
      <c r="BB136" s="534"/>
      <c r="BC136" s="455"/>
      <c r="BD136" s="455"/>
      <c r="BE136" s="455"/>
      <c r="BF136" s="455"/>
      <c r="BG136" s="455"/>
      <c r="BH136" s="782">
        <v>9.4637503768195685E-3</v>
      </c>
      <c r="BI136" s="455">
        <v>0</v>
      </c>
      <c r="BJ136" s="371"/>
    </row>
    <row r="137" spans="1:62">
      <c r="A137" s="533">
        <v>32.794520547945204</v>
      </c>
      <c r="B137" s="534"/>
      <c r="C137" s="455"/>
      <c r="D137" s="455"/>
      <c r="E137" s="455"/>
      <c r="F137" s="455"/>
      <c r="G137" s="455"/>
      <c r="H137" s="455">
        <v>3.7193268066947116E-2</v>
      </c>
      <c r="I137" s="455">
        <v>0</v>
      </c>
      <c r="J137" s="371"/>
      <c r="N137" s="533">
        <v>32.794520547945204</v>
      </c>
      <c r="O137" s="534"/>
      <c r="P137" s="455"/>
      <c r="Q137" s="455"/>
      <c r="R137" s="455"/>
      <c r="S137" s="455"/>
      <c r="T137" s="455"/>
      <c r="U137" s="455">
        <v>1.2045682055574991E-2</v>
      </c>
      <c r="V137" s="455">
        <v>0</v>
      </c>
      <c r="W137" s="371"/>
      <c r="AA137" s="533">
        <v>32.794520547945204</v>
      </c>
      <c r="AB137" s="534"/>
      <c r="AC137" s="455"/>
      <c r="AD137" s="455"/>
      <c r="AE137" s="455"/>
      <c r="AF137" s="455"/>
      <c r="AG137" s="455"/>
      <c r="AH137" s="455">
        <v>2.7123907632480293E-3</v>
      </c>
      <c r="AI137" s="455">
        <v>0</v>
      </c>
      <c r="AJ137" s="371"/>
      <c r="AN137" s="533">
        <v>32.794520547945204</v>
      </c>
      <c r="AO137" s="534"/>
      <c r="AP137" s="455">
        <v>5.2999999999999999E-2</v>
      </c>
      <c r="AQ137" s="455">
        <v>8.8999999999999999E-3</v>
      </c>
      <c r="AR137" s="455">
        <v>2.41E-2</v>
      </c>
      <c r="AS137" s="455"/>
      <c r="AT137" s="455">
        <v>4.0599999999999997E-2</v>
      </c>
      <c r="AU137" s="654">
        <v>1.4E-3</v>
      </c>
      <c r="AV137" s="455">
        <v>0</v>
      </c>
      <c r="AW137" s="371"/>
      <c r="BA137" s="533">
        <v>32.794520547945204</v>
      </c>
      <c r="BB137" s="534"/>
      <c r="BC137" s="455"/>
      <c r="BD137" s="455"/>
      <c r="BE137" s="455"/>
      <c r="BF137" s="455"/>
      <c r="BG137" s="455"/>
      <c r="BH137" s="782">
        <v>9.4117985107680102E-3</v>
      </c>
      <c r="BI137" s="455">
        <v>0</v>
      </c>
      <c r="BJ137" s="371"/>
    </row>
    <row r="138" spans="1:62">
      <c r="A138" s="533">
        <v>33.041095890410958</v>
      </c>
      <c r="B138" s="534"/>
      <c r="C138" s="455"/>
      <c r="D138" s="455"/>
      <c r="E138" s="455"/>
      <c r="F138" s="455"/>
      <c r="G138" s="455"/>
      <c r="H138" s="455">
        <v>3.7314717114725893E-2</v>
      </c>
      <c r="I138" s="455">
        <v>0</v>
      </c>
      <c r="J138" s="371"/>
      <c r="N138" s="533">
        <v>33.041095890410958</v>
      </c>
      <c r="O138" s="534"/>
      <c r="P138" s="455"/>
      <c r="Q138" s="455"/>
      <c r="R138" s="455"/>
      <c r="S138" s="455"/>
      <c r="T138" s="455"/>
      <c r="U138" s="455">
        <v>1.2024987056769909E-2</v>
      </c>
      <c r="V138" s="455">
        <v>0</v>
      </c>
      <c r="W138" s="371"/>
      <c r="AA138" s="533">
        <v>33.041095890410958</v>
      </c>
      <c r="AB138" s="534"/>
      <c r="AC138" s="455"/>
      <c r="AD138" s="455"/>
      <c r="AE138" s="455"/>
      <c r="AF138" s="455"/>
      <c r="AG138" s="455"/>
      <c r="AH138" s="455">
        <v>2.4724262048172463E-3</v>
      </c>
      <c r="AI138" s="455">
        <v>0</v>
      </c>
      <c r="AJ138" s="371"/>
      <c r="AN138" s="533">
        <v>33.041095890410958</v>
      </c>
      <c r="AO138" s="534"/>
      <c r="AP138" s="455">
        <v>5.28E-2</v>
      </c>
      <c r="AQ138" s="455">
        <v>8.8000000000000005E-3</v>
      </c>
      <c r="AR138" s="455">
        <v>2.4E-2</v>
      </c>
      <c r="AS138" s="455"/>
      <c r="AT138" s="455">
        <v>4.0599999999999997E-2</v>
      </c>
      <c r="AU138" s="654">
        <v>1.2999999999999999E-3</v>
      </c>
      <c r="AV138" s="455">
        <v>0</v>
      </c>
      <c r="AW138" s="371"/>
      <c r="BA138" s="533">
        <v>33.041095890410958</v>
      </c>
      <c r="BB138" s="534"/>
      <c r="BC138" s="455"/>
      <c r="BD138" s="455"/>
      <c r="BE138" s="455"/>
      <c r="BF138" s="455"/>
      <c r="BG138" s="455"/>
      <c r="BH138" s="782">
        <v>9.3601410452934797E-3</v>
      </c>
      <c r="BI138" s="455">
        <v>0</v>
      </c>
      <c r="BJ138" s="371"/>
    </row>
    <row r="139" spans="1:62">
      <c r="A139" s="533">
        <v>33.287671232876711</v>
      </c>
      <c r="B139" s="534"/>
      <c r="C139" s="455"/>
      <c r="D139" s="455"/>
      <c r="E139" s="455"/>
      <c r="F139" s="455"/>
      <c r="G139" s="455"/>
      <c r="H139" s="455">
        <v>3.7436332876518819E-2</v>
      </c>
      <c r="I139" s="455">
        <v>0</v>
      </c>
      <c r="J139" s="371"/>
      <c r="N139" s="533">
        <v>33.287671232876711</v>
      </c>
      <c r="O139" s="534"/>
      <c r="P139" s="455"/>
      <c r="Q139" s="455"/>
      <c r="R139" s="455"/>
      <c r="S139" s="455"/>
      <c r="T139" s="455"/>
      <c r="U139" s="455">
        <v>1.2005359070868415E-2</v>
      </c>
      <c r="V139" s="455">
        <v>0</v>
      </c>
      <c r="W139" s="371"/>
      <c r="AA139" s="533">
        <v>33.287671232876711</v>
      </c>
      <c r="AB139" s="534"/>
      <c r="AC139" s="455"/>
      <c r="AD139" s="455"/>
      <c r="AE139" s="455"/>
      <c r="AF139" s="455"/>
      <c r="AG139" s="455"/>
      <c r="AH139" s="455">
        <v>2.2323311223557685E-3</v>
      </c>
      <c r="AI139" s="455">
        <v>0</v>
      </c>
      <c r="AJ139" s="371"/>
      <c r="AN139" s="533">
        <v>33.287671232876711</v>
      </c>
      <c r="AO139" s="534"/>
      <c r="AP139" s="455">
        <v>5.2499999999999998E-2</v>
      </c>
      <c r="AQ139" s="455">
        <v>8.6999999999999994E-3</v>
      </c>
      <c r="AR139" s="455">
        <v>2.3900000000000001E-2</v>
      </c>
      <c r="AS139" s="455"/>
      <c r="AT139" s="455">
        <v>4.0599999999999997E-2</v>
      </c>
      <c r="AU139" s="654">
        <v>1.1999999999999999E-3</v>
      </c>
      <c r="AV139" s="455">
        <v>0</v>
      </c>
      <c r="AW139" s="371"/>
      <c r="BA139" s="533">
        <v>33.287671232876711</v>
      </c>
      <c r="BB139" s="534"/>
      <c r="BC139" s="455"/>
      <c r="BD139" s="455"/>
      <c r="BE139" s="455"/>
      <c r="BF139" s="455"/>
      <c r="BG139" s="455"/>
      <c r="BH139" s="782">
        <v>9.3087871433961134E-3</v>
      </c>
      <c r="BI139" s="455">
        <v>0</v>
      </c>
      <c r="BJ139" s="371"/>
    </row>
    <row r="140" spans="1:62">
      <c r="A140" s="533">
        <v>33.534246575342465</v>
      </c>
      <c r="B140" s="534"/>
      <c r="C140" s="455"/>
      <c r="D140" s="455"/>
      <c r="E140" s="455"/>
      <c r="F140" s="455"/>
      <c r="G140" s="455"/>
      <c r="H140" s="455">
        <v>3.7558092207791383E-2</v>
      </c>
      <c r="I140" s="455">
        <v>0</v>
      </c>
      <c r="J140" s="371"/>
      <c r="N140" s="533">
        <v>33.534246575342465</v>
      </c>
      <c r="O140" s="534"/>
      <c r="P140" s="455"/>
      <c r="Q140" s="455"/>
      <c r="R140" s="455"/>
      <c r="S140" s="455"/>
      <c r="T140" s="455"/>
      <c r="U140" s="455">
        <v>1.1986785692892576E-2</v>
      </c>
      <c r="V140" s="455">
        <v>0</v>
      </c>
      <c r="W140" s="371"/>
      <c r="AA140" s="533">
        <v>33.534246575342465</v>
      </c>
      <c r="AB140" s="534"/>
      <c r="AC140" s="455"/>
      <c r="AD140" s="455"/>
      <c r="AE140" s="455"/>
      <c r="AF140" s="455"/>
      <c r="AG140" s="455"/>
      <c r="AH140" s="455">
        <v>1.9921337590125265E-3</v>
      </c>
      <c r="AI140" s="455">
        <v>0</v>
      </c>
      <c r="AJ140" s="371"/>
      <c r="AN140" s="533">
        <v>33.534246575342465</v>
      </c>
      <c r="AO140" s="534"/>
      <c r="AP140" s="455">
        <v>5.2200000000000003E-2</v>
      </c>
      <c r="AQ140" s="455">
        <v>8.6999999999999994E-3</v>
      </c>
      <c r="AR140" s="455">
        <v>2.3800000000000002E-2</v>
      </c>
      <c r="AS140" s="455"/>
      <c r="AT140" s="455">
        <v>4.0599999999999997E-2</v>
      </c>
      <c r="AU140" s="654">
        <v>1.1000000000000001E-3</v>
      </c>
      <c r="AV140" s="455">
        <v>0</v>
      </c>
      <c r="AW140" s="371"/>
      <c r="BA140" s="533">
        <v>33.534246575342465</v>
      </c>
      <c r="BB140" s="534"/>
      <c r="BC140" s="455"/>
      <c r="BD140" s="455"/>
      <c r="BE140" s="455"/>
      <c r="BF140" s="455"/>
      <c r="BG140" s="455"/>
      <c r="BH140" s="782">
        <v>9.2577450067596878E-3</v>
      </c>
      <c r="BI140" s="455">
        <v>0</v>
      </c>
      <c r="BJ140" s="371"/>
    </row>
    <row r="141" spans="1:62">
      <c r="A141" s="533">
        <v>33.780821917808218</v>
      </c>
      <c r="B141" s="534"/>
      <c r="C141" s="455"/>
      <c r="D141" s="455"/>
      <c r="E141" s="455"/>
      <c r="F141" s="455"/>
      <c r="G141" s="455"/>
      <c r="H141" s="455">
        <v>3.7679973877490447E-2</v>
      </c>
      <c r="I141" s="455">
        <v>0</v>
      </c>
      <c r="J141" s="371"/>
      <c r="N141" s="533">
        <v>33.780821917808218</v>
      </c>
      <c r="O141" s="534"/>
      <c r="P141" s="455"/>
      <c r="Q141" s="455"/>
      <c r="R141" s="455"/>
      <c r="S141" s="455"/>
      <c r="T141" s="455"/>
      <c r="U141" s="455">
        <v>1.1969251724118113E-2</v>
      </c>
      <c r="V141" s="455">
        <v>0</v>
      </c>
      <c r="W141" s="371"/>
      <c r="AA141" s="533">
        <v>33.780821917808218</v>
      </c>
      <c r="AB141" s="534"/>
      <c r="AC141" s="455"/>
      <c r="AD141" s="455"/>
      <c r="AE141" s="455"/>
      <c r="AF141" s="455"/>
      <c r="AG141" s="455"/>
      <c r="AH141" s="455">
        <v>1.7518632531179357E-3</v>
      </c>
      <c r="AI141" s="455">
        <v>0</v>
      </c>
      <c r="AJ141" s="371"/>
      <c r="AN141" s="533">
        <v>33.780821917808218</v>
      </c>
      <c r="AO141" s="534"/>
      <c r="AP141" s="455">
        <v>5.1900000000000002E-2</v>
      </c>
      <c r="AQ141" s="455">
        <v>8.6E-3</v>
      </c>
      <c r="AR141" s="455">
        <v>2.3699999999999999E-2</v>
      </c>
      <c r="AS141" s="455"/>
      <c r="AT141" s="455">
        <v>4.0599999999999997E-2</v>
      </c>
      <c r="AU141" s="654">
        <v>1E-3</v>
      </c>
      <c r="AV141" s="455">
        <v>0</v>
      </c>
      <c r="AW141" s="371"/>
      <c r="BA141" s="533">
        <v>33.780821917808218</v>
      </c>
      <c r="BB141" s="534"/>
      <c r="BC141" s="455"/>
      <c r="BD141" s="455"/>
      <c r="BE141" s="455"/>
      <c r="BF141" s="455"/>
      <c r="BG141" s="455"/>
      <c r="BH141" s="782">
        <v>9.2070238318764375E-3</v>
      </c>
      <c r="BI141" s="455">
        <v>0</v>
      </c>
      <c r="BJ141" s="371"/>
    </row>
    <row r="142" spans="1:62">
      <c r="A142" s="533">
        <v>34.027397260273972</v>
      </c>
      <c r="B142" s="534"/>
      <c r="C142" s="455"/>
      <c r="D142" s="455"/>
      <c r="E142" s="455"/>
      <c r="F142" s="455"/>
      <c r="G142" s="455"/>
      <c r="H142" s="455">
        <v>3.78019586053846E-2</v>
      </c>
      <c r="I142" s="455">
        <v>0</v>
      </c>
      <c r="J142" s="371"/>
      <c r="N142" s="533">
        <v>34.027397260273972</v>
      </c>
      <c r="O142" s="534"/>
      <c r="P142" s="455"/>
      <c r="Q142" s="455"/>
      <c r="R142" s="455"/>
      <c r="S142" s="455"/>
      <c r="T142" s="455"/>
      <c r="U142" s="455">
        <v>1.1952742897385349E-2</v>
      </c>
      <c r="V142" s="455">
        <v>0</v>
      </c>
      <c r="W142" s="371"/>
      <c r="AA142" s="533">
        <v>34.027397260273972</v>
      </c>
      <c r="AB142" s="534"/>
      <c r="AC142" s="455"/>
      <c r="AD142" s="455"/>
      <c r="AE142" s="455"/>
      <c r="AF142" s="455"/>
      <c r="AG142" s="455"/>
      <c r="AH142" s="455">
        <v>1.5115468150586064E-3</v>
      </c>
      <c r="AI142" s="455">
        <v>0</v>
      </c>
      <c r="AJ142" s="371"/>
      <c r="AN142" s="533">
        <v>34.027397260273972</v>
      </c>
      <c r="AO142" s="534"/>
      <c r="AP142" s="455">
        <v>5.16E-2</v>
      </c>
      <c r="AQ142" s="455">
        <v>8.5000000000000006E-3</v>
      </c>
      <c r="AR142" s="455">
        <v>2.3599999999999999E-2</v>
      </c>
      <c r="AS142" s="455"/>
      <c r="AT142" s="455">
        <v>4.0599999999999997E-2</v>
      </c>
      <c r="AU142" s="654">
        <v>8.0000000000000004E-4</v>
      </c>
      <c r="AV142" s="455">
        <v>0</v>
      </c>
      <c r="AW142" s="371"/>
      <c r="BA142" s="533">
        <v>34.027397260273972</v>
      </c>
      <c r="BB142" s="534"/>
      <c r="BC142" s="455"/>
      <c r="BD142" s="455"/>
      <c r="BE142" s="455"/>
      <c r="BF142" s="455"/>
      <c r="BG142" s="455"/>
      <c r="BH142" s="782">
        <v>9.1566299587022559E-3</v>
      </c>
      <c r="BI142" s="455">
        <v>0</v>
      </c>
      <c r="BJ142" s="371"/>
    </row>
    <row r="143" spans="1:62">
      <c r="A143" s="533">
        <v>34.273972602739725</v>
      </c>
      <c r="B143" s="534"/>
      <c r="C143" s="455"/>
      <c r="D143" s="455"/>
      <c r="E143" s="455"/>
      <c r="F143" s="455"/>
      <c r="G143" s="455"/>
      <c r="H143" s="455">
        <v>3.792402418532359E-2</v>
      </c>
      <c r="I143" s="455">
        <v>0</v>
      </c>
      <c r="J143" s="371"/>
      <c r="N143" s="533">
        <v>34.273972602739725</v>
      </c>
      <c r="O143" s="534"/>
      <c r="P143" s="455"/>
      <c r="Q143" s="455"/>
      <c r="R143" s="455"/>
      <c r="S143" s="455"/>
      <c r="T143" s="455"/>
      <c r="U143" s="455">
        <v>1.1937243076914461E-2</v>
      </c>
      <c r="V143" s="455">
        <v>0</v>
      </c>
      <c r="W143" s="371"/>
      <c r="AA143" s="533">
        <v>34.273972602739725</v>
      </c>
      <c r="AB143" s="534"/>
      <c r="AC143" s="455"/>
      <c r="AD143" s="455"/>
      <c r="AE143" s="455"/>
      <c r="AF143" s="455"/>
      <c r="AG143" s="455"/>
      <c r="AH143" s="455">
        <v>1.27120879855247E-3</v>
      </c>
      <c r="AI143" s="455">
        <v>0</v>
      </c>
      <c r="AJ143" s="371"/>
      <c r="AN143" s="533">
        <v>34.273972602739725</v>
      </c>
      <c r="AO143" s="534"/>
      <c r="AP143" s="455">
        <v>5.1299999999999998E-2</v>
      </c>
      <c r="AQ143" s="455">
        <v>8.3999999999999995E-3</v>
      </c>
      <c r="AR143" s="455">
        <v>2.35E-2</v>
      </c>
      <c r="AS143" s="455"/>
      <c r="AT143" s="455">
        <v>4.0599999999999997E-2</v>
      </c>
      <c r="AU143" s="654">
        <v>6.9999999999999999E-4</v>
      </c>
      <c r="AV143" s="455">
        <v>0</v>
      </c>
      <c r="AW143" s="371"/>
      <c r="BA143" s="533">
        <v>34.273972602739725</v>
      </c>
      <c r="BB143" s="534"/>
      <c r="BC143" s="455"/>
      <c r="BD143" s="455"/>
      <c r="BE143" s="455"/>
      <c r="BF143" s="455"/>
      <c r="BG143" s="455"/>
      <c r="BH143" s="782">
        <v>9.1065707209605495E-3</v>
      </c>
      <c r="BI143" s="455">
        <v>0</v>
      </c>
      <c r="BJ143" s="371"/>
    </row>
    <row r="144" spans="1:62">
      <c r="A144" s="533">
        <v>34.520547945205479</v>
      </c>
      <c r="B144" s="534"/>
      <c r="C144" s="455"/>
      <c r="D144" s="455"/>
      <c r="E144" s="455"/>
      <c r="F144" s="455"/>
      <c r="G144" s="455"/>
      <c r="H144" s="455">
        <v>3.8046151404490525E-2</v>
      </c>
      <c r="I144" s="455">
        <v>0</v>
      </c>
      <c r="N144" s="533">
        <v>34.520547945205479</v>
      </c>
      <c r="O144" s="534"/>
      <c r="P144" s="455"/>
      <c r="Q144" s="455"/>
      <c r="R144" s="455"/>
      <c r="S144" s="455"/>
      <c r="T144" s="455"/>
      <c r="U144" s="455">
        <v>1.1922739913908575E-2</v>
      </c>
      <c r="V144" s="455">
        <v>0</v>
      </c>
      <c r="AA144" s="533">
        <v>34.520547945205479</v>
      </c>
      <c r="AB144" s="534"/>
      <c r="AC144" s="455"/>
      <c r="AD144" s="455"/>
      <c r="AE144" s="455"/>
      <c r="AF144" s="455"/>
      <c r="AG144" s="455"/>
      <c r="AH144" s="455">
        <v>1.0308781954921908E-3</v>
      </c>
      <c r="AI144" s="455">
        <v>0</v>
      </c>
      <c r="AN144" s="533">
        <v>34.520547945205479</v>
      </c>
      <c r="AO144" s="534"/>
      <c r="AP144" s="455">
        <v>5.11E-2</v>
      </c>
      <c r="AQ144" s="455">
        <v>8.3000000000000001E-3</v>
      </c>
      <c r="AR144" s="455">
        <v>2.3400000000000001E-2</v>
      </c>
      <c r="AS144" s="455"/>
      <c r="AT144" s="455">
        <v>4.0599999999999997E-2</v>
      </c>
      <c r="AU144" s="654">
        <v>5.9999999999999995E-4</v>
      </c>
      <c r="AV144" s="455">
        <v>0</v>
      </c>
      <c r="BA144" s="533">
        <v>34.520547945205479</v>
      </c>
      <c r="BB144" s="534"/>
      <c r="BC144" s="455"/>
      <c r="BD144" s="455"/>
      <c r="BE144" s="455"/>
      <c r="BF144" s="455"/>
      <c r="BG144" s="455"/>
      <c r="BH144" s="782">
        <v>9.0568543853994932E-3</v>
      </c>
      <c r="BI144" s="455">
        <v>0</v>
      </c>
    </row>
    <row r="145" spans="1:61">
      <c r="A145" s="533">
        <v>34.767123287671232</v>
      </c>
      <c r="B145" s="534"/>
      <c r="C145" s="455"/>
      <c r="D145" s="455"/>
      <c r="E145" s="455"/>
      <c r="F145" s="455"/>
      <c r="G145" s="455"/>
      <c r="H145" s="455">
        <v>7.1976346000000024E-2</v>
      </c>
      <c r="I145" s="455">
        <v>0</v>
      </c>
      <c r="N145" s="533">
        <v>34.767123287671232</v>
      </c>
      <c r="O145" s="534"/>
      <c r="P145" s="455"/>
      <c r="Q145" s="455"/>
      <c r="R145" s="455"/>
      <c r="S145" s="455"/>
      <c r="T145" s="455"/>
      <c r="U145" s="455">
        <v>7.9835281999999896E-2</v>
      </c>
      <c r="V145" s="455">
        <v>0</v>
      </c>
      <c r="AA145" s="533">
        <v>34.767123287671232</v>
      </c>
      <c r="AB145" s="534"/>
      <c r="AC145" s="455"/>
      <c r="AD145" s="455"/>
      <c r="AE145" s="455"/>
      <c r="AF145" s="455"/>
      <c r="AG145" s="455"/>
      <c r="AH145" s="455">
        <v>7.0153705000000066E-2</v>
      </c>
      <c r="AI145" s="455">
        <v>0</v>
      </c>
      <c r="AN145" s="533">
        <v>34.767123287671232</v>
      </c>
      <c r="AO145" s="534"/>
      <c r="AP145" s="455">
        <v>5.0799999999999998E-2</v>
      </c>
      <c r="AQ145" s="455">
        <v>8.2000000000000007E-3</v>
      </c>
      <c r="AR145" s="455">
        <v>2.3300000000000001E-2</v>
      </c>
      <c r="AS145" s="455"/>
      <c r="AT145" s="455">
        <v>4.0599999999999997E-2</v>
      </c>
      <c r="AU145" s="654">
        <v>6.83E-2</v>
      </c>
      <c r="AV145" s="455">
        <v>0</v>
      </c>
      <c r="BA145" s="533">
        <v>34.767123287671232</v>
      </c>
      <c r="BB145" s="534"/>
      <c r="BC145" s="455"/>
      <c r="BD145" s="455"/>
      <c r="BE145" s="455"/>
      <c r="BF145" s="455"/>
      <c r="BG145" s="455"/>
      <c r="BH145" s="782">
        <v>8.9490218550383194E-3</v>
      </c>
      <c r="BI145" s="455">
        <v>0</v>
      </c>
    </row>
    <row r="146" spans="1:61">
      <c r="A146" s="533">
        <v>35.013698630136986</v>
      </c>
      <c r="B146" s="534"/>
      <c r="C146" s="455"/>
      <c r="D146" s="455"/>
      <c r="E146" s="455"/>
      <c r="F146" s="455"/>
      <c r="G146" s="455"/>
      <c r="H146" s="455">
        <v>7.2000457999999989E-2</v>
      </c>
      <c r="I146" s="455">
        <v>0</v>
      </c>
      <c r="N146" s="533">
        <v>35.013698630136986</v>
      </c>
      <c r="O146" s="534"/>
      <c r="P146" s="455"/>
      <c r="Q146" s="455"/>
      <c r="R146" s="455"/>
      <c r="S146" s="455"/>
      <c r="T146" s="455"/>
      <c r="U146" s="455">
        <v>7.9805823999999914E-2</v>
      </c>
      <c r="V146" s="455">
        <v>0</v>
      </c>
      <c r="AA146" s="533">
        <v>35.013698630136986</v>
      </c>
      <c r="AB146" s="534"/>
      <c r="AC146" s="455"/>
      <c r="AD146" s="455"/>
      <c r="AE146" s="455"/>
      <c r="AF146" s="455"/>
      <c r="AG146" s="455"/>
      <c r="AH146" s="455">
        <v>7.0158388000000071E-2</v>
      </c>
      <c r="AI146" s="455">
        <v>0</v>
      </c>
      <c r="AN146" s="533">
        <v>35.013698630136986</v>
      </c>
      <c r="AO146" s="534"/>
      <c r="AP146" s="455">
        <v>5.0500000000000003E-2</v>
      </c>
      <c r="AQ146" s="455">
        <v>8.2000000000000007E-3</v>
      </c>
      <c r="AR146" s="455">
        <v>2.3199999999999998E-2</v>
      </c>
      <c r="AS146" s="455"/>
      <c r="AT146" s="455">
        <v>4.07E-2</v>
      </c>
      <c r="AU146" s="654">
        <v>6.8199999999999997E-2</v>
      </c>
      <c r="AV146" s="455">
        <v>0</v>
      </c>
      <c r="BA146" s="533">
        <v>35.013698630136986</v>
      </c>
      <c r="BB146" s="534"/>
      <c r="BC146" s="455"/>
      <c r="BD146" s="455"/>
      <c r="BE146" s="455"/>
      <c r="BF146" s="455"/>
      <c r="BG146" s="455"/>
      <c r="BH146" s="782">
        <v>8.8411119760105628E-3</v>
      </c>
      <c r="BI146" s="455">
        <v>0</v>
      </c>
    </row>
    <row r="147" spans="1:61">
      <c r="A147" s="533">
        <v>35.260273972602739</v>
      </c>
      <c r="B147" s="534"/>
      <c r="C147" s="455"/>
      <c r="D147" s="455"/>
      <c r="E147" s="455"/>
      <c r="F147" s="455"/>
      <c r="G147" s="455"/>
      <c r="H147" s="455">
        <v>7.2024201999999926E-2</v>
      </c>
      <c r="I147" s="455">
        <v>0</v>
      </c>
      <c r="N147" s="533">
        <v>35.260273972602739</v>
      </c>
      <c r="O147" s="534"/>
      <c r="P147" s="455"/>
      <c r="Q147" s="455"/>
      <c r="R147" s="455"/>
      <c r="S147" s="455"/>
      <c r="T147" s="455"/>
      <c r="U147" s="455">
        <v>7.9776585999999927E-2</v>
      </c>
      <c r="V147" s="455">
        <v>0</v>
      </c>
      <c r="AA147" s="533">
        <v>35.260273972602739</v>
      </c>
      <c r="AB147" s="534"/>
      <c r="AC147" s="455"/>
      <c r="AD147" s="455"/>
      <c r="AE147" s="455"/>
      <c r="AF147" s="455"/>
      <c r="AG147" s="455"/>
      <c r="AH147" s="455">
        <v>7.0162873999999986E-2</v>
      </c>
      <c r="AI147" s="455">
        <v>0</v>
      </c>
      <c r="AN147" s="533">
        <v>35.260273972602739</v>
      </c>
      <c r="AO147" s="534"/>
      <c r="AP147" s="455">
        <v>5.0200000000000002E-2</v>
      </c>
      <c r="AQ147" s="455">
        <v>8.0999999999999996E-3</v>
      </c>
      <c r="AR147" s="455">
        <v>2.3099999999999999E-2</v>
      </c>
      <c r="AS147" s="455"/>
      <c r="AT147" s="455">
        <v>4.07E-2</v>
      </c>
      <c r="AU147" s="654">
        <v>6.8099999999999994E-2</v>
      </c>
      <c r="AV147" s="455">
        <v>0</v>
      </c>
      <c r="BA147" s="533">
        <v>35.260273972602739</v>
      </c>
      <c r="BB147" s="534"/>
      <c r="BC147" s="455"/>
      <c r="BD147" s="455"/>
      <c r="BE147" s="455"/>
      <c r="BF147" s="455"/>
      <c r="BG147" s="455"/>
      <c r="BH147" s="782">
        <v>8.7331492735036598E-3</v>
      </c>
      <c r="BI147" s="455">
        <v>0</v>
      </c>
    </row>
    <row r="148" spans="1:61">
      <c r="A148" s="533">
        <v>35.506849315068493</v>
      </c>
      <c r="B148" s="534"/>
      <c r="C148" s="455"/>
      <c r="D148" s="455"/>
      <c r="E148" s="455"/>
      <c r="F148" s="455"/>
      <c r="G148" s="455"/>
      <c r="H148" s="455">
        <v>7.204758499999997E-2</v>
      </c>
      <c r="I148" s="455">
        <v>0</v>
      </c>
      <c r="N148" s="533">
        <v>35.506849315068493</v>
      </c>
      <c r="O148" s="534"/>
      <c r="P148" s="455"/>
      <c r="Q148" s="455"/>
      <c r="R148" s="455"/>
      <c r="S148" s="455"/>
      <c r="T148" s="455"/>
      <c r="U148" s="455">
        <v>7.9747569000000018E-2</v>
      </c>
      <c r="V148" s="455">
        <v>0</v>
      </c>
      <c r="AA148" s="533">
        <v>35.506849315068493</v>
      </c>
      <c r="AB148" s="534"/>
      <c r="AC148" s="455"/>
      <c r="AD148" s="455"/>
      <c r="AE148" s="455"/>
      <c r="AF148" s="455"/>
      <c r="AG148" s="455"/>
      <c r="AH148" s="455">
        <v>7.0167168000000002E-2</v>
      </c>
      <c r="AI148" s="455">
        <v>0</v>
      </c>
      <c r="AN148" s="533">
        <v>35.506849315068493</v>
      </c>
      <c r="AO148" s="534"/>
      <c r="AP148" s="455">
        <v>4.99E-2</v>
      </c>
      <c r="AQ148" s="455">
        <v>8.0000000000000002E-3</v>
      </c>
      <c r="AR148" s="455">
        <v>2.3E-2</v>
      </c>
      <c r="AS148" s="455"/>
      <c r="AT148" s="455">
        <v>4.07E-2</v>
      </c>
      <c r="AU148" s="654">
        <v>6.8000000000000005E-2</v>
      </c>
      <c r="AV148" s="455">
        <v>0</v>
      </c>
      <c r="BA148" s="533">
        <v>35.506849315068493</v>
      </c>
      <c r="BB148" s="534"/>
      <c r="BC148" s="455"/>
      <c r="BD148" s="455"/>
      <c r="BE148" s="455"/>
      <c r="BF148" s="455"/>
      <c r="BG148" s="455"/>
      <c r="BH148" s="782">
        <v>8.6251592159805046E-3</v>
      </c>
      <c r="BI148" s="455">
        <v>0</v>
      </c>
    </row>
    <row r="149" spans="1:61">
      <c r="A149" s="533">
        <v>35.753424657534246</v>
      </c>
      <c r="B149" s="534"/>
      <c r="C149" s="455"/>
      <c r="D149" s="455"/>
      <c r="E149" s="455"/>
      <c r="F149" s="455"/>
      <c r="G149" s="455"/>
      <c r="H149" s="455">
        <v>7.2070614999999894E-2</v>
      </c>
      <c r="I149" s="455">
        <v>0</v>
      </c>
      <c r="N149" s="533">
        <v>35.753424657534246</v>
      </c>
      <c r="O149" s="534"/>
      <c r="P149" s="455"/>
      <c r="Q149" s="455"/>
      <c r="R149" s="455"/>
      <c r="S149" s="455"/>
      <c r="T149" s="455"/>
      <c r="U149" s="455">
        <v>7.9718774000000048E-2</v>
      </c>
      <c r="V149" s="455">
        <v>0</v>
      </c>
      <c r="AA149" s="533">
        <v>35.753424657534246</v>
      </c>
      <c r="AB149" s="534"/>
      <c r="AC149" s="455"/>
      <c r="AD149" s="455"/>
      <c r="AE149" s="455"/>
      <c r="AF149" s="455"/>
      <c r="AG149" s="455"/>
      <c r="AH149" s="455">
        <v>7.0171275000000088E-2</v>
      </c>
      <c r="AI149" s="455">
        <v>0</v>
      </c>
      <c r="AN149" s="533">
        <v>35.753424657534246</v>
      </c>
      <c r="AO149" s="534"/>
      <c r="AP149" s="455">
        <v>4.9599999999999998E-2</v>
      </c>
      <c r="AQ149" s="455">
        <v>7.9000000000000008E-3</v>
      </c>
      <c r="AR149" s="455">
        <v>2.29E-2</v>
      </c>
      <c r="AS149" s="455"/>
      <c r="AT149" s="455">
        <v>4.07E-2</v>
      </c>
      <c r="AU149" s="654">
        <v>6.7900000000000002E-2</v>
      </c>
      <c r="AV149" s="455">
        <v>0</v>
      </c>
      <c r="BA149" s="533">
        <v>35.753424657534246</v>
      </c>
      <c r="BB149" s="534"/>
      <c r="BC149" s="455"/>
      <c r="BD149" s="455"/>
      <c r="BE149" s="455"/>
      <c r="BF149" s="455"/>
      <c r="BG149" s="455"/>
      <c r="BH149" s="782">
        <v>8.5171663286278676E-3</v>
      </c>
      <c r="BI149" s="455">
        <v>0</v>
      </c>
    </row>
    <row r="150" spans="1:61">
      <c r="A150" s="533">
        <v>36</v>
      </c>
      <c r="B150" s="534"/>
      <c r="C150" s="455"/>
      <c r="D150" s="455"/>
      <c r="E150" s="455"/>
      <c r="F150" s="455"/>
      <c r="G150" s="455"/>
      <c r="H150" s="455">
        <v>7.2093299999999916E-2</v>
      </c>
      <c r="I150" s="455">
        <v>0</v>
      </c>
      <c r="N150" s="533">
        <v>36</v>
      </c>
      <c r="O150" s="534"/>
      <c r="P150" s="455"/>
      <c r="Q150" s="455"/>
      <c r="R150" s="455"/>
      <c r="S150" s="455"/>
      <c r="T150" s="455"/>
      <c r="U150" s="455">
        <v>7.9690199999999933E-2</v>
      </c>
      <c r="V150" s="455">
        <v>0</v>
      </c>
      <c r="AA150" s="533">
        <v>36</v>
      </c>
      <c r="AB150" s="534"/>
      <c r="AC150" s="455"/>
      <c r="AD150" s="455"/>
      <c r="AE150" s="455"/>
      <c r="AF150" s="455"/>
      <c r="AG150" s="455"/>
      <c r="AH150" s="455">
        <v>7.0175199999999993E-2</v>
      </c>
      <c r="AI150" s="455">
        <v>0</v>
      </c>
      <c r="AN150" s="533">
        <v>36</v>
      </c>
      <c r="AO150" s="534"/>
      <c r="AP150" s="455">
        <v>4.9299999999999997E-2</v>
      </c>
      <c r="AQ150" s="455">
        <v>7.7999999999999996E-3</v>
      </c>
      <c r="AR150" s="455">
        <v>2.2800000000000001E-2</v>
      </c>
      <c r="AS150" s="455"/>
      <c r="AT150" s="455">
        <v>4.07E-2</v>
      </c>
      <c r="AU150" s="654">
        <v>6.7799999999999999E-2</v>
      </c>
      <c r="AV150" s="455">
        <v>0</v>
      </c>
      <c r="BA150" s="533">
        <v>36</v>
      </c>
      <c r="BB150" s="534"/>
      <c r="BC150" s="455"/>
      <c r="BD150" s="455"/>
      <c r="BE150" s="455"/>
      <c r="BF150" s="455"/>
      <c r="BG150" s="455"/>
      <c r="BH150" s="782">
        <v>8.4091941933566172E-3</v>
      </c>
      <c r="BI150" s="455">
        <v>0</v>
      </c>
    </row>
    <row r="151" spans="1:61">
      <c r="A151" s="533">
        <v>36.246575342465754</v>
      </c>
      <c r="B151" s="534"/>
      <c r="C151" s="455"/>
      <c r="D151" s="455"/>
      <c r="E151" s="455"/>
      <c r="F151" s="455"/>
      <c r="G151" s="455"/>
      <c r="H151" s="455">
        <v>7.2115646999999949E-2</v>
      </c>
      <c r="I151" s="455">
        <v>0</v>
      </c>
      <c r="N151" s="533">
        <v>36.246575342465754</v>
      </c>
      <c r="O151" s="534"/>
      <c r="P151" s="455"/>
      <c r="Q151" s="455"/>
      <c r="R151" s="455"/>
      <c r="S151" s="455"/>
      <c r="T151" s="455"/>
      <c r="U151" s="455">
        <v>7.9661849000000062E-2</v>
      </c>
      <c r="V151" s="455">
        <v>0</v>
      </c>
      <c r="AA151" s="533">
        <v>36.246575342465754</v>
      </c>
      <c r="AB151" s="534"/>
      <c r="AC151" s="455"/>
      <c r="AD151" s="455"/>
      <c r="AE151" s="455"/>
      <c r="AF151" s="455"/>
      <c r="AG151" s="455"/>
      <c r="AH151" s="455">
        <v>7.0178945999999964E-2</v>
      </c>
      <c r="AI151" s="455">
        <v>0</v>
      </c>
      <c r="AN151" s="533">
        <v>36.246575342465754</v>
      </c>
      <c r="AO151" s="534"/>
      <c r="AP151" s="455">
        <v>4.9000000000000002E-2</v>
      </c>
      <c r="AQ151" s="455">
        <v>7.7999999999999996E-3</v>
      </c>
      <c r="AR151" s="455">
        <v>2.2599999999999999E-2</v>
      </c>
      <c r="AS151" s="455"/>
      <c r="AT151" s="455">
        <v>4.07E-2</v>
      </c>
      <c r="AU151" s="654">
        <v>6.7699999999999996E-2</v>
      </c>
      <c r="AV151" s="455">
        <v>0</v>
      </c>
      <c r="BA151" s="533">
        <v>36.246575342465754</v>
      </c>
      <c r="BB151" s="534"/>
      <c r="BC151" s="455"/>
      <c r="BD151" s="455"/>
      <c r="BE151" s="455"/>
      <c r="BF151" s="455"/>
      <c r="BG151" s="455"/>
      <c r="BH151" s="782">
        <v>8.301264505524264E-3</v>
      </c>
      <c r="BI151" s="455">
        <v>0</v>
      </c>
    </row>
    <row r="152" spans="1:61">
      <c r="A152" s="533">
        <v>36.493150684931507</v>
      </c>
      <c r="B152" s="534"/>
      <c r="C152" s="455"/>
      <c r="D152" s="455"/>
      <c r="E152" s="455"/>
      <c r="F152" s="455"/>
      <c r="G152" s="455"/>
      <c r="H152" s="455">
        <v>7.213766399999999E-2</v>
      </c>
      <c r="I152" s="455">
        <v>0</v>
      </c>
      <c r="N152" s="533">
        <v>36.493150684931507</v>
      </c>
      <c r="O152" s="534"/>
      <c r="P152" s="455"/>
      <c r="Q152" s="455"/>
      <c r="R152" s="455"/>
      <c r="S152" s="455"/>
      <c r="T152" s="455"/>
      <c r="U152" s="455">
        <v>7.9633719999999908E-2</v>
      </c>
      <c r="V152" s="455">
        <v>0</v>
      </c>
      <c r="AA152" s="533">
        <v>36.493150684931507</v>
      </c>
      <c r="AB152" s="534"/>
      <c r="AC152" s="455"/>
      <c r="AD152" s="455"/>
      <c r="AE152" s="455"/>
      <c r="AF152" s="455"/>
      <c r="AG152" s="455"/>
      <c r="AH152" s="455">
        <v>7.0182519000000054E-2</v>
      </c>
      <c r="AI152" s="455">
        <v>0</v>
      </c>
      <c r="AN152" s="533">
        <v>36.493150684931507</v>
      </c>
      <c r="AO152" s="534"/>
      <c r="AP152" s="455">
        <v>4.87E-2</v>
      </c>
      <c r="AQ152" s="455">
        <v>7.7000000000000002E-3</v>
      </c>
      <c r="AR152" s="455">
        <v>2.2499999999999999E-2</v>
      </c>
      <c r="AS152" s="455"/>
      <c r="AT152" s="455">
        <v>4.0800000000000003E-2</v>
      </c>
      <c r="AU152" s="654">
        <v>6.7599999999999993E-2</v>
      </c>
      <c r="AV152" s="455">
        <v>0</v>
      </c>
      <c r="BA152" s="533">
        <v>36.493150684931507</v>
      </c>
      <c r="BB152" s="534"/>
      <c r="BC152" s="455"/>
      <c r="BD152" s="455"/>
      <c r="BE152" s="455"/>
      <c r="BF152" s="455"/>
      <c r="BG152" s="455"/>
      <c r="BH152" s="782">
        <v>8.1933980172117504E-3</v>
      </c>
      <c r="BI152" s="455">
        <v>0</v>
      </c>
    </row>
    <row r="153" spans="1:61">
      <c r="A153" s="533">
        <v>36.739726027397261</v>
      </c>
      <c r="B153" s="534"/>
      <c r="C153" s="455"/>
      <c r="D153" s="455"/>
      <c r="E153" s="455"/>
      <c r="F153" s="455"/>
      <c r="G153" s="455"/>
      <c r="H153" s="455">
        <v>7.2159356000000008E-2</v>
      </c>
      <c r="I153" s="455">
        <v>0</v>
      </c>
      <c r="N153" s="533">
        <v>36.739726027397261</v>
      </c>
      <c r="O153" s="534"/>
      <c r="P153" s="455"/>
      <c r="Q153" s="455"/>
      <c r="R153" s="455"/>
      <c r="S153" s="455"/>
      <c r="T153" s="455"/>
      <c r="U153" s="455">
        <v>7.960581500000008E-2</v>
      </c>
      <c r="V153" s="455">
        <v>0</v>
      </c>
      <c r="AA153" s="533">
        <v>36.739726027397261</v>
      </c>
      <c r="AB153" s="534"/>
      <c r="AC153" s="455"/>
      <c r="AD153" s="455"/>
      <c r="AE153" s="455"/>
      <c r="AF153" s="455"/>
      <c r="AG153" s="455"/>
      <c r="AH153" s="455">
        <v>7.0185922999999928E-2</v>
      </c>
      <c r="AI153" s="455">
        <v>0</v>
      </c>
      <c r="AN153" s="533">
        <v>36.739726027397261</v>
      </c>
      <c r="AO153" s="534"/>
      <c r="AP153" s="455">
        <v>4.8399999999999999E-2</v>
      </c>
      <c r="AQ153" s="455">
        <v>7.6E-3</v>
      </c>
      <c r="AR153" s="455">
        <v>2.24E-2</v>
      </c>
      <c r="AS153" s="455"/>
      <c r="AT153" s="455">
        <v>4.0800000000000003E-2</v>
      </c>
      <c r="AU153" s="654">
        <v>6.7500000000000004E-2</v>
      </c>
      <c r="AV153" s="455">
        <v>0</v>
      </c>
      <c r="BA153" s="533">
        <v>36.739726027397261</v>
      </c>
      <c r="BB153" s="534"/>
      <c r="BC153" s="455"/>
      <c r="BD153" s="455"/>
      <c r="BE153" s="455"/>
      <c r="BF153" s="455"/>
      <c r="BG153" s="455"/>
      <c r="BH153" s="782">
        <v>8.0856164237772532E-3</v>
      </c>
      <c r="BI153" s="455">
        <v>0</v>
      </c>
    </row>
    <row r="154" spans="1:61">
      <c r="A154" s="533">
        <v>36.986301369863014</v>
      </c>
      <c r="B154" s="534"/>
      <c r="C154" s="455"/>
      <c r="D154" s="455"/>
      <c r="E154" s="455"/>
      <c r="F154" s="455"/>
      <c r="G154" s="455"/>
      <c r="H154" s="455">
        <v>7.2180732000000081E-2</v>
      </c>
      <c r="I154" s="455">
        <v>0</v>
      </c>
      <c r="N154" s="533">
        <v>36.986301369863014</v>
      </c>
      <c r="O154" s="534"/>
      <c r="P154" s="455"/>
      <c r="Q154" s="455"/>
      <c r="R154" s="455"/>
      <c r="S154" s="455"/>
      <c r="T154" s="455"/>
      <c r="U154" s="455">
        <v>7.9578131999999968E-2</v>
      </c>
      <c r="V154" s="455">
        <v>0</v>
      </c>
      <c r="AA154" s="533">
        <v>36.986301369863014</v>
      </c>
      <c r="AB154" s="534"/>
      <c r="AC154" s="455"/>
      <c r="AD154" s="455"/>
      <c r="AE154" s="455"/>
      <c r="AF154" s="455"/>
      <c r="AG154" s="455"/>
      <c r="AH154" s="455">
        <v>7.0189161000000055E-2</v>
      </c>
      <c r="AI154" s="455">
        <v>0</v>
      </c>
      <c r="AN154" s="533">
        <v>36.986301369863014</v>
      </c>
      <c r="AO154" s="534"/>
      <c r="AP154" s="455">
        <v>4.8099999999999997E-2</v>
      </c>
      <c r="AQ154" s="455">
        <v>7.4999999999999997E-3</v>
      </c>
      <c r="AR154" s="455">
        <v>2.23E-2</v>
      </c>
      <c r="AS154" s="455"/>
      <c r="AT154" s="455">
        <v>4.0800000000000003E-2</v>
      </c>
      <c r="AU154" s="654">
        <v>6.7400000000000002E-2</v>
      </c>
      <c r="AV154" s="455">
        <v>0</v>
      </c>
      <c r="BA154" s="533">
        <v>36.986301369863014</v>
      </c>
      <c r="BB154" s="534"/>
      <c r="BC154" s="455"/>
      <c r="BD154" s="455"/>
      <c r="BE154" s="455"/>
      <c r="BF154" s="455"/>
      <c r="BG154" s="455"/>
      <c r="BH154" s="782">
        <v>7.9779404773014928E-3</v>
      </c>
      <c r="BI154" s="455">
        <v>0</v>
      </c>
    </row>
    <row r="155" spans="1:61">
      <c r="A155" s="533">
        <v>37.232876712328768</v>
      </c>
      <c r="B155" s="534"/>
      <c r="C155" s="455"/>
      <c r="D155" s="455"/>
      <c r="E155" s="455"/>
      <c r="F155" s="455"/>
      <c r="G155" s="455"/>
      <c r="H155" s="455">
        <v>7.2201796999999956E-2</v>
      </c>
      <c r="I155" s="455">
        <v>0</v>
      </c>
      <c r="N155" s="533">
        <v>37.232876712328768</v>
      </c>
      <c r="O155" s="534"/>
      <c r="P155" s="455"/>
      <c r="Q155" s="455"/>
      <c r="R155" s="455"/>
      <c r="S155" s="455"/>
      <c r="T155" s="455"/>
      <c r="U155" s="455">
        <v>7.95506720000001E-2</v>
      </c>
      <c r="V155" s="455">
        <v>0</v>
      </c>
      <c r="AA155" s="533">
        <v>37.232876712328768</v>
      </c>
      <c r="AB155" s="534"/>
      <c r="AC155" s="455"/>
      <c r="AD155" s="455"/>
      <c r="AE155" s="455"/>
      <c r="AF155" s="455"/>
      <c r="AG155" s="455"/>
      <c r="AH155" s="455">
        <v>7.0192237000000102E-2</v>
      </c>
      <c r="AI155" s="455">
        <v>0</v>
      </c>
      <c r="AN155" s="533">
        <v>37.232876712328768</v>
      </c>
      <c r="AO155" s="534"/>
      <c r="AP155" s="455">
        <v>4.7800000000000002E-2</v>
      </c>
      <c r="AQ155" s="455">
        <v>7.4000000000000003E-3</v>
      </c>
      <c r="AR155" s="455">
        <v>2.2200000000000001E-2</v>
      </c>
      <c r="AS155" s="455"/>
      <c r="AT155" s="455">
        <v>4.0800000000000003E-2</v>
      </c>
      <c r="AU155" s="654">
        <v>6.7299999999999999E-2</v>
      </c>
      <c r="AV155" s="455">
        <v>0</v>
      </c>
      <c r="BA155" s="533">
        <v>37.232876712328768</v>
      </c>
      <c r="BB155" s="534"/>
      <c r="BC155" s="455"/>
      <c r="BD155" s="455"/>
      <c r="BE155" s="455"/>
      <c r="BF155" s="455"/>
      <c r="BG155" s="455"/>
      <c r="BH155" s="782">
        <v>7.8703871567602501E-3</v>
      </c>
      <c r="BI155" s="455">
        <v>0</v>
      </c>
    </row>
    <row r="156" spans="1:61">
      <c r="A156" s="533">
        <v>37.479452054794521</v>
      </c>
      <c r="B156" s="534"/>
      <c r="C156" s="455"/>
      <c r="D156" s="455"/>
      <c r="E156" s="455"/>
      <c r="F156" s="455"/>
      <c r="G156" s="455"/>
      <c r="H156" s="455">
        <v>7.2222557999999992E-2</v>
      </c>
      <c r="I156" s="455">
        <v>0</v>
      </c>
      <c r="N156" s="533">
        <v>37.479452054794521</v>
      </c>
      <c r="O156" s="534"/>
      <c r="P156" s="455"/>
      <c r="Q156" s="455"/>
      <c r="R156" s="455"/>
      <c r="S156" s="455"/>
      <c r="T156" s="455"/>
      <c r="U156" s="455">
        <v>7.9523435000000031E-2</v>
      </c>
      <c r="V156" s="455">
        <v>0</v>
      </c>
      <c r="AA156" s="533">
        <v>37.479452054794521</v>
      </c>
      <c r="AB156" s="534"/>
      <c r="AC156" s="455"/>
      <c r="AD156" s="455"/>
      <c r="AE156" s="455"/>
      <c r="AF156" s="455"/>
      <c r="AG156" s="455"/>
      <c r="AH156" s="455">
        <v>7.0195156000000036E-2</v>
      </c>
      <c r="AI156" s="455">
        <v>0</v>
      </c>
      <c r="AN156" s="533">
        <v>37.479452054794521</v>
      </c>
      <c r="AO156" s="534"/>
      <c r="AP156" s="455">
        <v>4.7399999999999998E-2</v>
      </c>
      <c r="AQ156" s="455">
        <v>7.3000000000000001E-3</v>
      </c>
      <c r="AR156" s="455">
        <v>2.1999999999999999E-2</v>
      </c>
      <c r="AS156" s="455"/>
      <c r="AT156" s="455">
        <v>4.0899999999999999E-2</v>
      </c>
      <c r="AU156" s="654">
        <v>6.7199999999999996E-2</v>
      </c>
      <c r="AV156" s="455">
        <v>0</v>
      </c>
      <c r="BA156" s="533">
        <v>37.479452054794521</v>
      </c>
      <c r="BB156" s="534"/>
      <c r="BC156" s="455"/>
      <c r="BD156" s="455"/>
      <c r="BE156" s="455"/>
      <c r="BF156" s="455"/>
      <c r="BG156" s="455"/>
      <c r="BH156" s="782">
        <v>7.7629772142344677E-3</v>
      </c>
      <c r="BI156" s="455">
        <v>0</v>
      </c>
    </row>
    <row r="157" spans="1:61">
      <c r="A157" s="533">
        <v>37.726027397260275</v>
      </c>
      <c r="B157" s="534"/>
      <c r="C157" s="455"/>
      <c r="D157" s="455"/>
      <c r="E157" s="455"/>
      <c r="F157" s="455"/>
      <c r="G157" s="455"/>
      <c r="H157" s="455">
        <v>7.2243022000000101E-2</v>
      </c>
      <c r="I157" s="455">
        <v>0</v>
      </c>
      <c r="N157" s="533">
        <v>37.726027397260275</v>
      </c>
      <c r="O157" s="534"/>
      <c r="P157" s="455"/>
      <c r="Q157" s="455"/>
      <c r="R157" s="455"/>
      <c r="S157" s="455"/>
      <c r="T157" s="455"/>
      <c r="U157" s="455">
        <v>7.9496419999999901E-2</v>
      </c>
      <c r="V157" s="455">
        <v>0</v>
      </c>
      <c r="AA157" s="533">
        <v>37.726027397260275</v>
      </c>
      <c r="AB157" s="534"/>
      <c r="AC157" s="455"/>
      <c r="AD157" s="455"/>
      <c r="AE157" s="455"/>
      <c r="AF157" s="455"/>
      <c r="AG157" s="455"/>
      <c r="AH157" s="455">
        <v>7.0197921999999968E-2</v>
      </c>
      <c r="AI157" s="455">
        <v>0</v>
      </c>
      <c r="AN157" s="533">
        <v>37.726027397260275</v>
      </c>
      <c r="AO157" s="534"/>
      <c r="AP157" s="455">
        <v>4.7100000000000003E-2</v>
      </c>
      <c r="AQ157" s="455">
        <v>7.3000000000000001E-3</v>
      </c>
      <c r="AR157" s="455">
        <v>2.1899999999999999E-2</v>
      </c>
      <c r="AS157" s="455"/>
      <c r="AT157" s="455">
        <v>4.0899999999999999E-2</v>
      </c>
      <c r="AU157" s="654">
        <v>6.7100000000000007E-2</v>
      </c>
      <c r="AV157" s="455">
        <v>0</v>
      </c>
      <c r="BA157" s="533">
        <v>37.726027397260275</v>
      </c>
      <c r="BB157" s="534"/>
      <c r="BC157" s="455"/>
      <c r="BD157" s="455"/>
      <c r="BE157" s="455"/>
      <c r="BF157" s="455"/>
      <c r="BG157" s="455"/>
      <c r="BH157" s="782">
        <v>7.6557266854235806E-3</v>
      </c>
      <c r="BI157" s="455">
        <v>0</v>
      </c>
    </row>
    <row r="158" spans="1:61">
      <c r="A158" s="533">
        <v>37.972602739726028</v>
      </c>
      <c r="B158" s="534"/>
      <c r="C158" s="455"/>
      <c r="D158" s="455"/>
      <c r="E158" s="455"/>
      <c r="F158" s="455"/>
      <c r="G158" s="455"/>
      <c r="H158" s="455">
        <v>7.2263194000000031E-2</v>
      </c>
      <c r="I158" s="455">
        <v>0</v>
      </c>
      <c r="N158" s="533">
        <v>37.972602739726028</v>
      </c>
      <c r="O158" s="534"/>
      <c r="P158" s="455"/>
      <c r="Q158" s="455"/>
      <c r="R158" s="455"/>
      <c r="S158" s="455"/>
      <c r="T158" s="455"/>
      <c r="U158" s="455">
        <v>7.9469626000000071E-2</v>
      </c>
      <c r="V158" s="455">
        <v>0</v>
      </c>
      <c r="AA158" s="533">
        <v>37.972602739726028</v>
      </c>
      <c r="AB158" s="534"/>
      <c r="AC158" s="455"/>
      <c r="AD158" s="455"/>
      <c r="AE158" s="455"/>
      <c r="AF158" s="455"/>
      <c r="AG158" s="455"/>
      <c r="AH158" s="455">
        <v>7.0200537999999923E-2</v>
      </c>
      <c r="AI158" s="455">
        <v>0</v>
      </c>
      <c r="AN158" s="533">
        <v>37.972602739726028</v>
      </c>
      <c r="AO158" s="534"/>
      <c r="AP158" s="455">
        <v>4.6800000000000001E-2</v>
      </c>
      <c r="AQ158" s="455">
        <v>7.1999999999999998E-3</v>
      </c>
      <c r="AR158" s="455">
        <v>2.18E-2</v>
      </c>
      <c r="AS158" s="455"/>
      <c r="AT158" s="455">
        <v>4.0899999999999999E-2</v>
      </c>
      <c r="AU158" s="654">
        <v>6.7000000000000004E-2</v>
      </c>
      <c r="AV158" s="455">
        <v>0</v>
      </c>
      <c r="BA158" s="533">
        <v>37.972602739726028</v>
      </c>
      <c r="BB158" s="534"/>
      <c r="BC158" s="455"/>
      <c r="BD158" s="455"/>
      <c r="BE158" s="455"/>
      <c r="BF158" s="455"/>
      <c r="BG158" s="455"/>
      <c r="BH158" s="782">
        <v>7.5486534925794935E-3</v>
      </c>
      <c r="BI158" s="455">
        <v>0</v>
      </c>
    </row>
    <row r="159" spans="1:61">
      <c r="A159" s="533">
        <v>38.219178082191782</v>
      </c>
      <c r="B159" s="534"/>
      <c r="C159" s="455"/>
      <c r="D159" s="455"/>
      <c r="E159" s="455"/>
      <c r="F159" s="455"/>
      <c r="G159" s="455"/>
      <c r="H159" s="455">
        <v>7.2283080000000055E-2</v>
      </c>
      <c r="I159" s="455">
        <v>0</v>
      </c>
      <c r="N159" s="533">
        <v>38.219178082191782</v>
      </c>
      <c r="O159" s="534"/>
      <c r="P159" s="455"/>
      <c r="Q159" s="455"/>
      <c r="R159" s="455"/>
      <c r="S159" s="455"/>
      <c r="T159" s="455"/>
      <c r="U159" s="455">
        <v>7.9443053999999957E-2</v>
      </c>
      <c r="V159" s="455">
        <v>0</v>
      </c>
      <c r="AA159" s="533">
        <v>38.219178082191782</v>
      </c>
      <c r="AB159" s="534"/>
      <c r="AC159" s="455"/>
      <c r="AD159" s="455"/>
      <c r="AE159" s="455"/>
      <c r="AF159" s="455"/>
      <c r="AG159" s="455"/>
      <c r="AH159" s="455">
        <v>7.0203006999999928E-2</v>
      </c>
      <c r="AI159" s="455">
        <v>0</v>
      </c>
      <c r="AN159" s="533">
        <v>38.219178082191782</v>
      </c>
      <c r="AO159" s="534"/>
      <c r="AP159" s="455">
        <v>4.65E-2</v>
      </c>
      <c r="AQ159" s="455">
        <v>7.1000000000000004E-3</v>
      </c>
      <c r="AR159" s="455">
        <v>2.1600000000000001E-2</v>
      </c>
      <c r="AS159" s="455"/>
      <c r="AT159" s="455">
        <v>4.0899999999999999E-2</v>
      </c>
      <c r="AU159" s="654">
        <v>6.6900000000000001E-2</v>
      </c>
      <c r="AV159" s="455">
        <v>0</v>
      </c>
      <c r="BA159" s="533">
        <v>38.219178082191782</v>
      </c>
      <c r="BB159" s="534"/>
      <c r="BC159" s="455"/>
      <c r="BD159" s="455"/>
      <c r="BE159" s="455"/>
      <c r="BF159" s="455"/>
      <c r="BG159" s="455"/>
      <c r="BH159" s="782">
        <v>7.4417727281248514E-3</v>
      </c>
      <c r="BI159" s="455">
        <v>0</v>
      </c>
    </row>
    <row r="160" spans="1:61">
      <c r="A160" s="533">
        <v>38.465753424657535</v>
      </c>
      <c r="B160" s="534"/>
      <c r="C160" s="455"/>
      <c r="D160" s="455"/>
      <c r="E160" s="455"/>
      <c r="F160" s="455"/>
      <c r="G160" s="455"/>
      <c r="H160" s="455">
        <v>7.2302686000000005E-2</v>
      </c>
      <c r="I160" s="455">
        <v>0</v>
      </c>
      <c r="N160" s="533">
        <v>38.465753424657535</v>
      </c>
      <c r="O160" s="534"/>
      <c r="P160" s="455"/>
      <c r="Q160" s="455"/>
      <c r="R160" s="455"/>
      <c r="S160" s="455"/>
      <c r="T160" s="455"/>
      <c r="U160" s="455">
        <v>7.9416702999999922E-2</v>
      </c>
      <c r="V160" s="455">
        <v>0</v>
      </c>
      <c r="AA160" s="533">
        <v>38.465753424657535</v>
      </c>
      <c r="AB160" s="534"/>
      <c r="AC160" s="455"/>
      <c r="AD160" s="455"/>
      <c r="AE160" s="455"/>
      <c r="AF160" s="455"/>
      <c r="AG160" s="455"/>
      <c r="AH160" s="455">
        <v>7.0205333999999953E-2</v>
      </c>
      <c r="AI160" s="455">
        <v>0</v>
      </c>
      <c r="AN160" s="533">
        <v>38.465753424657535</v>
      </c>
      <c r="AO160" s="534"/>
      <c r="AP160" s="455">
        <v>4.6199999999999998E-2</v>
      </c>
      <c r="AQ160" s="455">
        <v>7.0000000000000001E-3</v>
      </c>
      <c r="AR160" s="455">
        <v>2.1499999999999998E-2</v>
      </c>
      <c r="AS160" s="455"/>
      <c r="AT160" s="455">
        <v>4.1000000000000002E-2</v>
      </c>
      <c r="AU160" s="654">
        <v>6.6799999999999998E-2</v>
      </c>
      <c r="AV160" s="455">
        <v>0</v>
      </c>
      <c r="BA160" s="533">
        <v>38.465753424657535</v>
      </c>
      <c r="BB160" s="534"/>
      <c r="BC160" s="455"/>
      <c r="BD160" s="455"/>
      <c r="BE160" s="455"/>
      <c r="BF160" s="455"/>
      <c r="BG160" s="455"/>
      <c r="BH160" s="782">
        <v>7.335102314311337E-3</v>
      </c>
      <c r="BI160" s="455">
        <v>0</v>
      </c>
    </row>
    <row r="161" spans="1:61">
      <c r="A161" s="533">
        <v>38.712328767123289</v>
      </c>
      <c r="B161" s="534"/>
      <c r="C161" s="455"/>
      <c r="D161" s="455"/>
      <c r="E161" s="455"/>
      <c r="F161" s="455"/>
      <c r="G161" s="455"/>
      <c r="H161" s="455">
        <v>7.2322017999999932E-2</v>
      </c>
      <c r="I161" s="455">
        <v>0</v>
      </c>
      <c r="N161" s="533">
        <v>38.712328767123289</v>
      </c>
      <c r="O161" s="534"/>
      <c r="P161" s="455"/>
      <c r="Q161" s="455"/>
      <c r="R161" s="455"/>
      <c r="S161" s="455"/>
      <c r="T161" s="455"/>
      <c r="U161" s="455">
        <v>7.9390571999999882E-2</v>
      </c>
      <c r="V161" s="455">
        <v>0</v>
      </c>
      <c r="AA161" s="533">
        <v>38.712328767123289</v>
      </c>
      <c r="AB161" s="534"/>
      <c r="AC161" s="455"/>
      <c r="AD161" s="455"/>
      <c r="AE161" s="455"/>
      <c r="AF161" s="455"/>
      <c r="AG161" s="455"/>
      <c r="AH161" s="455">
        <v>7.0207522000000022E-2</v>
      </c>
      <c r="AI161" s="455">
        <v>0</v>
      </c>
      <c r="AN161" s="533">
        <v>38.712328767123289</v>
      </c>
      <c r="AO161" s="534"/>
      <c r="AP161" s="455">
        <v>4.5900000000000003E-2</v>
      </c>
      <c r="AQ161" s="455">
        <v>6.8999999999999999E-3</v>
      </c>
      <c r="AR161" s="455">
        <v>2.1399999999999999E-2</v>
      </c>
      <c r="AS161" s="455"/>
      <c r="AT161" s="455">
        <v>4.1000000000000002E-2</v>
      </c>
      <c r="AU161" s="654">
        <v>6.6699999999999995E-2</v>
      </c>
      <c r="AV161" s="455">
        <v>0</v>
      </c>
      <c r="BA161" s="533">
        <v>38.712328767123289</v>
      </c>
      <c r="BB161" s="534"/>
      <c r="BC161" s="455"/>
      <c r="BD161" s="455"/>
      <c r="BE161" s="455"/>
      <c r="BF161" s="455"/>
      <c r="BG161" s="455"/>
      <c r="BH161" s="782">
        <v>7.2286554570091255E-3</v>
      </c>
      <c r="BI161" s="455">
        <v>0</v>
      </c>
    </row>
    <row r="162" spans="1:61">
      <c r="A162" s="533">
        <v>38.958904109589042</v>
      </c>
      <c r="B162" s="534"/>
      <c r="C162" s="455"/>
      <c r="D162" s="455"/>
      <c r="E162" s="455"/>
      <c r="F162" s="455"/>
      <c r="G162" s="455"/>
      <c r="H162" s="455">
        <v>7.2341081000000029E-2</v>
      </c>
      <c r="I162" s="455">
        <v>0</v>
      </c>
      <c r="N162" s="533">
        <v>38.958904109589042</v>
      </c>
      <c r="O162" s="534"/>
      <c r="P162" s="455"/>
      <c r="Q162" s="455"/>
      <c r="R162" s="455"/>
      <c r="S162" s="455"/>
      <c r="T162" s="455"/>
      <c r="U162" s="455">
        <v>7.9364658999999893E-2</v>
      </c>
      <c r="V162" s="455">
        <v>0</v>
      </c>
      <c r="AA162" s="533">
        <v>38.958904109589042</v>
      </c>
      <c r="AB162" s="534"/>
      <c r="AC162" s="455"/>
      <c r="AD162" s="455"/>
      <c r="AE162" s="455"/>
      <c r="AF162" s="455"/>
      <c r="AG162" s="455"/>
      <c r="AH162" s="455">
        <v>7.0209573999999941E-2</v>
      </c>
      <c r="AI162" s="455">
        <v>0</v>
      </c>
      <c r="AN162" s="533">
        <v>38.958904109589042</v>
      </c>
      <c r="AO162" s="534"/>
      <c r="AP162" s="455">
        <v>4.5600000000000002E-2</v>
      </c>
      <c r="AQ162" s="455">
        <v>6.7999999999999996E-3</v>
      </c>
      <c r="AR162" s="455">
        <v>2.12E-2</v>
      </c>
      <c r="AS162" s="455"/>
      <c r="AT162" s="455">
        <v>4.1000000000000002E-2</v>
      </c>
      <c r="AU162" s="654">
        <v>6.6600000000000006E-2</v>
      </c>
      <c r="AV162" s="455">
        <v>0</v>
      </c>
      <c r="BA162" s="533">
        <v>38.958904109589042</v>
      </c>
      <c r="BB162" s="534"/>
      <c r="BC162" s="455"/>
      <c r="BD162" s="455"/>
      <c r="BE162" s="455"/>
      <c r="BF162" s="455"/>
      <c r="BG162" s="455"/>
      <c r="BH162" s="782">
        <v>7.1224472486408619E-3</v>
      </c>
      <c r="BI162" s="455">
        <v>0</v>
      </c>
    </row>
    <row r="163" spans="1:61">
      <c r="A163" s="533">
        <v>39.205479452054796</v>
      </c>
      <c r="B163" s="534"/>
      <c r="C163" s="455"/>
      <c r="D163" s="455"/>
      <c r="E163" s="455"/>
      <c r="F163" s="455"/>
      <c r="G163" s="455"/>
      <c r="H163" s="455">
        <v>7.2359880000000043E-2</v>
      </c>
      <c r="I163" s="455">
        <v>0</v>
      </c>
      <c r="N163" s="533">
        <v>39.205479452054796</v>
      </c>
      <c r="O163" s="534"/>
      <c r="P163" s="455"/>
      <c r="Q163" s="455"/>
      <c r="R163" s="455"/>
      <c r="S163" s="455"/>
      <c r="T163" s="455"/>
      <c r="U163" s="455">
        <v>7.9338965000000039E-2</v>
      </c>
      <c r="V163" s="455">
        <v>0</v>
      </c>
      <c r="AA163" s="533">
        <v>39.205479452054796</v>
      </c>
      <c r="AB163" s="534"/>
      <c r="AC163" s="455"/>
      <c r="AD163" s="455"/>
      <c r="AE163" s="455"/>
      <c r="AF163" s="455"/>
      <c r="AG163" s="455"/>
      <c r="AH163" s="455">
        <v>7.0211494000000041E-2</v>
      </c>
      <c r="AI163" s="455">
        <v>0</v>
      </c>
      <c r="AN163" s="533">
        <v>39.205479452054796</v>
      </c>
      <c r="AO163" s="534"/>
      <c r="AP163" s="455">
        <v>4.5199999999999997E-2</v>
      </c>
      <c r="AQ163" s="455">
        <v>6.7999999999999996E-3</v>
      </c>
      <c r="AR163" s="455">
        <v>2.1100000000000001E-2</v>
      </c>
      <c r="AS163" s="455"/>
      <c r="AT163" s="455">
        <v>4.1000000000000002E-2</v>
      </c>
      <c r="AU163" s="654">
        <v>6.6500000000000004E-2</v>
      </c>
      <c r="AV163" s="455">
        <v>0</v>
      </c>
      <c r="BA163" s="533">
        <v>39.205479452054796</v>
      </c>
      <c r="BB163" s="534"/>
      <c r="BC163" s="455"/>
      <c r="BD163" s="455"/>
      <c r="BE163" s="455"/>
      <c r="BF163" s="455"/>
      <c r="BG163" s="455"/>
      <c r="BH163" s="782">
        <v>7.0164918383530672E-3</v>
      </c>
      <c r="BI163" s="455">
        <v>0</v>
      </c>
    </row>
    <row r="164" spans="1:61">
      <c r="A164" s="533">
        <v>39.452054794520549</v>
      </c>
      <c r="B164" s="534"/>
      <c r="C164" s="455"/>
      <c r="D164" s="455"/>
      <c r="E164" s="455"/>
      <c r="F164" s="455"/>
      <c r="G164" s="455"/>
      <c r="H164" s="455">
        <v>7.2378421000000026E-2</v>
      </c>
      <c r="I164" s="455">
        <v>0</v>
      </c>
      <c r="N164" s="533">
        <v>39.452054794520549</v>
      </c>
      <c r="O164" s="534"/>
      <c r="P164" s="455"/>
      <c r="Q164" s="455"/>
      <c r="R164" s="455"/>
      <c r="S164" s="455"/>
      <c r="T164" s="455"/>
      <c r="U164" s="455">
        <v>7.9313489000000015E-2</v>
      </c>
      <c r="V164" s="455">
        <v>0</v>
      </c>
      <c r="AA164" s="533">
        <v>39.452054794520549</v>
      </c>
      <c r="AB164" s="534"/>
      <c r="AC164" s="455"/>
      <c r="AD164" s="455"/>
      <c r="AE164" s="455"/>
      <c r="AF164" s="455"/>
      <c r="AG164" s="455"/>
      <c r="AH164" s="455">
        <v>7.0213284000000042E-2</v>
      </c>
      <c r="AI164" s="455">
        <v>0</v>
      </c>
      <c r="AN164" s="533">
        <v>39.452054794520549</v>
      </c>
      <c r="AO164" s="534"/>
      <c r="AP164" s="455"/>
      <c r="AQ164" s="455"/>
      <c r="AR164" s="455"/>
      <c r="AS164" s="455"/>
      <c r="AT164" s="455"/>
      <c r="AU164" s="654">
        <v>6.6400000000000001E-2</v>
      </c>
      <c r="AV164" s="455">
        <v>0</v>
      </c>
      <c r="BA164" s="533">
        <v>39.452054794520549</v>
      </c>
      <c r="BB164" s="534"/>
      <c r="BC164" s="455"/>
      <c r="BD164" s="455"/>
      <c r="BE164" s="455"/>
      <c r="BF164" s="455"/>
      <c r="BG164" s="455"/>
      <c r="BH164" s="782">
        <v>6.9108014887386826E-3</v>
      </c>
      <c r="BI164" s="455"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I1"/>
    <mergeCell ref="N1:V1"/>
    <mergeCell ref="AA1:AI1"/>
    <mergeCell ref="AN1:AV1"/>
    <mergeCell ref="BA1:BI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>
    <tabColor theme="7" tint="0.79998168889431442"/>
  </sheetPr>
  <dimension ref="A2:DU52"/>
  <sheetViews>
    <sheetView showGridLines="0" topLeftCell="A10" workbookViewId="0">
      <selection activeCell="E36" sqref="E36"/>
    </sheetView>
  </sheetViews>
  <sheetFormatPr baseColWidth="10" defaultColWidth="11.44140625" defaultRowHeight="14.4"/>
  <cols>
    <col min="1" max="1" width="29" customWidth="1"/>
    <col min="2" max="2" width="27.109375" customWidth="1"/>
    <col min="3" max="3" width="11.5546875" customWidth="1"/>
    <col min="4" max="4" width="25.88671875" customWidth="1"/>
    <col min="5" max="5" width="29.44140625" customWidth="1"/>
    <col min="6" max="7" width="11.6640625" customWidth="1"/>
    <col min="8" max="15" width="11.88671875" customWidth="1"/>
  </cols>
  <sheetData>
    <row r="2" spans="1:125">
      <c r="A2" s="1" t="s">
        <v>52</v>
      </c>
      <c r="B2" s="2">
        <f>IRR(E3:DU3)</f>
        <v>7.9308261160397242E-2</v>
      </c>
      <c r="C2" s="3"/>
      <c r="D2" s="4" t="s">
        <v>53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5">
        <v>13</v>
      </c>
      <c r="S2" s="5">
        <v>14</v>
      </c>
      <c r="T2" s="5">
        <v>15</v>
      </c>
      <c r="U2" s="5">
        <v>16</v>
      </c>
      <c r="V2" s="5">
        <v>17</v>
      </c>
      <c r="W2" s="5">
        <v>18</v>
      </c>
      <c r="X2" s="5">
        <v>19</v>
      </c>
      <c r="Y2" s="5">
        <v>20</v>
      </c>
      <c r="Z2" s="5">
        <v>21</v>
      </c>
      <c r="AA2" s="5">
        <v>22</v>
      </c>
      <c r="AB2" s="5">
        <v>23</v>
      </c>
      <c r="AC2" s="5">
        <v>24</v>
      </c>
      <c r="AD2" s="5">
        <v>25</v>
      </c>
      <c r="AE2" s="5">
        <v>26</v>
      </c>
      <c r="AF2" s="5">
        <v>27</v>
      </c>
      <c r="AG2" s="5">
        <v>28</v>
      </c>
      <c r="AH2" s="5">
        <v>29</v>
      </c>
      <c r="AI2" s="5">
        <v>30</v>
      </c>
      <c r="AJ2" s="5">
        <v>31</v>
      </c>
      <c r="AK2" s="5">
        <v>32</v>
      </c>
      <c r="AL2" s="5">
        <v>33</v>
      </c>
      <c r="AM2" s="5">
        <v>34</v>
      </c>
      <c r="AN2" s="5">
        <v>35</v>
      </c>
      <c r="AO2" s="5">
        <v>36</v>
      </c>
      <c r="AP2" s="5">
        <v>37</v>
      </c>
      <c r="AQ2" s="5">
        <v>38</v>
      </c>
      <c r="AR2" s="5">
        <v>39</v>
      </c>
      <c r="AS2" s="5">
        <v>40</v>
      </c>
      <c r="AT2" s="5">
        <v>41</v>
      </c>
      <c r="AU2" s="5">
        <v>42</v>
      </c>
      <c r="AV2" s="5">
        <v>43</v>
      </c>
      <c r="AW2" s="5">
        <v>44</v>
      </c>
      <c r="AX2" s="5">
        <v>45</v>
      </c>
      <c r="AY2" s="5">
        <v>46</v>
      </c>
      <c r="AZ2" s="5">
        <v>47</v>
      </c>
      <c r="BA2" s="5">
        <v>48</v>
      </c>
      <c r="BB2" s="5">
        <v>49</v>
      </c>
      <c r="BC2" s="5">
        <v>50</v>
      </c>
      <c r="BD2" s="5">
        <v>51</v>
      </c>
      <c r="BE2" s="5">
        <v>52</v>
      </c>
      <c r="BF2" s="5">
        <v>53</v>
      </c>
      <c r="BG2" s="5">
        <v>54</v>
      </c>
      <c r="BH2" s="5">
        <v>55</v>
      </c>
      <c r="BI2" s="5">
        <v>56</v>
      </c>
      <c r="BJ2" s="5">
        <v>57</v>
      </c>
      <c r="BK2" s="5">
        <v>58</v>
      </c>
      <c r="BL2" s="5">
        <v>59</v>
      </c>
      <c r="BM2" s="5">
        <v>60</v>
      </c>
      <c r="BN2" s="6">
        <v>61</v>
      </c>
      <c r="BO2" s="6">
        <v>62</v>
      </c>
      <c r="BP2" s="6">
        <v>63</v>
      </c>
      <c r="BQ2" s="6">
        <v>64</v>
      </c>
      <c r="BR2" s="6">
        <v>65</v>
      </c>
      <c r="BS2" s="6">
        <v>66</v>
      </c>
      <c r="BT2" s="6">
        <v>67</v>
      </c>
      <c r="BU2" s="6">
        <v>68</v>
      </c>
      <c r="BV2" s="6">
        <v>69</v>
      </c>
      <c r="BW2" s="6">
        <v>70</v>
      </c>
      <c r="BX2" s="6">
        <v>71</v>
      </c>
      <c r="BY2" s="6">
        <v>72</v>
      </c>
      <c r="BZ2" s="6">
        <v>73</v>
      </c>
      <c r="CA2" s="6">
        <v>74</v>
      </c>
      <c r="CB2" s="6">
        <v>75</v>
      </c>
      <c r="CC2" s="6">
        <v>76</v>
      </c>
      <c r="CD2" s="6">
        <v>77</v>
      </c>
      <c r="CE2" s="6">
        <v>78</v>
      </c>
      <c r="CF2" s="6">
        <v>79</v>
      </c>
      <c r="CG2" s="6">
        <v>80</v>
      </c>
      <c r="CH2" s="6">
        <v>81</v>
      </c>
      <c r="CI2" s="6">
        <v>82</v>
      </c>
      <c r="CJ2" s="6">
        <v>83</v>
      </c>
      <c r="CK2" s="6">
        <v>84</v>
      </c>
      <c r="CL2" s="6">
        <v>85</v>
      </c>
      <c r="CM2" s="6">
        <v>86</v>
      </c>
      <c r="CN2" s="6">
        <v>87</v>
      </c>
      <c r="CO2" s="6">
        <v>88</v>
      </c>
      <c r="CP2" s="6">
        <v>89</v>
      </c>
      <c r="CQ2" s="6">
        <v>90</v>
      </c>
      <c r="CR2" s="6">
        <v>91</v>
      </c>
      <c r="CS2" s="6">
        <v>92</v>
      </c>
      <c r="CT2" s="6">
        <v>93</v>
      </c>
      <c r="CU2" s="6">
        <v>94</v>
      </c>
      <c r="CV2" s="6">
        <v>95</v>
      </c>
      <c r="CW2" s="6">
        <v>96</v>
      </c>
      <c r="CX2" s="6">
        <v>97</v>
      </c>
      <c r="CY2" s="6">
        <v>98</v>
      </c>
      <c r="CZ2" s="6">
        <v>99</v>
      </c>
      <c r="DA2" s="6">
        <v>100</v>
      </c>
      <c r="DB2" s="6">
        <v>101</v>
      </c>
      <c r="DC2" s="6">
        <v>102</v>
      </c>
      <c r="DD2" s="6">
        <v>103</v>
      </c>
      <c r="DE2" s="6">
        <v>104</v>
      </c>
      <c r="DF2" s="6">
        <v>105</v>
      </c>
      <c r="DG2" s="6">
        <v>106</v>
      </c>
      <c r="DH2" s="6">
        <v>107</v>
      </c>
      <c r="DI2" s="6">
        <v>108</v>
      </c>
      <c r="DJ2" s="6">
        <v>109</v>
      </c>
      <c r="DK2" s="6">
        <v>110</v>
      </c>
      <c r="DL2" s="6">
        <v>111</v>
      </c>
      <c r="DM2" s="6">
        <v>112</v>
      </c>
      <c r="DN2" s="6">
        <v>113</v>
      </c>
      <c r="DO2" s="6">
        <v>114</v>
      </c>
      <c r="DP2" s="6">
        <v>115</v>
      </c>
      <c r="DQ2" s="6">
        <v>116</v>
      </c>
      <c r="DR2" s="6">
        <v>117</v>
      </c>
      <c r="DS2" s="6">
        <v>118</v>
      </c>
      <c r="DT2" s="6">
        <v>119</v>
      </c>
      <c r="DU2" s="6">
        <v>120</v>
      </c>
    </row>
    <row r="3" spans="1:125">
      <c r="A3" s="1" t="s">
        <v>54</v>
      </c>
      <c r="B3" s="70">
        <f>Flujos!C6</f>
        <v>5</v>
      </c>
      <c r="C3" s="7"/>
      <c r="D3" s="8" t="s">
        <v>55</v>
      </c>
      <c r="E3" s="9">
        <f>-B6</f>
        <v>-2000</v>
      </c>
      <c r="F3" s="10">
        <f t="shared" ref="F3:AK3" si="0">F4</f>
        <v>500</v>
      </c>
      <c r="G3" s="10">
        <f t="shared" si="0"/>
        <v>500</v>
      </c>
      <c r="H3" s="10">
        <f t="shared" si="0"/>
        <v>500</v>
      </c>
      <c r="I3" s="10">
        <f t="shared" si="0"/>
        <v>500</v>
      </c>
      <c r="J3" s="10">
        <f t="shared" si="0"/>
        <v>500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0">
        <f t="shared" si="0"/>
        <v>0</v>
      </c>
      <c r="O3" s="10">
        <f t="shared" si="0"/>
        <v>0</v>
      </c>
      <c r="P3" s="10">
        <f t="shared" si="0"/>
        <v>0</v>
      </c>
      <c r="Q3" s="10">
        <f t="shared" si="0"/>
        <v>0</v>
      </c>
      <c r="R3" s="10">
        <f t="shared" si="0"/>
        <v>0</v>
      </c>
      <c r="S3" s="10">
        <f t="shared" si="0"/>
        <v>0</v>
      </c>
      <c r="T3" s="10">
        <f t="shared" si="0"/>
        <v>0</v>
      </c>
      <c r="U3" s="10">
        <f t="shared" si="0"/>
        <v>0</v>
      </c>
      <c r="V3" s="10">
        <f t="shared" si="0"/>
        <v>0</v>
      </c>
      <c r="W3" s="10">
        <f t="shared" si="0"/>
        <v>0</v>
      </c>
      <c r="X3" s="10">
        <f t="shared" si="0"/>
        <v>0</v>
      </c>
      <c r="Y3" s="10">
        <f t="shared" si="0"/>
        <v>0</v>
      </c>
      <c r="Z3" s="10">
        <f t="shared" si="0"/>
        <v>0</v>
      </c>
      <c r="AA3" s="10">
        <f t="shared" si="0"/>
        <v>0</v>
      </c>
      <c r="AB3" s="10">
        <f t="shared" si="0"/>
        <v>0</v>
      </c>
      <c r="AC3" s="10">
        <f t="shared" si="0"/>
        <v>0</v>
      </c>
      <c r="AD3" s="10">
        <f t="shared" si="0"/>
        <v>0</v>
      </c>
      <c r="AE3" s="10">
        <f t="shared" si="0"/>
        <v>0</v>
      </c>
      <c r="AF3" s="10">
        <f t="shared" si="0"/>
        <v>0</v>
      </c>
      <c r="AG3" s="10">
        <f t="shared" si="0"/>
        <v>0</v>
      </c>
      <c r="AH3" s="10">
        <f t="shared" si="0"/>
        <v>0</v>
      </c>
      <c r="AI3" s="10">
        <f t="shared" si="0"/>
        <v>0</v>
      </c>
      <c r="AJ3" s="10">
        <f t="shared" si="0"/>
        <v>0</v>
      </c>
      <c r="AK3" s="10">
        <f t="shared" si="0"/>
        <v>0</v>
      </c>
      <c r="AL3" s="10">
        <f t="shared" ref="AL3:BQ3" si="1">AL4</f>
        <v>0</v>
      </c>
      <c r="AM3" s="10">
        <f t="shared" si="1"/>
        <v>0</v>
      </c>
      <c r="AN3" s="10">
        <f t="shared" si="1"/>
        <v>0</v>
      </c>
      <c r="AO3" s="10">
        <f t="shared" si="1"/>
        <v>0</v>
      </c>
      <c r="AP3" s="10">
        <f t="shared" si="1"/>
        <v>0</v>
      </c>
      <c r="AQ3" s="10">
        <f t="shared" si="1"/>
        <v>0</v>
      </c>
      <c r="AR3" s="10">
        <f t="shared" si="1"/>
        <v>0</v>
      </c>
      <c r="AS3" s="10">
        <f t="shared" si="1"/>
        <v>0</v>
      </c>
      <c r="AT3" s="10">
        <f t="shared" si="1"/>
        <v>0</v>
      </c>
      <c r="AU3" s="10">
        <f t="shared" si="1"/>
        <v>0</v>
      </c>
      <c r="AV3" s="10">
        <f t="shared" si="1"/>
        <v>0</v>
      </c>
      <c r="AW3" s="10">
        <f t="shared" si="1"/>
        <v>0</v>
      </c>
      <c r="AX3" s="10">
        <f t="shared" si="1"/>
        <v>0</v>
      </c>
      <c r="AY3" s="10">
        <f t="shared" si="1"/>
        <v>0</v>
      </c>
      <c r="AZ3" s="10">
        <f t="shared" si="1"/>
        <v>0</v>
      </c>
      <c r="BA3" s="10">
        <f t="shared" si="1"/>
        <v>0</v>
      </c>
      <c r="BB3" s="10">
        <f t="shared" si="1"/>
        <v>0</v>
      </c>
      <c r="BC3" s="10">
        <f t="shared" si="1"/>
        <v>0</v>
      </c>
      <c r="BD3" s="10">
        <f t="shared" si="1"/>
        <v>0</v>
      </c>
      <c r="BE3" s="10">
        <f t="shared" si="1"/>
        <v>0</v>
      </c>
      <c r="BF3" s="10">
        <f t="shared" si="1"/>
        <v>0</v>
      </c>
      <c r="BG3" s="10">
        <f t="shared" si="1"/>
        <v>0</v>
      </c>
      <c r="BH3" s="10">
        <f t="shared" si="1"/>
        <v>0</v>
      </c>
      <c r="BI3" s="10">
        <f t="shared" si="1"/>
        <v>0</v>
      </c>
      <c r="BJ3" s="10">
        <f t="shared" si="1"/>
        <v>0</v>
      </c>
      <c r="BK3" s="10">
        <f t="shared" si="1"/>
        <v>0</v>
      </c>
      <c r="BL3" s="10">
        <f t="shared" si="1"/>
        <v>0</v>
      </c>
      <c r="BM3" s="10">
        <f t="shared" si="1"/>
        <v>0</v>
      </c>
      <c r="BN3" s="10">
        <f t="shared" si="1"/>
        <v>0</v>
      </c>
      <c r="BO3" s="10">
        <f t="shared" si="1"/>
        <v>0</v>
      </c>
      <c r="BP3" s="10">
        <f t="shared" si="1"/>
        <v>0</v>
      </c>
      <c r="BQ3" s="10">
        <f t="shared" si="1"/>
        <v>0</v>
      </c>
      <c r="BR3" s="10">
        <f t="shared" ref="BR3:CW3" si="2">BR4</f>
        <v>0</v>
      </c>
      <c r="BS3" s="10">
        <f t="shared" si="2"/>
        <v>0</v>
      </c>
      <c r="BT3" s="10">
        <f t="shared" si="2"/>
        <v>0</v>
      </c>
      <c r="BU3" s="10">
        <f t="shared" si="2"/>
        <v>0</v>
      </c>
      <c r="BV3" s="10">
        <f t="shared" si="2"/>
        <v>0</v>
      </c>
      <c r="BW3" s="10">
        <f t="shared" si="2"/>
        <v>0</v>
      </c>
      <c r="BX3" s="10">
        <f t="shared" si="2"/>
        <v>0</v>
      </c>
      <c r="BY3" s="10">
        <f t="shared" si="2"/>
        <v>0</v>
      </c>
      <c r="BZ3" s="10">
        <f t="shared" si="2"/>
        <v>0</v>
      </c>
      <c r="CA3" s="10">
        <f t="shared" si="2"/>
        <v>0</v>
      </c>
      <c r="CB3" s="10">
        <f t="shared" si="2"/>
        <v>0</v>
      </c>
      <c r="CC3" s="10">
        <f t="shared" si="2"/>
        <v>0</v>
      </c>
      <c r="CD3" s="10">
        <f t="shared" si="2"/>
        <v>0</v>
      </c>
      <c r="CE3" s="10">
        <f t="shared" si="2"/>
        <v>0</v>
      </c>
      <c r="CF3" s="10">
        <f t="shared" si="2"/>
        <v>0</v>
      </c>
      <c r="CG3" s="10">
        <f t="shared" si="2"/>
        <v>0</v>
      </c>
      <c r="CH3" s="10">
        <f t="shared" si="2"/>
        <v>0</v>
      </c>
      <c r="CI3" s="10">
        <f t="shared" si="2"/>
        <v>0</v>
      </c>
      <c r="CJ3" s="10">
        <f t="shared" si="2"/>
        <v>0</v>
      </c>
      <c r="CK3" s="10">
        <f t="shared" si="2"/>
        <v>0</v>
      </c>
      <c r="CL3" s="10">
        <f t="shared" si="2"/>
        <v>0</v>
      </c>
      <c r="CM3" s="10">
        <f t="shared" si="2"/>
        <v>0</v>
      </c>
      <c r="CN3" s="10">
        <f t="shared" si="2"/>
        <v>0</v>
      </c>
      <c r="CO3" s="10">
        <f t="shared" si="2"/>
        <v>0</v>
      </c>
      <c r="CP3" s="10">
        <f t="shared" si="2"/>
        <v>0</v>
      </c>
      <c r="CQ3" s="10">
        <f t="shared" si="2"/>
        <v>0</v>
      </c>
      <c r="CR3" s="10">
        <f t="shared" si="2"/>
        <v>0</v>
      </c>
      <c r="CS3" s="10">
        <f t="shared" si="2"/>
        <v>0</v>
      </c>
      <c r="CT3" s="10">
        <f t="shared" si="2"/>
        <v>0</v>
      </c>
      <c r="CU3" s="10">
        <f t="shared" si="2"/>
        <v>0</v>
      </c>
      <c r="CV3" s="10">
        <f t="shared" si="2"/>
        <v>0</v>
      </c>
      <c r="CW3" s="10">
        <f t="shared" si="2"/>
        <v>0</v>
      </c>
      <c r="CX3" s="10">
        <f t="shared" ref="CX3:DU3" si="3">CX4</f>
        <v>0</v>
      </c>
      <c r="CY3" s="10">
        <f t="shared" si="3"/>
        <v>0</v>
      </c>
      <c r="CZ3" s="10">
        <f t="shared" si="3"/>
        <v>0</v>
      </c>
      <c r="DA3" s="10">
        <f t="shared" si="3"/>
        <v>0</v>
      </c>
      <c r="DB3" s="10">
        <f t="shared" si="3"/>
        <v>0</v>
      </c>
      <c r="DC3" s="10">
        <f t="shared" si="3"/>
        <v>0</v>
      </c>
      <c r="DD3" s="10">
        <f t="shared" si="3"/>
        <v>0</v>
      </c>
      <c r="DE3" s="10">
        <f t="shared" si="3"/>
        <v>0</v>
      </c>
      <c r="DF3" s="10">
        <f t="shared" si="3"/>
        <v>0</v>
      </c>
      <c r="DG3" s="10">
        <f t="shared" si="3"/>
        <v>0</v>
      </c>
      <c r="DH3" s="10">
        <f t="shared" si="3"/>
        <v>0</v>
      </c>
      <c r="DI3" s="10">
        <f t="shared" si="3"/>
        <v>0</v>
      </c>
      <c r="DJ3" s="10">
        <f t="shared" si="3"/>
        <v>0</v>
      </c>
      <c r="DK3" s="10">
        <f t="shared" si="3"/>
        <v>0</v>
      </c>
      <c r="DL3" s="10">
        <f t="shared" si="3"/>
        <v>0</v>
      </c>
      <c r="DM3" s="10">
        <f t="shared" si="3"/>
        <v>0</v>
      </c>
      <c r="DN3" s="10">
        <f t="shared" si="3"/>
        <v>0</v>
      </c>
      <c r="DO3" s="10">
        <f t="shared" si="3"/>
        <v>0</v>
      </c>
      <c r="DP3" s="10">
        <f t="shared" si="3"/>
        <v>0</v>
      </c>
      <c r="DQ3" s="10">
        <f t="shared" si="3"/>
        <v>0</v>
      </c>
      <c r="DR3" s="10">
        <f t="shared" si="3"/>
        <v>0</v>
      </c>
      <c r="DS3" s="10">
        <f t="shared" si="3"/>
        <v>0</v>
      </c>
      <c r="DT3" s="10">
        <f t="shared" si="3"/>
        <v>0</v>
      </c>
      <c r="DU3" s="10">
        <f t="shared" si="3"/>
        <v>0</v>
      </c>
    </row>
    <row r="4" spans="1:125">
      <c r="A4" s="1" t="s">
        <v>56</v>
      </c>
      <c r="B4" s="71" t="str">
        <f>Flujos!C5</f>
        <v>Anual</v>
      </c>
      <c r="C4" s="7"/>
      <c r="D4" s="8" t="s">
        <v>57</v>
      </c>
      <c r="E4" s="11">
        <f>Flujos!C11</f>
        <v>0</v>
      </c>
      <c r="F4" s="11">
        <f>Flujos!D11</f>
        <v>500</v>
      </c>
      <c r="G4" s="11">
        <f>Flujos!E11</f>
        <v>500</v>
      </c>
      <c r="H4" s="11">
        <f>Flujos!F11</f>
        <v>500</v>
      </c>
      <c r="I4" s="11">
        <f>Flujos!G11</f>
        <v>500</v>
      </c>
      <c r="J4" s="11">
        <f>Flujos!H11</f>
        <v>500</v>
      </c>
      <c r="K4" s="11">
        <f>Flujos!I11</f>
        <v>0</v>
      </c>
      <c r="L4" s="11">
        <f>Flujos!J11</f>
        <v>0</v>
      </c>
      <c r="M4" s="11">
        <f>Flujos!K11</f>
        <v>0</v>
      </c>
      <c r="N4" s="11">
        <f>Flujos!L11</f>
        <v>0</v>
      </c>
      <c r="O4" s="11">
        <f>Flujos!M11</f>
        <v>0</v>
      </c>
      <c r="P4" s="11">
        <f>Flujos!N11</f>
        <v>0</v>
      </c>
      <c r="Q4" s="11">
        <f>Flujos!O11</f>
        <v>0</v>
      </c>
      <c r="R4" s="11">
        <f>Flujos!P11</f>
        <v>0</v>
      </c>
      <c r="S4" s="11">
        <f>Flujos!Q11</f>
        <v>0</v>
      </c>
      <c r="T4" s="11">
        <f>Flujos!R11</f>
        <v>0</v>
      </c>
      <c r="U4" s="11">
        <f>Flujos!S11</f>
        <v>0</v>
      </c>
      <c r="V4" s="11">
        <f>Flujos!T11</f>
        <v>0</v>
      </c>
      <c r="W4" s="11">
        <f>Flujos!U11</f>
        <v>0</v>
      </c>
      <c r="X4" s="11">
        <f>Flujos!V11</f>
        <v>0</v>
      </c>
      <c r="Y4" s="11">
        <f>Flujos!W11</f>
        <v>0</v>
      </c>
      <c r="Z4" s="11">
        <f>Flujos!X11</f>
        <v>0</v>
      </c>
      <c r="AA4" s="11">
        <f>Flujos!Y11</f>
        <v>0</v>
      </c>
      <c r="AB4" s="11">
        <f>Flujos!Z11</f>
        <v>0</v>
      </c>
      <c r="AC4" s="11">
        <f>Flujos!AA11</f>
        <v>0</v>
      </c>
      <c r="AD4" s="11">
        <f>Flujos!AB11</f>
        <v>0</v>
      </c>
      <c r="AE4" s="11">
        <f>Flujos!AC11</f>
        <v>0</v>
      </c>
      <c r="AF4" s="11">
        <f>Flujos!AD11</f>
        <v>0</v>
      </c>
      <c r="AG4" s="11">
        <f>Flujos!AE11</f>
        <v>0</v>
      </c>
      <c r="AH4" s="11">
        <f>Flujos!AF11</f>
        <v>0</v>
      </c>
      <c r="AI4" s="11">
        <f>Flujos!AG11</f>
        <v>0</v>
      </c>
      <c r="AJ4" s="11">
        <f>Flujos!AH11</f>
        <v>0</v>
      </c>
      <c r="AK4" s="11">
        <f>Flujos!AI11</f>
        <v>0</v>
      </c>
      <c r="AL4" s="11">
        <f>Flujos!AJ11</f>
        <v>0</v>
      </c>
      <c r="AM4" s="11">
        <f>Flujos!AK11</f>
        <v>0</v>
      </c>
      <c r="AN4" s="11">
        <f>Flujos!AL11</f>
        <v>0</v>
      </c>
      <c r="AO4" s="11">
        <f>Flujos!AM11</f>
        <v>0</v>
      </c>
      <c r="AP4" s="11">
        <f>Flujos!AN11</f>
        <v>0</v>
      </c>
      <c r="AQ4" s="11">
        <f>Flujos!AO11</f>
        <v>0</v>
      </c>
      <c r="AR4" s="11">
        <f>Flujos!AP11</f>
        <v>0</v>
      </c>
      <c r="AS4" s="11">
        <f>Flujos!AQ11</f>
        <v>0</v>
      </c>
      <c r="AT4" s="11">
        <f>Flujos!AR11</f>
        <v>0</v>
      </c>
      <c r="AU4" s="11">
        <f>Flujos!AS11</f>
        <v>0</v>
      </c>
      <c r="AV4" s="11">
        <f>Flujos!AT11</f>
        <v>0</v>
      </c>
      <c r="AW4" s="11">
        <f>Flujos!AU11</f>
        <v>0</v>
      </c>
      <c r="AX4" s="11">
        <f>Flujos!AV11</f>
        <v>0</v>
      </c>
      <c r="AY4" s="11">
        <f>Flujos!AW11</f>
        <v>0</v>
      </c>
      <c r="AZ4" s="11">
        <f>Flujos!AX11</f>
        <v>0</v>
      </c>
      <c r="BA4" s="11">
        <f>Flujos!AY11</f>
        <v>0</v>
      </c>
      <c r="BB4" s="11">
        <f>Flujos!AZ11</f>
        <v>0</v>
      </c>
      <c r="BC4" s="11">
        <f>Flujos!BA11</f>
        <v>0</v>
      </c>
      <c r="BD4" s="11">
        <f>Flujos!BB11</f>
        <v>0</v>
      </c>
      <c r="BE4" s="11">
        <f>Flujos!BC11</f>
        <v>0</v>
      </c>
      <c r="BF4" s="11">
        <f>Flujos!BD11</f>
        <v>0</v>
      </c>
      <c r="BG4" s="11">
        <f>Flujos!BE11</f>
        <v>0</v>
      </c>
      <c r="BH4" s="11">
        <f>Flujos!BF11</f>
        <v>0</v>
      </c>
      <c r="BI4" s="11">
        <f>Flujos!BG11</f>
        <v>0</v>
      </c>
      <c r="BJ4" s="11">
        <f>Flujos!BH11</f>
        <v>0</v>
      </c>
      <c r="BK4" s="11">
        <f>Flujos!BI11</f>
        <v>0</v>
      </c>
      <c r="BL4" s="11">
        <f>Flujos!BJ11</f>
        <v>0</v>
      </c>
      <c r="BM4" s="11">
        <f>Flujos!BK11</f>
        <v>0</v>
      </c>
      <c r="BN4" s="11">
        <f>Flujos!BL11</f>
        <v>0</v>
      </c>
      <c r="BO4" s="11">
        <f>Flujos!BM11</f>
        <v>0</v>
      </c>
      <c r="BP4" s="11">
        <f>Flujos!BN11</f>
        <v>0</v>
      </c>
      <c r="BQ4" s="11">
        <f>Flujos!BO11</f>
        <v>0</v>
      </c>
      <c r="BR4" s="11">
        <f>Flujos!BP11</f>
        <v>0</v>
      </c>
      <c r="BS4" s="11">
        <f>Flujos!BQ11</f>
        <v>0</v>
      </c>
      <c r="BT4" s="11">
        <f>Flujos!BR11</f>
        <v>0</v>
      </c>
      <c r="BU4" s="11">
        <f>Flujos!BS11</f>
        <v>0</v>
      </c>
      <c r="BV4" s="11">
        <f>Flujos!BT11</f>
        <v>0</v>
      </c>
      <c r="BW4" s="11">
        <f>Flujos!BU11</f>
        <v>0</v>
      </c>
      <c r="BX4" s="11">
        <f>Flujos!BV11</f>
        <v>0</v>
      </c>
      <c r="BY4" s="11">
        <f>Flujos!BW11</f>
        <v>0</v>
      </c>
      <c r="BZ4" s="11">
        <f>Flujos!BX11</f>
        <v>0</v>
      </c>
      <c r="CA4" s="11">
        <f>Flujos!BY11</f>
        <v>0</v>
      </c>
      <c r="CB4" s="11">
        <f>Flujos!BZ11</f>
        <v>0</v>
      </c>
      <c r="CC4" s="11">
        <f>Flujos!CA11</f>
        <v>0</v>
      </c>
      <c r="CD4" s="11">
        <f>Flujos!CB11</f>
        <v>0</v>
      </c>
      <c r="CE4" s="11">
        <f>Flujos!CC11</f>
        <v>0</v>
      </c>
      <c r="CF4" s="11">
        <f>Flujos!CD11</f>
        <v>0</v>
      </c>
      <c r="CG4" s="11">
        <f>Flujos!CE11</f>
        <v>0</v>
      </c>
      <c r="CH4" s="11">
        <f>Flujos!CF11</f>
        <v>0</v>
      </c>
      <c r="CI4" s="11">
        <f>Flujos!CG11</f>
        <v>0</v>
      </c>
      <c r="CJ4" s="11">
        <f>Flujos!CH11</f>
        <v>0</v>
      </c>
      <c r="CK4" s="11">
        <f>Flujos!CI11</f>
        <v>0</v>
      </c>
      <c r="CL4" s="11">
        <f>Flujos!CJ11</f>
        <v>0</v>
      </c>
      <c r="CM4" s="11">
        <f>Flujos!CK11</f>
        <v>0</v>
      </c>
      <c r="CN4" s="11">
        <f>Flujos!CL11</f>
        <v>0</v>
      </c>
      <c r="CO4" s="11">
        <f>Flujos!CM11</f>
        <v>0</v>
      </c>
      <c r="CP4" s="11">
        <f>Flujos!CN11</f>
        <v>0</v>
      </c>
      <c r="CQ4" s="11">
        <f>Flujos!CO11</f>
        <v>0</v>
      </c>
      <c r="CR4" s="11">
        <f>Flujos!CP11</f>
        <v>0</v>
      </c>
      <c r="CS4" s="11">
        <f>Flujos!CQ11</f>
        <v>0</v>
      </c>
      <c r="CT4" s="11">
        <f>Flujos!CR11</f>
        <v>0</v>
      </c>
      <c r="CU4" s="11">
        <f>Flujos!CS11</f>
        <v>0</v>
      </c>
      <c r="CV4" s="11">
        <f>Flujos!CT11</f>
        <v>0</v>
      </c>
      <c r="CW4" s="11">
        <f>Flujos!CU11</f>
        <v>0</v>
      </c>
      <c r="CX4" s="11">
        <f>Flujos!CV11</f>
        <v>0</v>
      </c>
      <c r="CY4" s="11">
        <f>Flujos!CW11</f>
        <v>0</v>
      </c>
      <c r="CZ4" s="11">
        <f>Flujos!CX11</f>
        <v>0</v>
      </c>
      <c r="DA4" s="11">
        <f>Flujos!CY11</f>
        <v>0</v>
      </c>
      <c r="DB4" s="11">
        <f>Flujos!CZ11</f>
        <v>0</v>
      </c>
      <c r="DC4" s="11">
        <f>Flujos!DA11</f>
        <v>0</v>
      </c>
      <c r="DD4" s="11">
        <f>Flujos!DB11</f>
        <v>0</v>
      </c>
      <c r="DE4" s="11">
        <f>Flujos!DC11</f>
        <v>0</v>
      </c>
      <c r="DF4" s="11">
        <f>Flujos!DD11</f>
        <v>0</v>
      </c>
      <c r="DG4" s="11">
        <f>Flujos!DE11</f>
        <v>0</v>
      </c>
      <c r="DH4" s="11">
        <f>Flujos!DF11</f>
        <v>0</v>
      </c>
      <c r="DI4" s="11">
        <f>Flujos!DG11</f>
        <v>0</v>
      </c>
      <c r="DJ4" s="11">
        <f>Flujos!DH11</f>
        <v>0</v>
      </c>
      <c r="DK4" s="11">
        <f>Flujos!DI11</f>
        <v>0</v>
      </c>
      <c r="DL4" s="11">
        <f>Flujos!DJ11</f>
        <v>0</v>
      </c>
      <c r="DM4" s="11">
        <f>Flujos!DK11</f>
        <v>0</v>
      </c>
      <c r="DN4" s="11">
        <f>Flujos!DL11</f>
        <v>0</v>
      </c>
      <c r="DO4" s="11">
        <f>Flujos!DM11</f>
        <v>0</v>
      </c>
      <c r="DP4" s="11">
        <f>Flujos!DN11</f>
        <v>0</v>
      </c>
      <c r="DQ4" s="11">
        <f>Flujos!DO11</f>
        <v>0</v>
      </c>
      <c r="DR4" s="11">
        <f>Flujos!DP11</f>
        <v>0</v>
      </c>
      <c r="DS4" s="11">
        <f>Flujos!DQ11</f>
        <v>0</v>
      </c>
      <c r="DT4" s="11">
        <f>Flujos!DR11</f>
        <v>0</v>
      </c>
      <c r="DU4" s="11">
        <f>Flujos!DS11</f>
        <v>0</v>
      </c>
    </row>
    <row r="5" spans="1:125">
      <c r="A5" s="1" t="s">
        <v>58</v>
      </c>
      <c r="B5" s="12">
        <f>NPV(B2,F5:AI5)</f>
        <v>5695.4865396966588</v>
      </c>
      <c r="C5" s="13"/>
      <c r="D5" s="10" t="s">
        <v>59</v>
      </c>
      <c r="E5" s="10"/>
      <c r="F5" s="10">
        <f t="shared" ref="F5:AK5" si="4">F3*F2</f>
        <v>500</v>
      </c>
      <c r="G5" s="10">
        <f t="shared" si="4"/>
        <v>1000</v>
      </c>
      <c r="H5" s="10">
        <f t="shared" si="4"/>
        <v>1500</v>
      </c>
      <c r="I5" s="10">
        <f t="shared" si="4"/>
        <v>2000</v>
      </c>
      <c r="J5" s="10">
        <f t="shared" si="4"/>
        <v>2500</v>
      </c>
      <c r="K5" s="10">
        <f t="shared" si="4"/>
        <v>0</v>
      </c>
      <c r="L5" s="10">
        <f t="shared" si="4"/>
        <v>0</v>
      </c>
      <c r="M5" s="10">
        <f t="shared" si="4"/>
        <v>0</v>
      </c>
      <c r="N5" s="10">
        <f t="shared" si="4"/>
        <v>0</v>
      </c>
      <c r="O5" s="10">
        <f t="shared" si="4"/>
        <v>0</v>
      </c>
      <c r="P5" s="10">
        <f t="shared" si="4"/>
        <v>0</v>
      </c>
      <c r="Q5" s="10">
        <f t="shared" si="4"/>
        <v>0</v>
      </c>
      <c r="R5" s="10">
        <f t="shared" si="4"/>
        <v>0</v>
      </c>
      <c r="S5" s="10">
        <f t="shared" si="4"/>
        <v>0</v>
      </c>
      <c r="T5" s="10">
        <f t="shared" si="4"/>
        <v>0</v>
      </c>
      <c r="U5" s="10">
        <f t="shared" si="4"/>
        <v>0</v>
      </c>
      <c r="V5" s="10">
        <f t="shared" si="4"/>
        <v>0</v>
      </c>
      <c r="W5" s="10">
        <f t="shared" si="4"/>
        <v>0</v>
      </c>
      <c r="X5" s="10">
        <f t="shared" si="4"/>
        <v>0</v>
      </c>
      <c r="Y5" s="10">
        <f t="shared" si="4"/>
        <v>0</v>
      </c>
      <c r="Z5" s="10">
        <f t="shared" si="4"/>
        <v>0</v>
      </c>
      <c r="AA5" s="10">
        <f t="shared" si="4"/>
        <v>0</v>
      </c>
      <c r="AB5" s="10">
        <f t="shared" si="4"/>
        <v>0</v>
      </c>
      <c r="AC5" s="10">
        <f t="shared" si="4"/>
        <v>0</v>
      </c>
      <c r="AD5" s="10">
        <f t="shared" si="4"/>
        <v>0</v>
      </c>
      <c r="AE5" s="10">
        <f t="shared" si="4"/>
        <v>0</v>
      </c>
      <c r="AF5" s="10">
        <f t="shared" si="4"/>
        <v>0</v>
      </c>
      <c r="AG5" s="10">
        <f t="shared" si="4"/>
        <v>0</v>
      </c>
      <c r="AH5" s="10">
        <f t="shared" si="4"/>
        <v>0</v>
      </c>
      <c r="AI5" s="10">
        <f t="shared" si="4"/>
        <v>0</v>
      </c>
      <c r="AJ5" s="10">
        <f t="shared" si="4"/>
        <v>0</v>
      </c>
      <c r="AK5" s="10">
        <f t="shared" si="4"/>
        <v>0</v>
      </c>
      <c r="AL5" s="10">
        <f t="shared" ref="AL5:BQ5" si="5">AL3*AL2</f>
        <v>0</v>
      </c>
      <c r="AM5" s="10">
        <f t="shared" si="5"/>
        <v>0</v>
      </c>
      <c r="AN5" s="10">
        <f t="shared" si="5"/>
        <v>0</v>
      </c>
      <c r="AO5" s="10">
        <f t="shared" si="5"/>
        <v>0</v>
      </c>
      <c r="AP5" s="10">
        <f t="shared" si="5"/>
        <v>0</v>
      </c>
      <c r="AQ5" s="10">
        <f t="shared" si="5"/>
        <v>0</v>
      </c>
      <c r="AR5" s="10">
        <f t="shared" si="5"/>
        <v>0</v>
      </c>
      <c r="AS5" s="10">
        <f t="shared" si="5"/>
        <v>0</v>
      </c>
      <c r="AT5" s="10">
        <f t="shared" si="5"/>
        <v>0</v>
      </c>
      <c r="AU5" s="10">
        <f t="shared" si="5"/>
        <v>0</v>
      </c>
      <c r="AV5" s="10">
        <f t="shared" si="5"/>
        <v>0</v>
      </c>
      <c r="AW5" s="10">
        <f t="shared" si="5"/>
        <v>0</v>
      </c>
      <c r="AX5" s="10">
        <f t="shared" si="5"/>
        <v>0</v>
      </c>
      <c r="AY5" s="10">
        <f t="shared" si="5"/>
        <v>0</v>
      </c>
      <c r="AZ5" s="10">
        <f t="shared" si="5"/>
        <v>0</v>
      </c>
      <c r="BA5" s="10">
        <f t="shared" si="5"/>
        <v>0</v>
      </c>
      <c r="BB5" s="10">
        <f t="shared" si="5"/>
        <v>0</v>
      </c>
      <c r="BC5" s="10">
        <f t="shared" si="5"/>
        <v>0</v>
      </c>
      <c r="BD5" s="10">
        <f t="shared" si="5"/>
        <v>0</v>
      </c>
      <c r="BE5" s="10">
        <f t="shared" si="5"/>
        <v>0</v>
      </c>
      <c r="BF5" s="10">
        <f t="shared" si="5"/>
        <v>0</v>
      </c>
      <c r="BG5" s="10">
        <f t="shared" si="5"/>
        <v>0</v>
      </c>
      <c r="BH5" s="10">
        <f t="shared" si="5"/>
        <v>0</v>
      </c>
      <c r="BI5" s="10">
        <f t="shared" si="5"/>
        <v>0</v>
      </c>
      <c r="BJ5" s="10">
        <f t="shared" si="5"/>
        <v>0</v>
      </c>
      <c r="BK5" s="10">
        <f t="shared" si="5"/>
        <v>0</v>
      </c>
      <c r="BL5" s="10">
        <f t="shared" si="5"/>
        <v>0</v>
      </c>
      <c r="BM5" s="10">
        <f t="shared" si="5"/>
        <v>0</v>
      </c>
      <c r="BN5" s="10">
        <f t="shared" si="5"/>
        <v>0</v>
      </c>
      <c r="BO5" s="10">
        <f t="shared" si="5"/>
        <v>0</v>
      </c>
      <c r="BP5" s="10">
        <f t="shared" si="5"/>
        <v>0</v>
      </c>
      <c r="BQ5" s="10">
        <f t="shared" si="5"/>
        <v>0</v>
      </c>
      <c r="BR5" s="10">
        <f t="shared" ref="BR5:CW5" si="6">BR3*BR2</f>
        <v>0</v>
      </c>
      <c r="BS5" s="10">
        <f t="shared" si="6"/>
        <v>0</v>
      </c>
      <c r="BT5" s="10">
        <f t="shared" si="6"/>
        <v>0</v>
      </c>
      <c r="BU5" s="10">
        <f t="shared" si="6"/>
        <v>0</v>
      </c>
      <c r="BV5" s="10">
        <f t="shared" si="6"/>
        <v>0</v>
      </c>
      <c r="BW5" s="10">
        <f t="shared" si="6"/>
        <v>0</v>
      </c>
      <c r="BX5" s="10">
        <f t="shared" si="6"/>
        <v>0</v>
      </c>
      <c r="BY5" s="10">
        <f t="shared" si="6"/>
        <v>0</v>
      </c>
      <c r="BZ5" s="10">
        <f t="shared" si="6"/>
        <v>0</v>
      </c>
      <c r="CA5" s="10">
        <f t="shared" si="6"/>
        <v>0</v>
      </c>
      <c r="CB5" s="10">
        <f t="shared" si="6"/>
        <v>0</v>
      </c>
      <c r="CC5" s="10">
        <f t="shared" si="6"/>
        <v>0</v>
      </c>
      <c r="CD5" s="10">
        <f t="shared" si="6"/>
        <v>0</v>
      </c>
      <c r="CE5" s="10">
        <f t="shared" si="6"/>
        <v>0</v>
      </c>
      <c r="CF5" s="10">
        <f t="shared" si="6"/>
        <v>0</v>
      </c>
      <c r="CG5" s="10">
        <f t="shared" si="6"/>
        <v>0</v>
      </c>
      <c r="CH5" s="10">
        <f t="shared" si="6"/>
        <v>0</v>
      </c>
      <c r="CI5" s="10">
        <f t="shared" si="6"/>
        <v>0</v>
      </c>
      <c r="CJ5" s="10">
        <f t="shared" si="6"/>
        <v>0</v>
      </c>
      <c r="CK5" s="10">
        <f t="shared" si="6"/>
        <v>0</v>
      </c>
      <c r="CL5" s="10">
        <f t="shared" si="6"/>
        <v>0</v>
      </c>
      <c r="CM5" s="10">
        <f t="shared" si="6"/>
        <v>0</v>
      </c>
      <c r="CN5" s="10">
        <f t="shared" si="6"/>
        <v>0</v>
      </c>
      <c r="CO5" s="10">
        <f t="shared" si="6"/>
        <v>0</v>
      </c>
      <c r="CP5" s="10">
        <f t="shared" si="6"/>
        <v>0</v>
      </c>
      <c r="CQ5" s="10">
        <f t="shared" si="6"/>
        <v>0</v>
      </c>
      <c r="CR5" s="10">
        <f t="shared" si="6"/>
        <v>0</v>
      </c>
      <c r="CS5" s="10">
        <f t="shared" si="6"/>
        <v>0</v>
      </c>
      <c r="CT5" s="10">
        <f t="shared" si="6"/>
        <v>0</v>
      </c>
      <c r="CU5" s="10">
        <f t="shared" si="6"/>
        <v>0</v>
      </c>
      <c r="CV5" s="10">
        <f t="shared" si="6"/>
        <v>0</v>
      </c>
      <c r="CW5" s="10">
        <f t="shared" si="6"/>
        <v>0</v>
      </c>
      <c r="CX5" s="10">
        <f t="shared" ref="CX5:DU5" si="7">CX3*CX2</f>
        <v>0</v>
      </c>
      <c r="CY5" s="10">
        <f t="shared" si="7"/>
        <v>0</v>
      </c>
      <c r="CZ5" s="10">
        <f t="shared" si="7"/>
        <v>0</v>
      </c>
      <c r="DA5" s="10">
        <f t="shared" si="7"/>
        <v>0</v>
      </c>
      <c r="DB5" s="10">
        <f t="shared" si="7"/>
        <v>0</v>
      </c>
      <c r="DC5" s="10">
        <f t="shared" si="7"/>
        <v>0</v>
      </c>
      <c r="DD5" s="10">
        <f t="shared" si="7"/>
        <v>0</v>
      </c>
      <c r="DE5" s="10">
        <f t="shared" si="7"/>
        <v>0</v>
      </c>
      <c r="DF5" s="10">
        <f t="shared" si="7"/>
        <v>0</v>
      </c>
      <c r="DG5" s="10">
        <f t="shared" si="7"/>
        <v>0</v>
      </c>
      <c r="DH5" s="10">
        <f t="shared" si="7"/>
        <v>0</v>
      </c>
      <c r="DI5" s="10">
        <f t="shared" si="7"/>
        <v>0</v>
      </c>
      <c r="DJ5" s="10">
        <f t="shared" si="7"/>
        <v>0</v>
      </c>
      <c r="DK5" s="10">
        <f t="shared" si="7"/>
        <v>0</v>
      </c>
      <c r="DL5" s="10">
        <f t="shared" si="7"/>
        <v>0</v>
      </c>
      <c r="DM5" s="10">
        <f t="shared" si="7"/>
        <v>0</v>
      </c>
      <c r="DN5" s="10">
        <f t="shared" si="7"/>
        <v>0</v>
      </c>
      <c r="DO5" s="10">
        <f t="shared" si="7"/>
        <v>0</v>
      </c>
      <c r="DP5" s="10">
        <f t="shared" si="7"/>
        <v>0</v>
      </c>
      <c r="DQ5" s="10">
        <f t="shared" si="7"/>
        <v>0</v>
      </c>
      <c r="DR5" s="10">
        <f t="shared" si="7"/>
        <v>0</v>
      </c>
      <c r="DS5" s="10">
        <f t="shared" si="7"/>
        <v>0</v>
      </c>
      <c r="DT5" s="10">
        <f t="shared" si="7"/>
        <v>0</v>
      </c>
      <c r="DU5" s="10">
        <f t="shared" si="7"/>
        <v>0</v>
      </c>
    </row>
    <row r="6" spans="1:125">
      <c r="A6" s="1" t="s">
        <v>60</v>
      </c>
      <c r="B6" s="12">
        <f>-(NPV(E8,F6:DU6)+E6)</f>
        <v>2000</v>
      </c>
      <c r="C6" s="13"/>
      <c r="D6" s="8" t="s">
        <v>61</v>
      </c>
      <c r="E6" s="11">
        <f>-Flujos!C12</f>
        <v>-2000</v>
      </c>
      <c r="F6" s="11">
        <f>-Flujos!D12</f>
        <v>0</v>
      </c>
      <c r="G6" s="11">
        <f>-Flujos!E12</f>
        <v>0</v>
      </c>
      <c r="H6" s="11">
        <f>-Flujos!F12</f>
        <v>0</v>
      </c>
      <c r="I6" s="11">
        <f>-Flujos!G12</f>
        <v>0</v>
      </c>
      <c r="J6" s="11">
        <f>-Flujos!H12</f>
        <v>0</v>
      </c>
      <c r="K6" s="11">
        <f>-Flujos!I12</f>
        <v>0</v>
      </c>
      <c r="L6" s="11">
        <f>-Flujos!J12</f>
        <v>0</v>
      </c>
      <c r="M6" s="11">
        <f>-Flujos!K12</f>
        <v>0</v>
      </c>
      <c r="N6" s="11">
        <f>-Flujos!L12</f>
        <v>0</v>
      </c>
      <c r="O6" s="11">
        <f>-Flujos!M12</f>
        <v>0</v>
      </c>
      <c r="P6" s="11">
        <f>-Flujos!N12</f>
        <v>0</v>
      </c>
      <c r="Q6" s="11">
        <f>-Flujos!O12</f>
        <v>0</v>
      </c>
      <c r="R6" s="11">
        <f>-Flujos!P12</f>
        <v>0</v>
      </c>
      <c r="S6" s="11">
        <f>-Flujos!Q12</f>
        <v>0</v>
      </c>
      <c r="T6" s="11">
        <f>-Flujos!R12</f>
        <v>0</v>
      </c>
      <c r="U6" s="11">
        <f>-Flujos!S12</f>
        <v>0</v>
      </c>
      <c r="V6" s="11">
        <f>-Flujos!T12</f>
        <v>0</v>
      </c>
      <c r="W6" s="11">
        <f>-Flujos!U12</f>
        <v>0</v>
      </c>
      <c r="X6" s="11">
        <f>-Flujos!V12</f>
        <v>0</v>
      </c>
      <c r="Y6" s="11">
        <f>-Flujos!W12</f>
        <v>0</v>
      </c>
      <c r="Z6" s="11">
        <f>-Flujos!X12</f>
        <v>0</v>
      </c>
      <c r="AA6" s="11">
        <f>-Flujos!Y12</f>
        <v>0</v>
      </c>
      <c r="AB6" s="11">
        <f>-Flujos!Z12</f>
        <v>0</v>
      </c>
      <c r="AC6" s="11">
        <f>-Flujos!AA12</f>
        <v>0</v>
      </c>
      <c r="AD6" s="11">
        <f>-Flujos!AB12</f>
        <v>0</v>
      </c>
      <c r="AE6" s="11">
        <f>-Flujos!AC12</f>
        <v>0</v>
      </c>
      <c r="AF6" s="11">
        <f>-Flujos!AD12</f>
        <v>0</v>
      </c>
      <c r="AG6" s="11">
        <f>-Flujos!AE12</f>
        <v>0</v>
      </c>
      <c r="AH6" s="11">
        <f>-Flujos!AF12</f>
        <v>0</v>
      </c>
      <c r="AI6" s="11">
        <f>-Flujos!AG12</f>
        <v>0</v>
      </c>
      <c r="AJ6" s="11">
        <f>-Flujos!AH12</f>
        <v>0</v>
      </c>
      <c r="AK6" s="11">
        <f>-Flujos!AI12</f>
        <v>0</v>
      </c>
      <c r="AL6" s="11">
        <f>-Flujos!AJ12</f>
        <v>0</v>
      </c>
      <c r="AM6" s="11">
        <f>-Flujos!AK12</f>
        <v>0</v>
      </c>
      <c r="AN6" s="11">
        <f>-Flujos!AL12</f>
        <v>0</v>
      </c>
      <c r="AO6" s="11">
        <f>-Flujos!AM12</f>
        <v>0</v>
      </c>
      <c r="AP6" s="11">
        <f>-Flujos!AN12</f>
        <v>0</v>
      </c>
      <c r="AQ6" s="11">
        <f>-Flujos!AO12</f>
        <v>0</v>
      </c>
      <c r="AR6" s="11">
        <f>-Flujos!AP12</f>
        <v>0</v>
      </c>
      <c r="AS6" s="11">
        <f>-Flujos!AQ12</f>
        <v>0</v>
      </c>
      <c r="AT6" s="11">
        <f>-Flujos!AR12</f>
        <v>0</v>
      </c>
      <c r="AU6" s="11">
        <f>-Flujos!AS12</f>
        <v>0</v>
      </c>
      <c r="AV6" s="11">
        <f>-Flujos!AT12</f>
        <v>0</v>
      </c>
      <c r="AW6" s="11">
        <f>-Flujos!AU12</f>
        <v>0</v>
      </c>
      <c r="AX6" s="11">
        <f>-Flujos!AV12</f>
        <v>0</v>
      </c>
      <c r="AY6" s="11">
        <f>-Flujos!AW12</f>
        <v>0</v>
      </c>
      <c r="AZ6" s="11">
        <f>-Flujos!AX12</f>
        <v>0</v>
      </c>
      <c r="BA6" s="11">
        <f>-Flujos!AY12</f>
        <v>0</v>
      </c>
      <c r="BB6" s="11">
        <f>-Flujos!AZ12</f>
        <v>0</v>
      </c>
      <c r="BC6" s="11">
        <f>-Flujos!BA12</f>
        <v>0</v>
      </c>
      <c r="BD6" s="11">
        <f>-Flujos!BB12</f>
        <v>0</v>
      </c>
      <c r="BE6" s="11">
        <f>-Flujos!BC12</f>
        <v>0</v>
      </c>
      <c r="BF6" s="11">
        <f>-Flujos!BD12</f>
        <v>0</v>
      </c>
      <c r="BG6" s="11">
        <f>-Flujos!BE12</f>
        <v>0</v>
      </c>
      <c r="BH6" s="11">
        <f>-Flujos!BF12</f>
        <v>0</v>
      </c>
      <c r="BI6" s="11">
        <f>-Flujos!BG12</f>
        <v>0</v>
      </c>
      <c r="BJ6" s="11">
        <f>-Flujos!BH12</f>
        <v>0</v>
      </c>
      <c r="BK6" s="11">
        <f>-Flujos!BI12</f>
        <v>0</v>
      </c>
      <c r="BL6" s="11">
        <f>-Flujos!BJ12</f>
        <v>0</v>
      </c>
      <c r="BM6" s="11">
        <f>-Flujos!BK12</f>
        <v>0</v>
      </c>
      <c r="BN6" s="11">
        <f>-Flujos!BL12</f>
        <v>0</v>
      </c>
      <c r="BO6" s="11">
        <f>-Flujos!BM12</f>
        <v>0</v>
      </c>
      <c r="BP6" s="11">
        <f>-Flujos!BN12</f>
        <v>0</v>
      </c>
      <c r="BQ6" s="11">
        <f>-Flujos!BO12</f>
        <v>0</v>
      </c>
      <c r="BR6" s="11">
        <f>-Flujos!BP12</f>
        <v>0</v>
      </c>
      <c r="BS6" s="11">
        <f>-Flujos!BQ12</f>
        <v>0</v>
      </c>
      <c r="BT6" s="11">
        <f>-Flujos!BR12</f>
        <v>0</v>
      </c>
      <c r="BU6" s="11">
        <f>-Flujos!BS12</f>
        <v>0</v>
      </c>
      <c r="BV6" s="11">
        <f>-Flujos!BT12</f>
        <v>0</v>
      </c>
      <c r="BW6" s="11">
        <f>-Flujos!BU12</f>
        <v>0</v>
      </c>
      <c r="BX6" s="11">
        <f>-Flujos!BV12</f>
        <v>0</v>
      </c>
      <c r="BY6" s="11">
        <f>-Flujos!BW12</f>
        <v>0</v>
      </c>
      <c r="BZ6" s="11">
        <f>-Flujos!BX12</f>
        <v>0</v>
      </c>
      <c r="CA6" s="11">
        <f>-Flujos!BY12</f>
        <v>0</v>
      </c>
      <c r="CB6" s="11">
        <f>-Flujos!BZ12</f>
        <v>0</v>
      </c>
      <c r="CC6" s="11">
        <f>-Flujos!CA12</f>
        <v>0</v>
      </c>
      <c r="CD6" s="11">
        <f>-Flujos!CB12</f>
        <v>0</v>
      </c>
      <c r="CE6" s="11">
        <f>-Flujos!CC12</f>
        <v>0</v>
      </c>
      <c r="CF6" s="11">
        <f>-Flujos!CD12</f>
        <v>0</v>
      </c>
      <c r="CG6" s="11">
        <f>-Flujos!CE12</f>
        <v>0</v>
      </c>
      <c r="CH6" s="11">
        <f>-Flujos!CF12</f>
        <v>0</v>
      </c>
      <c r="CI6" s="11">
        <f>-Flujos!CG12</f>
        <v>0</v>
      </c>
      <c r="CJ6" s="11">
        <f>-Flujos!CH12</f>
        <v>0</v>
      </c>
      <c r="CK6" s="11">
        <f>-Flujos!CI12</f>
        <v>0</v>
      </c>
      <c r="CL6" s="11">
        <f>-Flujos!CJ12</f>
        <v>0</v>
      </c>
      <c r="CM6" s="11">
        <f>-Flujos!CK12</f>
        <v>0</v>
      </c>
      <c r="CN6" s="11">
        <f>-Flujos!CL12</f>
        <v>0</v>
      </c>
      <c r="CO6" s="11">
        <f>-Flujos!CM12</f>
        <v>0</v>
      </c>
      <c r="CP6" s="11">
        <f>-Flujos!CN12</f>
        <v>0</v>
      </c>
      <c r="CQ6" s="11">
        <f>-Flujos!CO12</f>
        <v>0</v>
      </c>
      <c r="CR6" s="11">
        <f>-Flujos!CP12</f>
        <v>0</v>
      </c>
      <c r="CS6" s="11">
        <f>-Flujos!CQ12</f>
        <v>0</v>
      </c>
      <c r="CT6" s="11">
        <f>-Flujos!CR12</f>
        <v>0</v>
      </c>
      <c r="CU6" s="11">
        <f>-Flujos!CS12</f>
        <v>0</v>
      </c>
      <c r="CV6" s="11">
        <f>-Flujos!CT12</f>
        <v>0</v>
      </c>
      <c r="CW6" s="11">
        <f>-Flujos!CU12</f>
        <v>0</v>
      </c>
      <c r="CX6" s="11">
        <f>-Flujos!CV12</f>
        <v>0</v>
      </c>
      <c r="CY6" s="11">
        <f>-Flujos!CW12</f>
        <v>0</v>
      </c>
      <c r="CZ6" s="11">
        <f>-Flujos!CX12</f>
        <v>0</v>
      </c>
      <c r="DA6" s="11">
        <f>-Flujos!CY12</f>
        <v>0</v>
      </c>
      <c r="DB6" s="11">
        <f>-Flujos!CZ12</f>
        <v>0</v>
      </c>
      <c r="DC6" s="11">
        <f>-Flujos!DA12</f>
        <v>0</v>
      </c>
      <c r="DD6" s="11">
        <f>-Flujos!DB12</f>
        <v>0</v>
      </c>
      <c r="DE6" s="11">
        <f>-Flujos!DC12</f>
        <v>0</v>
      </c>
      <c r="DF6" s="11">
        <f>-Flujos!DD12</f>
        <v>0</v>
      </c>
      <c r="DG6" s="11">
        <f>-Flujos!DE12</f>
        <v>0</v>
      </c>
      <c r="DH6" s="11">
        <f>-Flujos!DF12</f>
        <v>0</v>
      </c>
      <c r="DI6" s="11">
        <f>-Flujos!DG12</f>
        <v>0</v>
      </c>
      <c r="DJ6" s="11">
        <f>-Flujos!DH12</f>
        <v>0</v>
      </c>
      <c r="DK6" s="11">
        <f>-Flujos!DI12</f>
        <v>0</v>
      </c>
      <c r="DL6" s="11">
        <f>-Flujos!DJ12</f>
        <v>0</v>
      </c>
      <c r="DM6" s="11">
        <f>-Flujos!DK12</f>
        <v>0</v>
      </c>
      <c r="DN6" s="11">
        <f>-Flujos!DL12</f>
        <v>0</v>
      </c>
      <c r="DO6" s="11">
        <f>-Flujos!DM12</f>
        <v>0</v>
      </c>
      <c r="DP6" s="11">
        <f>-Flujos!DN12</f>
        <v>0</v>
      </c>
      <c r="DQ6" s="11">
        <f>-Flujos!DO12</f>
        <v>0</v>
      </c>
      <c r="DR6" s="11">
        <f>-Flujos!DP12</f>
        <v>0</v>
      </c>
      <c r="DS6" s="11">
        <f>-Flujos!DQ12</f>
        <v>0</v>
      </c>
      <c r="DT6" s="11">
        <f>-Flujos!DR12</f>
        <v>0</v>
      </c>
      <c r="DU6" s="11">
        <f>-Flujos!DS12</f>
        <v>0</v>
      </c>
    </row>
    <row r="7" spans="1:125">
      <c r="A7" s="1" t="s">
        <v>62</v>
      </c>
      <c r="B7" s="14">
        <f>B5/B6</f>
        <v>2.8477432698483294</v>
      </c>
      <c r="C7" s="15"/>
      <c r="D7" s="8" t="s">
        <v>63</v>
      </c>
      <c r="E7" s="9">
        <f t="shared" ref="E7:AJ7" si="8">E4+E6</f>
        <v>-2000</v>
      </c>
      <c r="F7" s="9">
        <f t="shared" si="8"/>
        <v>500</v>
      </c>
      <c r="G7" s="9">
        <f t="shared" si="8"/>
        <v>500</v>
      </c>
      <c r="H7" s="9">
        <f t="shared" si="8"/>
        <v>500</v>
      </c>
      <c r="I7" s="9">
        <f t="shared" si="8"/>
        <v>500</v>
      </c>
      <c r="J7" s="9">
        <f t="shared" si="8"/>
        <v>500</v>
      </c>
      <c r="K7" s="9">
        <f t="shared" si="8"/>
        <v>0</v>
      </c>
      <c r="L7" s="9">
        <f t="shared" si="8"/>
        <v>0</v>
      </c>
      <c r="M7" s="9">
        <f t="shared" si="8"/>
        <v>0</v>
      </c>
      <c r="N7" s="9">
        <f t="shared" si="8"/>
        <v>0</v>
      </c>
      <c r="O7" s="9">
        <f t="shared" si="8"/>
        <v>0</v>
      </c>
      <c r="P7" s="9">
        <f t="shared" si="8"/>
        <v>0</v>
      </c>
      <c r="Q7" s="9">
        <f t="shared" si="8"/>
        <v>0</v>
      </c>
      <c r="R7" s="9">
        <f t="shared" si="8"/>
        <v>0</v>
      </c>
      <c r="S7" s="9">
        <f t="shared" si="8"/>
        <v>0</v>
      </c>
      <c r="T7" s="9">
        <f t="shared" si="8"/>
        <v>0</v>
      </c>
      <c r="U7" s="9">
        <f t="shared" si="8"/>
        <v>0</v>
      </c>
      <c r="V7" s="9">
        <f t="shared" si="8"/>
        <v>0</v>
      </c>
      <c r="W7" s="9">
        <f t="shared" si="8"/>
        <v>0</v>
      </c>
      <c r="X7" s="9">
        <f t="shared" si="8"/>
        <v>0</v>
      </c>
      <c r="Y7" s="9">
        <f t="shared" si="8"/>
        <v>0</v>
      </c>
      <c r="Z7" s="9">
        <f t="shared" si="8"/>
        <v>0</v>
      </c>
      <c r="AA7" s="9">
        <f t="shared" si="8"/>
        <v>0</v>
      </c>
      <c r="AB7" s="9">
        <f t="shared" si="8"/>
        <v>0</v>
      </c>
      <c r="AC7" s="9">
        <f t="shared" si="8"/>
        <v>0</v>
      </c>
      <c r="AD7" s="9">
        <f t="shared" si="8"/>
        <v>0</v>
      </c>
      <c r="AE7" s="9">
        <f t="shared" si="8"/>
        <v>0</v>
      </c>
      <c r="AF7" s="9">
        <f t="shared" si="8"/>
        <v>0</v>
      </c>
      <c r="AG7" s="9">
        <f t="shared" si="8"/>
        <v>0</v>
      </c>
      <c r="AH7" s="9">
        <f t="shared" si="8"/>
        <v>0</v>
      </c>
      <c r="AI7" s="9">
        <f t="shared" si="8"/>
        <v>0</v>
      </c>
      <c r="AJ7" s="9">
        <f t="shared" si="8"/>
        <v>0</v>
      </c>
      <c r="AK7" s="9">
        <f t="shared" ref="AK7:BP7" si="9">AK4+AK6</f>
        <v>0</v>
      </c>
      <c r="AL7" s="9">
        <f t="shared" si="9"/>
        <v>0</v>
      </c>
      <c r="AM7" s="9">
        <f t="shared" si="9"/>
        <v>0</v>
      </c>
      <c r="AN7" s="9">
        <f t="shared" si="9"/>
        <v>0</v>
      </c>
      <c r="AO7" s="9">
        <f t="shared" si="9"/>
        <v>0</v>
      </c>
      <c r="AP7" s="9">
        <f t="shared" si="9"/>
        <v>0</v>
      </c>
      <c r="AQ7" s="9">
        <f t="shared" si="9"/>
        <v>0</v>
      </c>
      <c r="AR7" s="9">
        <f t="shared" si="9"/>
        <v>0</v>
      </c>
      <c r="AS7" s="9">
        <f t="shared" si="9"/>
        <v>0</v>
      </c>
      <c r="AT7" s="9">
        <f t="shared" si="9"/>
        <v>0</v>
      </c>
      <c r="AU7" s="9">
        <f t="shared" si="9"/>
        <v>0</v>
      </c>
      <c r="AV7" s="9">
        <f t="shared" si="9"/>
        <v>0</v>
      </c>
      <c r="AW7" s="9">
        <f t="shared" si="9"/>
        <v>0</v>
      </c>
      <c r="AX7" s="9">
        <f t="shared" si="9"/>
        <v>0</v>
      </c>
      <c r="AY7" s="9">
        <f t="shared" si="9"/>
        <v>0</v>
      </c>
      <c r="AZ7" s="9">
        <f t="shared" si="9"/>
        <v>0</v>
      </c>
      <c r="BA7" s="9">
        <f t="shared" si="9"/>
        <v>0</v>
      </c>
      <c r="BB7" s="9">
        <f t="shared" si="9"/>
        <v>0</v>
      </c>
      <c r="BC7" s="9">
        <f t="shared" si="9"/>
        <v>0</v>
      </c>
      <c r="BD7" s="9">
        <f t="shared" si="9"/>
        <v>0</v>
      </c>
      <c r="BE7" s="9">
        <f t="shared" si="9"/>
        <v>0</v>
      </c>
      <c r="BF7" s="9">
        <f t="shared" si="9"/>
        <v>0</v>
      </c>
      <c r="BG7" s="9">
        <f t="shared" si="9"/>
        <v>0</v>
      </c>
      <c r="BH7" s="9">
        <f t="shared" si="9"/>
        <v>0</v>
      </c>
      <c r="BI7" s="9">
        <f t="shared" si="9"/>
        <v>0</v>
      </c>
      <c r="BJ7" s="9">
        <f t="shared" si="9"/>
        <v>0</v>
      </c>
      <c r="BK7" s="9">
        <f t="shared" si="9"/>
        <v>0</v>
      </c>
      <c r="BL7" s="9">
        <f t="shared" si="9"/>
        <v>0</v>
      </c>
      <c r="BM7" s="9">
        <f t="shared" si="9"/>
        <v>0</v>
      </c>
      <c r="BN7" s="9">
        <f t="shared" si="9"/>
        <v>0</v>
      </c>
      <c r="BO7" s="9">
        <f t="shared" si="9"/>
        <v>0</v>
      </c>
      <c r="BP7" s="9">
        <f t="shared" si="9"/>
        <v>0</v>
      </c>
      <c r="BQ7" s="9">
        <f t="shared" ref="BQ7:CV7" si="10">BQ4+BQ6</f>
        <v>0</v>
      </c>
      <c r="BR7" s="9">
        <f t="shared" si="10"/>
        <v>0</v>
      </c>
      <c r="BS7" s="9">
        <f t="shared" si="10"/>
        <v>0</v>
      </c>
      <c r="BT7" s="9">
        <f t="shared" si="10"/>
        <v>0</v>
      </c>
      <c r="BU7" s="9">
        <f t="shared" si="10"/>
        <v>0</v>
      </c>
      <c r="BV7" s="9">
        <f t="shared" si="10"/>
        <v>0</v>
      </c>
      <c r="BW7" s="9">
        <f t="shared" si="10"/>
        <v>0</v>
      </c>
      <c r="BX7" s="9">
        <f t="shared" si="10"/>
        <v>0</v>
      </c>
      <c r="BY7" s="9">
        <f t="shared" si="10"/>
        <v>0</v>
      </c>
      <c r="BZ7" s="9">
        <f t="shared" si="10"/>
        <v>0</v>
      </c>
      <c r="CA7" s="9">
        <f t="shared" si="10"/>
        <v>0</v>
      </c>
      <c r="CB7" s="9">
        <f t="shared" si="10"/>
        <v>0</v>
      </c>
      <c r="CC7" s="9">
        <f t="shared" si="10"/>
        <v>0</v>
      </c>
      <c r="CD7" s="9">
        <f t="shared" si="10"/>
        <v>0</v>
      </c>
      <c r="CE7" s="9">
        <f t="shared" si="10"/>
        <v>0</v>
      </c>
      <c r="CF7" s="9">
        <f t="shared" si="10"/>
        <v>0</v>
      </c>
      <c r="CG7" s="9">
        <f t="shared" si="10"/>
        <v>0</v>
      </c>
      <c r="CH7" s="9">
        <f t="shared" si="10"/>
        <v>0</v>
      </c>
      <c r="CI7" s="9">
        <f t="shared" si="10"/>
        <v>0</v>
      </c>
      <c r="CJ7" s="9">
        <f t="shared" si="10"/>
        <v>0</v>
      </c>
      <c r="CK7" s="9">
        <f t="shared" si="10"/>
        <v>0</v>
      </c>
      <c r="CL7" s="9">
        <f t="shared" si="10"/>
        <v>0</v>
      </c>
      <c r="CM7" s="9">
        <f t="shared" si="10"/>
        <v>0</v>
      </c>
      <c r="CN7" s="9">
        <f t="shared" si="10"/>
        <v>0</v>
      </c>
      <c r="CO7" s="9">
        <f t="shared" si="10"/>
        <v>0</v>
      </c>
      <c r="CP7" s="9">
        <f t="shared" si="10"/>
        <v>0</v>
      </c>
      <c r="CQ7" s="9">
        <f t="shared" si="10"/>
        <v>0</v>
      </c>
      <c r="CR7" s="9">
        <f t="shared" si="10"/>
        <v>0</v>
      </c>
      <c r="CS7" s="9">
        <f t="shared" si="10"/>
        <v>0</v>
      </c>
      <c r="CT7" s="9">
        <f t="shared" si="10"/>
        <v>0</v>
      </c>
      <c r="CU7" s="9">
        <f t="shared" si="10"/>
        <v>0</v>
      </c>
      <c r="CV7" s="9">
        <f t="shared" si="10"/>
        <v>0</v>
      </c>
      <c r="CW7" s="9">
        <f t="shared" ref="CW7:DU7" si="11">CW4+CW6</f>
        <v>0</v>
      </c>
      <c r="CX7" s="9">
        <f t="shared" si="11"/>
        <v>0</v>
      </c>
      <c r="CY7" s="9">
        <f t="shared" si="11"/>
        <v>0</v>
      </c>
      <c r="CZ7" s="9">
        <f t="shared" si="11"/>
        <v>0</v>
      </c>
      <c r="DA7" s="9">
        <f t="shared" si="11"/>
        <v>0</v>
      </c>
      <c r="DB7" s="9">
        <f t="shared" si="11"/>
        <v>0</v>
      </c>
      <c r="DC7" s="9">
        <f t="shared" si="11"/>
        <v>0</v>
      </c>
      <c r="DD7" s="9">
        <f t="shared" si="11"/>
        <v>0</v>
      </c>
      <c r="DE7" s="9">
        <f t="shared" si="11"/>
        <v>0</v>
      </c>
      <c r="DF7" s="9">
        <f t="shared" si="11"/>
        <v>0</v>
      </c>
      <c r="DG7" s="9">
        <f t="shared" si="11"/>
        <v>0</v>
      </c>
      <c r="DH7" s="9">
        <f t="shared" si="11"/>
        <v>0</v>
      </c>
      <c r="DI7" s="9">
        <f t="shared" si="11"/>
        <v>0</v>
      </c>
      <c r="DJ7" s="9">
        <f t="shared" si="11"/>
        <v>0</v>
      </c>
      <c r="DK7" s="9">
        <f t="shared" si="11"/>
        <v>0</v>
      </c>
      <c r="DL7" s="9">
        <f t="shared" si="11"/>
        <v>0</v>
      </c>
      <c r="DM7" s="9">
        <f t="shared" si="11"/>
        <v>0</v>
      </c>
      <c r="DN7" s="9">
        <f t="shared" si="11"/>
        <v>0</v>
      </c>
      <c r="DO7" s="9">
        <f t="shared" si="11"/>
        <v>0</v>
      </c>
      <c r="DP7" s="9">
        <f t="shared" si="11"/>
        <v>0</v>
      </c>
      <c r="DQ7" s="9">
        <f t="shared" si="11"/>
        <v>0</v>
      </c>
      <c r="DR7" s="9">
        <f t="shared" si="11"/>
        <v>0</v>
      </c>
      <c r="DS7" s="9">
        <f t="shared" si="11"/>
        <v>0</v>
      </c>
      <c r="DT7" s="9">
        <f t="shared" si="11"/>
        <v>0</v>
      </c>
      <c r="DU7" s="9">
        <f t="shared" si="11"/>
        <v>0</v>
      </c>
    </row>
    <row r="8" spans="1:125">
      <c r="A8" s="1" t="s">
        <v>64</v>
      </c>
      <c r="B8" s="16">
        <f>IF(B4="Trimestral",B7*1/4,IF(B4="Semestral",B7*1/2,B7))</f>
        <v>2.8477432698483294</v>
      </c>
      <c r="C8" s="15"/>
      <c r="D8" s="8" t="s">
        <v>65</v>
      </c>
      <c r="E8" s="17">
        <f>IRR(E7:DU7)</f>
        <v>7.9308261160397242E-2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 spans="1:125"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</row>
    <row r="10" spans="1:125">
      <c r="A10" t="s">
        <v>66</v>
      </c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spans="1:125">
      <c r="D11" s="76" t="s">
        <v>62</v>
      </c>
      <c r="E11" s="77">
        <f>B8</f>
        <v>2.8477432698483294</v>
      </c>
      <c r="G11" s="79" t="s">
        <v>67</v>
      </c>
      <c r="H11" s="79" t="s">
        <v>68</v>
      </c>
    </row>
    <row r="12" spans="1:125">
      <c r="B12" s="83" t="s">
        <v>69</v>
      </c>
      <c r="C12" s="21"/>
      <c r="D12" s="78" t="s">
        <v>70</v>
      </c>
      <c r="E12" s="80">
        <f>((E11-G12)*H13+(G13-E11)*H12)/(G13-G12)</f>
        <v>4.2669548653969665E-2</v>
      </c>
      <c r="F12" s="81"/>
      <c r="G12" s="6">
        <f>INDEX($A$14:$B$25,MATCH(E11,$A$14:$A$25,1),1)</f>
        <v>2</v>
      </c>
      <c r="H12" s="80">
        <f>VLOOKUP(G12,$A$14:$B$25,2,TRUE)</f>
        <v>4.2500000000000003E-2</v>
      </c>
    </row>
    <row r="13" spans="1:125" ht="15" customHeight="1">
      <c r="A13" s="84" t="s">
        <v>71</v>
      </c>
      <c r="B13" s="103">
        <f>WACC!F3</f>
        <v>45657</v>
      </c>
      <c r="C13" s="102"/>
      <c r="F13" s="81"/>
      <c r="G13" s="6">
        <f>IF(INDEX($A$14:$B$25,MATCH(E11,$A$14:$A$25,1)+1,1,1)="0.25 (3 meses)",0.25,INDEX($A$14:$B$25,MATCH(E11,$A$14:$A$25,1)+1,1,1))</f>
        <v>3</v>
      </c>
      <c r="H13" s="80">
        <f>VLOOKUP(G13,$A$14:$B$25,2,TRUE)</f>
        <v>4.2700000000000002E-2</v>
      </c>
      <c r="K13" s="19"/>
    </row>
    <row r="14" spans="1:125" ht="15" customHeight="1">
      <c r="A14" s="85">
        <f>1/12</f>
        <v>8.3333333333333329E-2</v>
      </c>
      <c r="B14" s="630">
        <f>+_xlfn.XLOOKUP($B$13,'Rf Base de datos'!$A:$A,'Rf Base de datos'!B:B)</f>
        <v>4.3999999999999997E-2</v>
      </c>
      <c r="C14" s="101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25">
      <c r="A15" s="85">
        <f>2/12</f>
        <v>0.16666666666666666</v>
      </c>
      <c r="B15" s="630">
        <f>+_xlfn.XLOOKUP($B$13,'Rf Base de datos'!$A:$A,'Rf Base de datos'!C:C)</f>
        <v>4.3900000000000002E-2</v>
      </c>
      <c r="C15" s="101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</row>
    <row r="16" spans="1:125" ht="17.399999999999999">
      <c r="A16" s="85" t="s">
        <v>289</v>
      </c>
      <c r="B16" s="630">
        <f>+_xlfn.XLOOKUP($B$13,'Rf Base de datos'!$A:$A,'Rf Base de datos'!D:D)</f>
        <v>4.3700000000000003E-2</v>
      </c>
      <c r="C16" s="101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20"/>
    </row>
    <row r="17" spans="1:16">
      <c r="A17" s="85" t="s">
        <v>290</v>
      </c>
      <c r="B17" s="630">
        <f>+_xlfn.XLOOKUP($B$13,'Rf Base de datos'!$A:$A,'Rf Base de datos'!E:E)</f>
        <v>4.24E-2</v>
      </c>
      <c r="C17" s="101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>
      <c r="A18" s="85">
        <v>1</v>
      </c>
      <c r="B18" s="630">
        <f>+_xlfn.XLOOKUP($B$13,'Rf Base de datos'!$A:$A,'Rf Base de datos'!F:F)</f>
        <v>4.1599999999999998E-2</v>
      </c>
      <c r="C18" s="101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>
      <c r="A19" s="85">
        <v>2</v>
      </c>
      <c r="B19" s="630">
        <f>+_xlfn.XLOOKUP($B$13,'Rf Base de datos'!$A:$A,'Rf Base de datos'!G:G)</f>
        <v>4.2500000000000003E-2</v>
      </c>
      <c r="C19" s="101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</row>
    <row r="20" spans="1:16">
      <c r="A20" s="85">
        <v>3</v>
      </c>
      <c r="B20" s="630">
        <f>+_xlfn.XLOOKUP($B$13,'Rf Base de datos'!$A:$A,'Rf Base de datos'!H:H)</f>
        <v>4.2700000000000002E-2</v>
      </c>
      <c r="C20" s="101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</row>
    <row r="21" spans="1:16" ht="17.399999999999999">
      <c r="A21" s="85">
        <v>5</v>
      </c>
      <c r="B21" s="630">
        <f>+_xlfn.XLOOKUP($B$13,'Rf Base de datos'!$A:$A,'Rf Base de datos'!I:I)</f>
        <v>4.3799999999999999E-2</v>
      </c>
      <c r="C21" s="101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20"/>
    </row>
    <row r="22" spans="1:16" ht="17.399999999999999">
      <c r="A22" s="85">
        <v>7</v>
      </c>
      <c r="B22" s="630">
        <f>+_xlfn.XLOOKUP($B$13,'Rf Base de datos'!$A:$A,'Rf Base de datos'!J:J)</f>
        <v>4.48E-2</v>
      </c>
      <c r="C22" s="101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20"/>
    </row>
    <row r="23" spans="1:16">
      <c r="A23" s="85">
        <v>10</v>
      </c>
      <c r="B23" s="630">
        <f>+_xlfn.XLOOKUP($B$13,'Rf Base de datos'!$A:$A,'Rf Base de datos'!K:K)</f>
        <v>4.58E-2</v>
      </c>
      <c r="C23" s="101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20"/>
    </row>
    <row r="24" spans="1:16">
      <c r="A24" s="85">
        <v>20</v>
      </c>
      <c r="B24" s="630">
        <f>+_xlfn.XLOOKUP($B$13,'Rf Base de datos'!$A:$A,'Rf Base de datos'!L:L)</f>
        <v>4.8599999999999997E-2</v>
      </c>
      <c r="C24" s="101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r="25" spans="1:16">
      <c r="A25" s="85">
        <v>30</v>
      </c>
      <c r="B25" s="630">
        <f>+_xlfn.XLOOKUP($B$13,'Rf Base de datos'!$A:$A,'Rf Base de datos'!M:M)</f>
        <v>4.7800000000000002E-2</v>
      </c>
      <c r="C25" s="101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</row>
    <row r="26" spans="1:16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3" t="s">
        <v>72</v>
      </c>
      <c r="B27" s="82">
        <f>B8</f>
        <v>2.8477432698483294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2:16">
      <c r="C33" s="22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2:16" ht="17.399999999999999">
      <c r="B34" s="92"/>
      <c r="C34" s="94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2:16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2:16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2:16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2:16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42" spans="2:16">
      <c r="I42" s="19"/>
    </row>
    <row r="43" spans="2:16">
      <c r="I43" s="19"/>
    </row>
    <row r="46" spans="2:16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2:16" ht="17.399999999999999"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50" spans="3:15" ht="15" thickBot="1"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3:15" ht="15" thickBot="1">
      <c r="C51" s="97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</row>
    <row r="52" spans="3:15">
      <c r="C52" s="97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B1A8-5C72-4F52-90B2-6E94C15766EB}">
  <sheetPr codeName="Hoja8">
    <tabColor theme="7" tint="0.79998168889431442"/>
  </sheetPr>
  <dimension ref="A1:O21"/>
  <sheetViews>
    <sheetView workbookViewId="0">
      <selection activeCell="A2" sqref="A2:A3"/>
    </sheetView>
  </sheetViews>
  <sheetFormatPr baseColWidth="10" defaultRowHeight="14.4"/>
  <sheetData>
    <row r="1" spans="1:15">
      <c r="B1" s="85">
        <f>1/12</f>
        <v>8.3333333333333329E-2</v>
      </c>
      <c r="C1" s="85">
        <f>2/12</f>
        <v>0.16666666666666666</v>
      </c>
      <c r="D1" s="85">
        <v>0.25</v>
      </c>
      <c r="E1" s="85">
        <v>0.5</v>
      </c>
      <c r="F1" s="85">
        <v>1</v>
      </c>
      <c r="G1" s="85">
        <v>2</v>
      </c>
      <c r="H1" s="85">
        <v>3</v>
      </c>
      <c r="I1" s="85">
        <v>5</v>
      </c>
      <c r="J1" s="85">
        <v>7</v>
      </c>
      <c r="K1" s="85">
        <v>10</v>
      </c>
      <c r="L1" s="85">
        <v>20</v>
      </c>
      <c r="M1" s="85">
        <v>30</v>
      </c>
    </row>
    <row r="2" spans="1:15">
      <c r="A2" s="780">
        <v>45838</v>
      </c>
      <c r="B2" s="781">
        <v>4.2800000000000005E-2</v>
      </c>
      <c r="C2" s="781">
        <v>4.4500000000000005E-2</v>
      </c>
      <c r="D2" s="781">
        <v>4.41E-2</v>
      </c>
      <c r="E2" s="781">
        <v>4.2900000000000001E-2</v>
      </c>
      <c r="F2" s="781">
        <v>3.9599999999999996E-2</v>
      </c>
      <c r="G2" s="781">
        <v>3.7200000000000004E-2</v>
      </c>
      <c r="H2" s="781">
        <v>3.6799999999999999E-2</v>
      </c>
      <c r="I2" s="781">
        <v>3.7900000000000003E-2</v>
      </c>
      <c r="J2" s="781">
        <v>3.9800000000000002E-2</v>
      </c>
      <c r="K2" s="781">
        <v>4.24E-2</v>
      </c>
      <c r="L2" s="781">
        <v>4.7899999999999998E-2</v>
      </c>
      <c r="M2" s="781">
        <v>4.7800000000000002E-2</v>
      </c>
    </row>
    <row r="3" spans="1:15">
      <c r="A3" s="780">
        <v>45747</v>
      </c>
      <c r="B3" s="781">
        <v>4.3799999999999999E-2</v>
      </c>
      <c r="C3" s="781">
        <v>4.3499999999999997E-2</v>
      </c>
      <c r="D3" s="781">
        <v>4.3200000000000002E-2</v>
      </c>
      <c r="E3" s="781">
        <v>4.2300000000000004E-2</v>
      </c>
      <c r="F3" s="781">
        <v>4.0300000000000002E-2</v>
      </c>
      <c r="G3" s="781">
        <v>3.8900000000000004E-2</v>
      </c>
      <c r="H3" s="781">
        <v>3.8900000000000004E-2</v>
      </c>
      <c r="I3" s="781">
        <v>3.9599999999999996E-2</v>
      </c>
      <c r="J3" s="781">
        <v>4.0899999999999999E-2</v>
      </c>
      <c r="K3" s="781">
        <v>4.2300000000000004E-2</v>
      </c>
      <c r="L3" s="781">
        <v>4.6199999999999998E-2</v>
      </c>
      <c r="M3" s="781">
        <v>4.5899999999999996E-2</v>
      </c>
    </row>
    <row r="4" spans="1:15">
      <c r="A4" s="102">
        <v>45657</v>
      </c>
      <c r="B4" s="655">
        <v>4.3999999999999997E-2</v>
      </c>
      <c r="C4" s="655">
        <v>4.3900000000000002E-2</v>
      </c>
      <c r="D4" s="655">
        <v>4.3700000000000003E-2</v>
      </c>
      <c r="E4" s="655">
        <v>4.24E-2</v>
      </c>
      <c r="F4" s="655">
        <v>4.1599999999999998E-2</v>
      </c>
      <c r="G4" s="655">
        <v>4.2500000000000003E-2</v>
      </c>
      <c r="H4" s="655">
        <v>4.2700000000000002E-2</v>
      </c>
      <c r="I4" s="655">
        <v>4.3799999999999999E-2</v>
      </c>
      <c r="J4" s="655">
        <v>4.48E-2</v>
      </c>
      <c r="K4" s="655">
        <v>4.58E-2</v>
      </c>
      <c r="L4" s="655">
        <v>4.8599999999999997E-2</v>
      </c>
      <c r="M4" s="655">
        <v>4.7800000000000002E-2</v>
      </c>
    </row>
    <row r="5" spans="1:15">
      <c r="A5" s="102">
        <v>45565</v>
      </c>
      <c r="B5" s="655">
        <v>4.9299999999999997E-2</v>
      </c>
      <c r="C5" s="655">
        <v>4.87E-2</v>
      </c>
      <c r="D5" s="655">
        <v>4.7300000000000002E-2</v>
      </c>
      <c r="E5" s="655">
        <v>4.3799999999999999E-2</v>
      </c>
      <c r="F5" s="655">
        <v>3.9800000000000002E-2</v>
      </c>
      <c r="G5" s="655">
        <v>3.6600000000000001E-2</v>
      </c>
      <c r="H5" s="655">
        <v>3.5799999999999998E-2</v>
      </c>
      <c r="I5" s="655">
        <v>3.5799999999999998E-2</v>
      </c>
      <c r="J5" s="655">
        <v>3.6700000000000003E-2</v>
      </c>
      <c r="K5" s="655">
        <v>3.8100000000000002E-2</v>
      </c>
      <c r="L5" s="655">
        <v>4.19E-2</v>
      </c>
      <c r="M5" s="655">
        <v>4.1399999999999999E-2</v>
      </c>
      <c r="N5" s="22"/>
    </row>
    <row r="6" spans="1:15">
      <c r="A6" s="102">
        <v>45473</v>
      </c>
      <c r="B6" s="655">
        <v>5.4699999999999999E-2</v>
      </c>
      <c r="C6" s="655">
        <v>5.4699999999999999E-2</v>
      </c>
      <c r="D6" s="655">
        <v>5.4800000000000001E-2</v>
      </c>
      <c r="E6" s="655">
        <v>5.33E-2</v>
      </c>
      <c r="F6" s="655">
        <v>5.0900000000000001E-2</v>
      </c>
      <c r="G6" s="655">
        <v>4.7100000000000003E-2</v>
      </c>
      <c r="H6" s="655">
        <v>4.5199999999999997E-2</v>
      </c>
      <c r="I6" s="655">
        <v>4.3299999999999998E-2</v>
      </c>
      <c r="J6" s="655">
        <v>4.3299999999999998E-2</v>
      </c>
      <c r="K6" s="655">
        <v>4.36E-2</v>
      </c>
      <c r="L6" s="655">
        <v>4.6100000000000002E-2</v>
      </c>
      <c r="M6" s="655">
        <v>4.5100000000000001E-2</v>
      </c>
      <c r="N6" s="22"/>
      <c r="O6" s="101"/>
    </row>
    <row r="7" spans="1:15">
      <c r="A7" s="102">
        <v>45382</v>
      </c>
      <c r="B7" s="612">
        <v>5.4900000000000004E-2</v>
      </c>
      <c r="C7" s="612">
        <v>5.4800000000000001E-2</v>
      </c>
      <c r="D7" s="612">
        <v>5.4600000000000003E-2</v>
      </c>
      <c r="E7" s="612">
        <v>5.3800000000000001E-2</v>
      </c>
      <c r="F7" s="612">
        <v>5.0300000000000004E-2</v>
      </c>
      <c r="G7" s="612">
        <v>4.5899999999999996E-2</v>
      </c>
      <c r="H7" s="612">
        <v>4.4000000000000004E-2</v>
      </c>
      <c r="I7" s="612">
        <v>4.2099999999999999E-2</v>
      </c>
      <c r="J7" s="612">
        <v>4.2000000000000003E-2</v>
      </c>
      <c r="K7" s="612">
        <v>4.2000000000000003E-2</v>
      </c>
      <c r="L7" s="612">
        <v>4.4500000000000005E-2</v>
      </c>
      <c r="M7" s="613">
        <v>4.3400000000000001E-2</v>
      </c>
      <c r="N7" s="22"/>
      <c r="O7" s="101"/>
    </row>
    <row r="8" spans="1:15">
      <c r="A8" s="102">
        <v>45291</v>
      </c>
      <c r="B8" s="612">
        <v>5.5999999999999994E-2</v>
      </c>
      <c r="C8" s="612">
        <v>5.5899999999999998E-2</v>
      </c>
      <c r="D8" s="612">
        <v>5.4000000000000006E-2</v>
      </c>
      <c r="E8" s="612">
        <v>5.4000000000000006E-2</v>
      </c>
      <c r="F8" s="612">
        <v>5.2600000000000001E-2</v>
      </c>
      <c r="G8" s="612">
        <v>4.7899999999999998E-2</v>
      </c>
      <c r="H8" s="612">
        <v>4.2300000000000004E-2</v>
      </c>
      <c r="I8" s="612">
        <v>4.0099999999999997E-2</v>
      </c>
      <c r="J8" s="612">
        <v>3.8399999999999997E-2</v>
      </c>
      <c r="K8" s="612">
        <v>3.8800000000000001E-2</v>
      </c>
      <c r="L8" s="612">
        <v>3.8800000000000001E-2</v>
      </c>
      <c r="M8" s="613">
        <v>4.2000000000000003E-2</v>
      </c>
      <c r="N8" s="22"/>
      <c r="O8" s="101"/>
    </row>
    <row r="9" spans="1:15">
      <c r="A9" s="102">
        <v>45199</v>
      </c>
      <c r="B9" s="614">
        <v>5.5500000000000001E-2</v>
      </c>
      <c r="C9" s="614">
        <v>5.5999999999999994E-2</v>
      </c>
      <c r="D9" s="614">
        <v>5.5500000000000001E-2</v>
      </c>
      <c r="E9" s="614">
        <v>5.5300000000000002E-2</v>
      </c>
      <c r="F9" s="614">
        <v>5.4600000000000003E-2</v>
      </c>
      <c r="G9" s="614">
        <v>5.0300000000000004E-2</v>
      </c>
      <c r="H9" s="614">
        <v>4.8000000000000001E-2</v>
      </c>
      <c r="I9" s="614">
        <v>4.5999999999999999E-2</v>
      </c>
      <c r="J9" s="614">
        <v>4.6100000000000002E-2</v>
      </c>
      <c r="K9" s="614">
        <v>4.5899999999999996E-2</v>
      </c>
      <c r="L9" s="614">
        <v>4.9200000000000001E-2</v>
      </c>
      <c r="M9" s="615">
        <v>4.7300000000000002E-2</v>
      </c>
      <c r="N9" s="22"/>
      <c r="O9" s="101"/>
    </row>
    <row r="10" spans="1:15">
      <c r="A10" s="102">
        <v>45107</v>
      </c>
      <c r="B10" s="614">
        <v>5.2400000000000002E-2</v>
      </c>
      <c r="C10" s="614">
        <v>5.3899999999999997E-2</v>
      </c>
      <c r="D10" s="614">
        <v>5.4299999999999994E-2</v>
      </c>
      <c r="E10" s="614">
        <v>5.4699999999999999E-2</v>
      </c>
      <c r="F10" s="614">
        <v>5.4000000000000006E-2</v>
      </c>
      <c r="G10" s="614">
        <v>4.87E-2</v>
      </c>
      <c r="H10" s="614">
        <v>4.4900000000000002E-2</v>
      </c>
      <c r="I10" s="614">
        <v>4.1299999999999996E-2</v>
      </c>
      <c r="J10" s="614">
        <v>3.9699999999999999E-2</v>
      </c>
      <c r="K10" s="614">
        <v>3.8100000000000002E-2</v>
      </c>
      <c r="L10" s="614">
        <v>4.0599999999999997E-2</v>
      </c>
      <c r="M10" s="615">
        <v>3.85E-2</v>
      </c>
      <c r="N10" s="22"/>
      <c r="O10" s="101"/>
    </row>
    <row r="11" spans="1:15">
      <c r="A11" s="102">
        <v>45016</v>
      </c>
      <c r="B11" s="614">
        <v>4.7400000000000005E-2</v>
      </c>
      <c r="C11" s="614">
        <v>4.7899999999999998E-2</v>
      </c>
      <c r="D11" s="614">
        <v>4.8499999999999995E-2</v>
      </c>
      <c r="E11" s="614">
        <v>4.9400000000000006E-2</v>
      </c>
      <c r="F11" s="614">
        <v>4.9400000000000006E-2</v>
      </c>
      <c r="G11" s="614">
        <v>4.6399999999999997E-2</v>
      </c>
      <c r="H11" s="614">
        <v>4.0599999999999997E-2</v>
      </c>
      <c r="I11" s="614">
        <v>3.8100000000000002E-2</v>
      </c>
      <c r="J11" s="614">
        <v>3.6000000000000004E-2</v>
      </c>
      <c r="K11" s="614">
        <v>3.5499999999999997E-2</v>
      </c>
      <c r="L11" s="614">
        <v>3.4799999999999998E-2</v>
      </c>
      <c r="M11" s="615">
        <v>3.8100000000000002E-2</v>
      </c>
      <c r="N11" s="22"/>
      <c r="O11" s="101"/>
    </row>
    <row r="12" spans="1:15">
      <c r="A12" s="102">
        <v>44926</v>
      </c>
      <c r="B12" s="101">
        <v>1.7000000000000001E-3</v>
      </c>
      <c r="C12" s="101">
        <v>3.4999999999999996E-3</v>
      </c>
      <c r="D12" s="101">
        <v>5.1999999999999998E-3</v>
      </c>
      <c r="E12" s="101">
        <v>1.06E-2</v>
      </c>
      <c r="F12" s="101">
        <v>1.6299999999999999E-2</v>
      </c>
      <c r="G12" s="101">
        <v>2.2799999999999997E-2</v>
      </c>
      <c r="H12" s="101">
        <v>2.4500000000000001E-2</v>
      </c>
      <c r="I12" s="101">
        <v>2.4199999999999999E-2</v>
      </c>
      <c r="J12" s="101">
        <v>2.4E-2</v>
      </c>
      <c r="K12" s="101">
        <v>2.3199999999999998E-2</v>
      </c>
      <c r="L12" s="101">
        <v>2.5899999999999999E-2</v>
      </c>
      <c r="M12" s="101">
        <v>2.4399999999999998E-2</v>
      </c>
      <c r="N12" s="22"/>
      <c r="O12" s="101"/>
    </row>
    <row r="13" spans="1:15">
      <c r="A13" s="102">
        <v>44834</v>
      </c>
      <c r="B13" s="101">
        <v>2.7900000000000001E-2</v>
      </c>
      <c r="C13" s="101">
        <v>3.2000000000000001E-2</v>
      </c>
      <c r="D13" s="101">
        <v>3.3300000000000003E-2</v>
      </c>
      <c r="E13" s="101">
        <v>3.9199999999999999E-2</v>
      </c>
      <c r="F13" s="101">
        <v>4.0500000000000001E-2</v>
      </c>
      <c r="G13" s="101">
        <v>4.2199999999999994E-2</v>
      </c>
      <c r="H13" s="101">
        <v>4.2500000000000003E-2</v>
      </c>
      <c r="I13" s="101">
        <v>4.0599999999999997E-2</v>
      </c>
      <c r="J13" s="101">
        <v>3.9699999999999999E-2</v>
      </c>
      <c r="K13" s="101">
        <v>3.8300000000000001E-2</v>
      </c>
      <c r="L13" s="101">
        <v>4.0800000000000003E-2</v>
      </c>
      <c r="M13" s="101">
        <v>3.7900000000000003E-2</v>
      </c>
    </row>
    <row r="14" spans="1:15">
      <c r="A14" s="102">
        <v>44742</v>
      </c>
      <c r="B14" s="101">
        <v>1.2800000000000001E-2</v>
      </c>
      <c r="C14" s="101">
        <v>1.6799999999999999E-2</v>
      </c>
      <c r="D14" s="101">
        <v>1.72E-2</v>
      </c>
      <c r="E14" s="101">
        <v>2.5099999999999997E-2</v>
      </c>
      <c r="F14" s="101">
        <v>2.7999999999999997E-2</v>
      </c>
      <c r="G14" s="101">
        <v>2.92E-2</v>
      </c>
      <c r="H14" s="101">
        <v>2.9900000000000003E-2</v>
      </c>
      <c r="I14" s="101">
        <v>3.0099999999999998E-2</v>
      </c>
      <c r="J14" s="101">
        <v>3.04E-2</v>
      </c>
      <c r="K14" s="101">
        <v>2.98E-2</v>
      </c>
      <c r="L14" s="101">
        <v>3.3799999999999997E-2</v>
      </c>
      <c r="M14" s="101">
        <v>3.1400000000000004E-2</v>
      </c>
    </row>
    <row r="15" spans="1:15">
      <c r="A15" s="102">
        <v>44651</v>
      </c>
      <c r="B15" s="101">
        <v>1.7000000000000001E-3</v>
      </c>
      <c r="C15" s="101">
        <v>3.4999999999999996E-3</v>
      </c>
      <c r="D15" s="101">
        <v>5.1999999999999998E-3</v>
      </c>
      <c r="E15" s="101">
        <v>1.06E-2</v>
      </c>
      <c r="F15" s="101">
        <v>1.6299999999999999E-2</v>
      </c>
      <c r="G15" s="101">
        <v>2.2799999999999997E-2</v>
      </c>
      <c r="H15" s="101">
        <v>2.4500000000000001E-2</v>
      </c>
      <c r="I15" s="101">
        <v>2.4199999999999999E-2</v>
      </c>
      <c r="J15" s="101">
        <v>2.4E-2</v>
      </c>
      <c r="K15" s="101">
        <v>2.3199999999999998E-2</v>
      </c>
      <c r="L15" s="101">
        <v>2.5899999999999999E-2</v>
      </c>
      <c r="M15" s="101">
        <v>2.4399999999999998E-2</v>
      </c>
    </row>
    <row r="16" spans="1:15">
      <c r="A16" s="102">
        <v>44561</v>
      </c>
      <c r="B16" s="101">
        <v>5.9999999999999995E-4</v>
      </c>
      <c r="C16" s="101">
        <v>5.0000000000000001E-4</v>
      </c>
      <c r="D16" s="101">
        <v>5.9999999999999995E-4</v>
      </c>
      <c r="E16" s="101">
        <v>1.9E-3</v>
      </c>
      <c r="F16" s="101">
        <v>3.9000000000000003E-3</v>
      </c>
      <c r="G16" s="101">
        <v>7.3000000000000001E-3</v>
      </c>
      <c r="H16" s="101">
        <v>9.7000000000000003E-3</v>
      </c>
      <c r="I16" s="101">
        <v>1.26E-2</v>
      </c>
      <c r="J16" s="101">
        <v>1.44E-2</v>
      </c>
      <c r="K16" s="101">
        <v>1.52E-2</v>
      </c>
      <c r="L16" s="101">
        <v>1.9400000000000001E-2</v>
      </c>
      <c r="M16" s="101">
        <v>1.9E-2</v>
      </c>
    </row>
    <row r="17" spans="1:13">
      <c r="A17" s="102">
        <v>44469</v>
      </c>
      <c r="B17" s="101">
        <v>7.000000000000001E-4</v>
      </c>
      <c r="C17" s="101">
        <v>5.0000000000000001E-4</v>
      </c>
      <c r="D17" s="101">
        <v>4.0000000000000002E-4</v>
      </c>
      <c r="E17" s="101">
        <v>5.0000000000000001E-4</v>
      </c>
      <c r="F17" s="101">
        <v>8.9999999999999998E-4</v>
      </c>
      <c r="G17" s="101">
        <v>2.8000000000000004E-3</v>
      </c>
      <c r="H17" s="101">
        <v>5.3E-3</v>
      </c>
      <c r="I17" s="101">
        <v>9.7999999999999997E-3</v>
      </c>
      <c r="J17" s="101">
        <v>1.32E-2</v>
      </c>
      <c r="K17" s="101">
        <v>1.52E-2</v>
      </c>
      <c r="L17" s="101">
        <v>2.0199999999999999E-2</v>
      </c>
      <c r="M17" s="101">
        <v>2.0799999999999999E-2</v>
      </c>
    </row>
    <row r="18" spans="1:13">
      <c r="A18" s="102">
        <v>44377</v>
      </c>
      <c r="B18" s="101">
        <v>5.0000000000000001E-4</v>
      </c>
      <c r="C18" s="101">
        <v>5.0000000000000001E-4</v>
      </c>
      <c r="D18" s="101">
        <v>5.0000000000000001E-4</v>
      </c>
      <c r="E18" s="101">
        <v>5.9999999999999995E-4</v>
      </c>
      <c r="F18" s="101">
        <v>7.000000000000001E-4</v>
      </c>
      <c r="G18" s="101">
        <v>2.5000000000000001E-3</v>
      </c>
      <c r="H18" s="101">
        <v>4.5999999999999999E-3</v>
      </c>
      <c r="I18" s="101">
        <v>8.6999999999999994E-3</v>
      </c>
      <c r="J18" s="101">
        <v>1.21E-2</v>
      </c>
      <c r="K18" s="101">
        <v>1.4499999999999999E-2</v>
      </c>
      <c r="L18" s="101">
        <v>0.02</v>
      </c>
      <c r="M18" s="101">
        <v>2.06E-2</v>
      </c>
    </row>
    <row r="19" spans="1:13">
      <c r="A19" s="102">
        <v>44286</v>
      </c>
      <c r="B19" s="101">
        <v>1E-4</v>
      </c>
      <c r="C19" s="101">
        <v>1E-4</v>
      </c>
      <c r="D19" s="101">
        <v>2.9999999999999997E-4</v>
      </c>
      <c r="E19" s="101">
        <v>5.0000000000000001E-4</v>
      </c>
      <c r="F19" s="101">
        <v>7.000000000000001E-4</v>
      </c>
      <c r="G19" s="101">
        <v>1.6000000000000001E-3</v>
      </c>
      <c r="H19" s="101">
        <v>3.4999999999999996E-3</v>
      </c>
      <c r="I19" s="101">
        <v>9.1999999999999998E-3</v>
      </c>
      <c r="J19" s="101">
        <v>1.3999999999999999E-2</v>
      </c>
      <c r="K19" s="101">
        <v>1.7399999999999999E-2</v>
      </c>
      <c r="L19" s="101">
        <v>2.3099999999999999E-2</v>
      </c>
      <c r="M19" s="101">
        <v>2.41E-2</v>
      </c>
    </row>
    <row r="21" spans="1:13">
      <c r="A21" s="102"/>
      <c r="B21" s="102"/>
      <c r="C21" s="102"/>
      <c r="D21" s="102"/>
      <c r="E21" s="102"/>
      <c r="F21" s="102"/>
      <c r="G21" s="102"/>
      <c r="H21" s="10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4">
    <tabColor theme="7" tint="0.79998168889431442"/>
  </sheetPr>
  <dimension ref="A1:M19"/>
  <sheetViews>
    <sheetView zoomScale="72" zoomScaleNormal="72" workbookViewId="0">
      <pane xSplit="1" topLeftCell="B1" activePane="topRight" state="frozen"/>
      <selection pane="topRight" activeCell="N13" sqref="N13"/>
    </sheetView>
  </sheetViews>
  <sheetFormatPr baseColWidth="10" defaultColWidth="11.44140625" defaultRowHeight="14.4"/>
  <cols>
    <col min="1" max="1" width="30.109375" customWidth="1"/>
    <col min="2" max="8" width="11.44140625" customWidth="1"/>
    <col min="9" max="9" width="15" bestFit="1" customWidth="1"/>
    <col min="10" max="11" width="11.44140625" customWidth="1"/>
    <col min="12" max="12" width="13.33203125" bestFit="1" customWidth="1"/>
    <col min="13" max="25" width="11.44140625" customWidth="1"/>
  </cols>
  <sheetData>
    <row r="1" spans="1:13">
      <c r="A1" t="s">
        <v>86</v>
      </c>
      <c r="B1" s="37" t="s">
        <v>87</v>
      </c>
      <c r="C1" s="37" t="s">
        <v>88</v>
      </c>
      <c r="D1" s="37" t="s">
        <v>89</v>
      </c>
      <c r="E1" s="37" t="s">
        <v>90</v>
      </c>
      <c r="F1" s="37" t="s">
        <v>91</v>
      </c>
      <c r="G1" s="37" t="s">
        <v>92</v>
      </c>
      <c r="H1" s="37" t="s">
        <v>10</v>
      </c>
      <c r="I1" s="37" t="s">
        <v>257</v>
      </c>
      <c r="M1" t="s">
        <v>86</v>
      </c>
    </row>
    <row r="2" spans="1:13" ht="15" thickBot="1">
      <c r="A2" s="780">
        <v>45838</v>
      </c>
      <c r="B2" s="687"/>
      <c r="C2" s="687"/>
      <c r="D2" s="687"/>
      <c r="E2" s="687"/>
      <c r="F2" s="687"/>
      <c r="G2" s="687"/>
      <c r="H2" s="657">
        <v>163.32846902201734</v>
      </c>
      <c r="I2" s="687"/>
      <c r="M2" s="102">
        <f>+WACC!$F$3</f>
        <v>45657</v>
      </c>
    </row>
    <row r="3" spans="1:13" ht="15" thickBot="1">
      <c r="A3" s="780">
        <v>45747</v>
      </c>
      <c r="B3" s="657"/>
      <c r="C3" s="657"/>
      <c r="D3" s="657"/>
      <c r="E3" s="657"/>
      <c r="F3" s="657"/>
      <c r="G3" s="657"/>
      <c r="H3" s="657">
        <v>159.45558115719402</v>
      </c>
      <c r="I3" s="687"/>
      <c r="L3" s="37" t="s">
        <v>87</v>
      </c>
      <c r="M3" s="105">
        <f>+_xlfn.XLOOKUP($M$2,$A:$A,B:B)</f>
        <v>693.38095238095195</v>
      </c>
    </row>
    <row r="4" spans="1:13" ht="15" thickBot="1">
      <c r="A4" s="102">
        <v>45657</v>
      </c>
      <c r="B4" s="657">
        <v>693.38095238095195</v>
      </c>
      <c r="C4" s="657">
        <v>232.04761904761901</v>
      </c>
      <c r="D4" s="657">
        <v>118.142857142857</v>
      </c>
      <c r="E4" s="657">
        <v>322.90476190476198</v>
      </c>
      <c r="F4" s="657">
        <v>1204.2380952381</v>
      </c>
      <c r="G4" s="657">
        <v>313.142857142857</v>
      </c>
      <c r="H4" s="657">
        <v>154.38095238095201</v>
      </c>
      <c r="I4" s="687"/>
      <c r="L4" s="37" t="s">
        <v>88</v>
      </c>
      <c r="M4" s="105">
        <f>+_xlfn.XLOOKUP($M$2,$A:$A,C:C)</f>
        <v>232.04761904761901</v>
      </c>
    </row>
    <row r="5" spans="1:13" ht="15" thickBot="1">
      <c r="A5" s="102">
        <v>45565</v>
      </c>
      <c r="B5" s="686">
        <v>1372.10526315789</v>
      </c>
      <c r="C5" s="657">
        <v>219.842105263158</v>
      </c>
      <c r="D5" s="657">
        <v>127.31578947368401</v>
      </c>
      <c r="E5" s="657">
        <v>322.947368421053</v>
      </c>
      <c r="F5" s="657">
        <v>1207.84210526316</v>
      </c>
      <c r="G5" s="657">
        <v>329.57894736842098</v>
      </c>
      <c r="H5" s="657">
        <v>162.57894736842101</v>
      </c>
      <c r="L5" s="37" t="s">
        <v>89</v>
      </c>
      <c r="M5" s="105">
        <f>+_xlfn.XLOOKUP($M$2,$A:$A,D:D)</f>
        <v>118.142857142857</v>
      </c>
    </row>
    <row r="6" spans="1:13" ht="15" thickBot="1">
      <c r="A6" s="102">
        <v>45473</v>
      </c>
      <c r="B6" s="686">
        <v>1452.15</v>
      </c>
      <c r="C6" s="686">
        <v>217</v>
      </c>
      <c r="D6" s="686">
        <v>125.15</v>
      </c>
      <c r="E6" s="686">
        <v>313.05</v>
      </c>
      <c r="F6" s="686">
        <v>1368.65</v>
      </c>
      <c r="G6" s="686">
        <v>315.75</v>
      </c>
      <c r="H6" s="686">
        <v>160.9</v>
      </c>
      <c r="I6" s="686"/>
      <c r="L6" s="37" t="s">
        <v>90</v>
      </c>
      <c r="M6" s="105">
        <f>+_xlfn.XLOOKUP($M$2,$A:$A,E:E)</f>
        <v>322.90476190476198</v>
      </c>
    </row>
    <row r="7" spans="1:13" ht="15" thickBot="1">
      <c r="A7" s="102">
        <v>45382</v>
      </c>
      <c r="B7" s="686">
        <v>1552.1428571428601</v>
      </c>
      <c r="C7" s="686">
        <v>202.85714285713999</v>
      </c>
      <c r="D7" s="686">
        <v>130.42857142857</v>
      </c>
      <c r="E7" s="686">
        <v>295.57142857142998</v>
      </c>
      <c r="F7" s="686">
        <v>1257.2857142857099</v>
      </c>
      <c r="G7" s="686">
        <v>324.14285714286001</v>
      </c>
      <c r="H7" s="686">
        <v>152.666666666667</v>
      </c>
      <c r="I7" s="686"/>
      <c r="L7" s="37" t="s">
        <v>91</v>
      </c>
      <c r="M7" s="105">
        <f>+_xlfn.XLOOKUP($M$2,$A:$A,F:F)</f>
        <v>1204.2380952381</v>
      </c>
    </row>
    <row r="8" spans="1:13" ht="15" thickBot="1">
      <c r="A8" s="102">
        <v>45291</v>
      </c>
      <c r="B8" s="686">
        <v>1887.4761904761899</v>
      </c>
      <c r="C8" s="686">
        <v>199.90476190475999</v>
      </c>
      <c r="D8" s="686">
        <v>134.52380952381</v>
      </c>
      <c r="E8" s="686">
        <v>290.57142857142998</v>
      </c>
      <c r="F8" s="686">
        <v>2069.3333333333298</v>
      </c>
      <c r="G8" s="686">
        <v>351.52380952380997</v>
      </c>
      <c r="H8" s="686">
        <v>162.42857142857099</v>
      </c>
      <c r="I8" s="686"/>
      <c r="L8" s="37" t="s">
        <v>92</v>
      </c>
      <c r="M8" s="105">
        <f>+_xlfn.XLOOKUP($M$2,$A:$A,G:G)</f>
        <v>313.142857142857</v>
      </c>
    </row>
    <row r="9" spans="1:13" ht="15" thickBot="1">
      <c r="A9" s="102">
        <v>45199</v>
      </c>
      <c r="B9" s="686">
        <v>2239.8095238095202</v>
      </c>
      <c r="C9" s="686">
        <v>209.71428571429001</v>
      </c>
      <c r="D9" s="686">
        <v>131.80952380951999</v>
      </c>
      <c r="E9" s="686">
        <v>328.95238095238</v>
      </c>
      <c r="F9" s="686">
        <v>1780.19047619048</v>
      </c>
      <c r="G9" s="686">
        <v>367.90476190475999</v>
      </c>
      <c r="H9" s="686">
        <v>169.09523809523799</v>
      </c>
      <c r="I9" s="686"/>
      <c r="L9" s="37" t="s">
        <v>10</v>
      </c>
      <c r="M9" s="105">
        <f>+_xlfn.XLOOKUP($M$2,$A:$A,H:H)</f>
        <v>154.38095238095201</v>
      </c>
    </row>
    <row r="10" spans="1:13">
      <c r="A10" s="102">
        <v>45107</v>
      </c>
      <c r="B10" s="686">
        <v>2301.8636363636401</v>
      </c>
      <c r="C10" s="686">
        <v>233.31818181817999</v>
      </c>
      <c r="D10" s="686">
        <v>135.68181818182001</v>
      </c>
      <c r="E10" s="686">
        <v>366.59090909090997</v>
      </c>
      <c r="F10" s="686">
        <v>1875.0909090909099</v>
      </c>
      <c r="G10" s="686">
        <v>386.86363636364001</v>
      </c>
      <c r="H10" s="686">
        <v>181.09090909090901</v>
      </c>
      <c r="I10" s="686"/>
      <c r="L10" s="37" t="s">
        <v>257</v>
      </c>
      <c r="M10" s="105">
        <f>+_xlfn.XLOOKUP($M$2,$A:$A,I:I)</f>
        <v>0</v>
      </c>
    </row>
    <row r="11" spans="1:13">
      <c r="A11" s="102">
        <v>45016</v>
      </c>
      <c r="B11" s="686">
        <v>2294.7391304347798</v>
      </c>
      <c r="C11" s="686">
        <v>258.34782608696003</v>
      </c>
      <c r="D11" s="686">
        <v>152</v>
      </c>
      <c r="E11" s="686">
        <v>411.60869565217001</v>
      </c>
      <c r="F11" s="686">
        <v>1807.69565217391</v>
      </c>
      <c r="G11" s="686">
        <v>400.69565217390999</v>
      </c>
      <c r="H11" s="686">
        <v>203.826086956522</v>
      </c>
      <c r="I11" s="686">
        <v>0</v>
      </c>
    </row>
    <row r="12" spans="1:13">
      <c r="A12" s="102">
        <v>44926</v>
      </c>
      <c r="B12" s="686">
        <v>1819</v>
      </c>
      <c r="C12" s="686">
        <v>303</v>
      </c>
      <c r="D12" s="686">
        <v>179</v>
      </c>
      <c r="E12" s="686">
        <v>364</v>
      </c>
      <c r="F12" s="686">
        <v>793</v>
      </c>
      <c r="G12" s="686">
        <v>373</v>
      </c>
      <c r="H12" s="686">
        <v>201</v>
      </c>
      <c r="I12" s="686">
        <v>0</v>
      </c>
    </row>
    <row r="13" spans="1:13">
      <c r="A13" s="102">
        <v>44834</v>
      </c>
      <c r="B13" s="686">
        <v>2449</v>
      </c>
      <c r="C13" s="686">
        <v>287</v>
      </c>
      <c r="D13" s="686">
        <v>194</v>
      </c>
      <c r="E13" s="686">
        <v>424</v>
      </c>
      <c r="F13" s="686">
        <v>1549</v>
      </c>
      <c r="G13" s="686">
        <v>444</v>
      </c>
      <c r="H13" s="686">
        <v>225</v>
      </c>
      <c r="I13" s="686">
        <v>0</v>
      </c>
    </row>
    <row r="14" spans="1:13">
      <c r="A14" s="102">
        <v>44742</v>
      </c>
      <c r="B14" s="686">
        <v>2153</v>
      </c>
      <c r="C14" s="686">
        <v>323</v>
      </c>
      <c r="D14" s="686">
        <v>179</v>
      </c>
      <c r="E14" s="686">
        <v>389</v>
      </c>
      <c r="F14" s="686">
        <v>970</v>
      </c>
      <c r="G14" s="686">
        <v>428</v>
      </c>
      <c r="H14" s="686">
        <v>214</v>
      </c>
      <c r="I14" s="686">
        <v>0</v>
      </c>
    </row>
    <row r="15" spans="1:13">
      <c r="A15" s="102">
        <v>44651</v>
      </c>
      <c r="B15" s="686">
        <v>1819</v>
      </c>
      <c r="C15" s="686">
        <v>303</v>
      </c>
      <c r="D15" s="686">
        <v>179</v>
      </c>
      <c r="E15" s="686">
        <v>364</v>
      </c>
      <c r="F15" s="686">
        <v>793</v>
      </c>
      <c r="G15" s="686">
        <v>373</v>
      </c>
      <c r="H15" s="686">
        <v>201</v>
      </c>
      <c r="I15" s="686">
        <v>0</v>
      </c>
    </row>
    <row r="16" spans="1:13">
      <c r="A16" s="102">
        <v>44561</v>
      </c>
      <c r="B16" s="686">
        <v>1730</v>
      </c>
      <c r="C16" s="686">
        <v>316</v>
      </c>
      <c r="D16" s="686">
        <v>155</v>
      </c>
      <c r="E16" s="686">
        <v>347</v>
      </c>
      <c r="F16" s="686">
        <v>867</v>
      </c>
      <c r="G16" s="686">
        <v>358</v>
      </c>
      <c r="H16" s="686">
        <v>174</v>
      </c>
      <c r="I16" s="686">
        <v>0</v>
      </c>
    </row>
    <row r="17" spans="1:9">
      <c r="A17" s="102">
        <v>44469</v>
      </c>
      <c r="B17" s="686">
        <v>1541.0909090908999</v>
      </c>
      <c r="C17" s="686">
        <v>292.04545454546002</v>
      </c>
      <c r="D17" s="686">
        <v>141.09090909091</v>
      </c>
      <c r="E17" s="686">
        <v>281.77272727272998</v>
      </c>
      <c r="F17" s="686">
        <v>798.5</v>
      </c>
      <c r="G17" s="686">
        <v>350.54545454546002</v>
      </c>
      <c r="H17" s="686">
        <v>174</v>
      </c>
      <c r="I17" s="686">
        <v>0</v>
      </c>
    </row>
    <row r="18" spans="1:9">
      <c r="A18" s="104">
        <v>44377</v>
      </c>
      <c r="B18" s="686">
        <v>1513.3181818181999</v>
      </c>
      <c r="C18" s="686">
        <v>247.45454545454999</v>
      </c>
      <c r="D18" s="686">
        <v>139.31818181817999</v>
      </c>
      <c r="E18" s="686">
        <v>243.54545454545001</v>
      </c>
      <c r="F18" s="686">
        <v>757.63636363635999</v>
      </c>
      <c r="G18" s="686">
        <v>337.63636363635999</v>
      </c>
      <c r="H18" s="686">
        <v>169.22727272726999</v>
      </c>
      <c r="I18" s="686">
        <v>0</v>
      </c>
    </row>
    <row r="19" spans="1:9">
      <c r="A19" s="102">
        <v>44286</v>
      </c>
      <c r="B19" s="686">
        <v>1565.9565217391</v>
      </c>
      <c r="C19" s="686">
        <v>281.39130434782999</v>
      </c>
      <c r="D19" s="686">
        <v>132.91304347825999</v>
      </c>
      <c r="E19" s="686">
        <v>223.30434782609001</v>
      </c>
      <c r="F19" s="686">
        <v>1260.8260869564999</v>
      </c>
      <c r="G19" s="686">
        <v>356.04347826087002</v>
      </c>
      <c r="H19" s="686">
        <v>165.08695652174001</v>
      </c>
    </row>
  </sheetData>
  <sheetProtection formatCells="0" formatColumns="0" formatRows="0" insertColumns="0" insertRows="0" insertHyperlinks="0" deleteColumns="0" deleteRows="0" sort="0" autoFilter="0" pivotTables="0"/>
  <phoneticPr fontId="12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6CE7-A322-4057-9DB8-29F8A5ABAA52}">
  <sheetPr codeName="Hoja11">
    <tabColor theme="7" tint="0.79998168889431442"/>
  </sheetPr>
  <dimension ref="A1:K95"/>
  <sheetViews>
    <sheetView topLeftCell="A36" zoomScale="55" zoomScaleNormal="55" workbookViewId="0">
      <selection activeCell="A82" sqref="A82"/>
    </sheetView>
  </sheetViews>
  <sheetFormatPr baseColWidth="10" defaultRowHeight="14.4"/>
  <cols>
    <col min="1" max="1" width="31.88671875" bestFit="1" customWidth="1"/>
  </cols>
  <sheetData>
    <row r="1" spans="1:11">
      <c r="B1" s="806">
        <v>2020</v>
      </c>
      <c r="C1" s="806"/>
      <c r="D1" s="806">
        <v>2021</v>
      </c>
      <c r="E1" s="806"/>
      <c r="F1" s="807">
        <v>2022</v>
      </c>
      <c r="G1" s="807"/>
      <c r="H1" s="807">
        <v>2023</v>
      </c>
      <c r="I1" s="807"/>
      <c r="J1" s="807">
        <v>2024</v>
      </c>
      <c r="K1" s="807"/>
    </row>
    <row r="2" spans="1:11">
      <c r="A2" s="24" t="s">
        <v>73</v>
      </c>
      <c r="B2" s="115" t="s">
        <v>79</v>
      </c>
      <c r="C2" s="115" t="s">
        <v>80</v>
      </c>
      <c r="D2" s="115" t="s">
        <v>79</v>
      </c>
      <c r="E2" s="551" t="s">
        <v>80</v>
      </c>
      <c r="F2" s="552" t="s">
        <v>79</v>
      </c>
      <c r="G2" s="552" t="s">
        <v>80</v>
      </c>
      <c r="H2" s="552" t="s">
        <v>79</v>
      </c>
      <c r="I2" s="552" t="s">
        <v>80</v>
      </c>
      <c r="J2" s="552" t="s">
        <v>79</v>
      </c>
      <c r="K2" s="552" t="s">
        <v>80</v>
      </c>
    </row>
    <row r="3" spans="1:11">
      <c r="A3" s="86" t="s">
        <v>955</v>
      </c>
      <c r="B3" s="80">
        <v>2.2621378224857724E-2</v>
      </c>
      <c r="C3" s="114">
        <v>0.14337126910197245</v>
      </c>
      <c r="D3" s="80">
        <v>8.0486733418664053E-2</v>
      </c>
      <c r="E3" s="553">
        <v>0.97434886495222917</v>
      </c>
      <c r="F3" s="554">
        <v>0.10700249496970651</v>
      </c>
      <c r="G3" s="555">
        <v>1.1481901510051602</v>
      </c>
      <c r="H3" s="554">
        <v>9.5962814237446653E-2</v>
      </c>
      <c r="I3" s="555">
        <v>1.2200667064535347</v>
      </c>
      <c r="J3" s="625">
        <v>0.113260288626936</v>
      </c>
      <c r="K3" s="626">
        <v>1.0950269701150073</v>
      </c>
    </row>
    <row r="4" spans="1:11">
      <c r="A4" s="89" t="s">
        <v>956</v>
      </c>
      <c r="B4" s="80">
        <v>3.8483583394867085E-2</v>
      </c>
      <c r="C4" s="114">
        <v>0.37973911919901399</v>
      </c>
      <c r="D4" s="80">
        <v>8.5856450412874971E-2</v>
      </c>
      <c r="E4" s="553">
        <v>1.0543647547952701</v>
      </c>
      <c r="F4" s="554">
        <v>0.10664484652808946</v>
      </c>
      <c r="G4" s="555">
        <v>1.1421691334695194</v>
      </c>
      <c r="H4" s="554">
        <v>9.3441788811718676E-2</v>
      </c>
      <c r="I4" s="555">
        <v>1.1829920337061723</v>
      </c>
      <c r="J4" s="625">
        <v>0.10025945794317756</v>
      </c>
      <c r="K4" s="626">
        <v>0.90383431567954942</v>
      </c>
    </row>
    <row r="5" spans="1:11">
      <c r="A5" s="86" t="s">
        <v>957</v>
      </c>
      <c r="B5" s="80">
        <v>4.0523105630036131E-2</v>
      </c>
      <c r="C5" s="114">
        <v>0.41013069973811106</v>
      </c>
      <c r="D5" s="80">
        <v>6.522271208980987E-2</v>
      </c>
      <c r="E5" s="553">
        <v>0.7468947457634203</v>
      </c>
      <c r="F5" s="554">
        <v>7.0322286034998654E-2</v>
      </c>
      <c r="G5" s="555">
        <v>0.53067821607741827</v>
      </c>
      <c r="H5" s="554">
        <v>5.3159881180073358E-2</v>
      </c>
      <c r="I5" s="555">
        <v>0.59059874491120445</v>
      </c>
      <c r="J5" s="625">
        <v>7.7671032170337828E-2</v>
      </c>
      <c r="K5" s="626">
        <v>0.57164468964105219</v>
      </c>
    </row>
    <row r="6" spans="1:11">
      <c r="A6" s="89" t="s">
        <v>958</v>
      </c>
      <c r="B6" s="80">
        <v>4.1490500857494533E-2</v>
      </c>
      <c r="C6" s="114">
        <v>0.42454616894038877</v>
      </c>
      <c r="D6" s="80">
        <v>8.1986196748087312E-2</v>
      </c>
      <c r="E6" s="553">
        <v>0.99669285304697663</v>
      </c>
      <c r="F6" s="554">
        <v>9.2931022669157634E-2</v>
      </c>
      <c r="G6" s="555">
        <v>0.91129667793194669</v>
      </c>
      <c r="H6" s="554">
        <v>7.7953873783790498E-2</v>
      </c>
      <c r="I6" s="555">
        <v>0.95522385043464364</v>
      </c>
      <c r="J6" s="625">
        <v>9.8283633421211367E-2</v>
      </c>
      <c r="K6" s="626">
        <v>0.87477746967929226</v>
      </c>
    </row>
    <row r="7" spans="1:11">
      <c r="A7" s="86" t="s">
        <v>959</v>
      </c>
      <c r="B7" s="80">
        <v>4.2238428946983701E-2</v>
      </c>
      <c r="C7" s="114">
        <v>0.43569128732998019</v>
      </c>
      <c r="D7" s="80">
        <v>8.1288896235193031E-2</v>
      </c>
      <c r="E7" s="553">
        <v>0.98630215255244447</v>
      </c>
      <c r="F7" s="554">
        <v>0.10034657629682237</v>
      </c>
      <c r="G7" s="555">
        <v>1.0361376480946527</v>
      </c>
      <c r="H7" s="554">
        <v>8.9108691878966528E-2</v>
      </c>
      <c r="I7" s="555">
        <v>1.119268697509356</v>
      </c>
      <c r="J7" s="625">
        <v>0.12278159860590844</v>
      </c>
      <c r="K7" s="626">
        <v>1.2350491404565325</v>
      </c>
    </row>
    <row r="8" spans="1:11">
      <c r="A8" s="89" t="s">
        <v>960</v>
      </c>
      <c r="B8" s="80">
        <v>4.5127388414039273E-2</v>
      </c>
      <c r="C8" s="114">
        <v>0.47874060682412578</v>
      </c>
      <c r="D8" s="80">
        <v>9.1301102107093399E-2</v>
      </c>
      <c r="E8" s="553">
        <v>1.1354972708418309</v>
      </c>
      <c r="F8" s="554">
        <v>0.10193014373461506</v>
      </c>
      <c r="G8" s="555">
        <v>1.062797032569277</v>
      </c>
      <c r="H8" s="554">
        <v>8.8936194986698025E-2</v>
      </c>
      <c r="I8" s="555">
        <v>1.1167319258586119</v>
      </c>
      <c r="J8" s="625">
        <v>0.10976125601036504</v>
      </c>
      <c r="K8" s="626">
        <v>1.0435695401867646</v>
      </c>
    </row>
    <row r="9" spans="1:11">
      <c r="A9" s="86" t="s">
        <v>961</v>
      </c>
      <c r="B9" s="80">
        <v>4.5244288979362175E-2</v>
      </c>
      <c r="C9" s="114">
        <v>0.48048257996117394</v>
      </c>
      <c r="D9" s="80">
        <v>6.2651900389772031E-2</v>
      </c>
      <c r="E9" s="553">
        <v>0.70858624905508361</v>
      </c>
      <c r="F9" s="554">
        <v>8.8627645456542795E-2</v>
      </c>
      <c r="G9" s="555">
        <v>0.83884925011014799</v>
      </c>
      <c r="H9" s="554">
        <v>7.1780923663335883E-2</v>
      </c>
      <c r="I9" s="555">
        <v>0.86444328818166272</v>
      </c>
      <c r="J9" s="625">
        <v>0.10383089979751502</v>
      </c>
      <c r="K9" s="626">
        <v>0.95635660943926404</v>
      </c>
    </row>
    <row r="10" spans="1:11">
      <c r="A10" s="89" t="s">
        <v>962</v>
      </c>
      <c r="B10" s="80">
        <v>4.5850473750224906E-2</v>
      </c>
      <c r="C10" s="114">
        <v>0.48951553531099473</v>
      </c>
      <c r="D10" s="80">
        <v>8.7842500907344356E-2</v>
      </c>
      <c r="E10" s="553">
        <v>1.0839595356299969</v>
      </c>
      <c r="F10" s="554">
        <v>0.1065443335852528</v>
      </c>
      <c r="G10" s="555">
        <v>1.1404769963847272</v>
      </c>
      <c r="H10" s="554">
        <v>9.2525246390494059E-2</v>
      </c>
      <c r="I10" s="555">
        <v>1.1695131889554631</v>
      </c>
      <c r="J10" s="625">
        <v>8.4848959522633355E-2</v>
      </c>
      <c r="K10" s="626">
        <v>0.67720463555625587</v>
      </c>
    </row>
    <row r="11" spans="1:11">
      <c r="A11" s="86" t="s">
        <v>963</v>
      </c>
      <c r="B11" s="80">
        <v>4.6669009781582761E-2</v>
      </c>
      <c r="C11" s="114">
        <v>0.50171280548152719</v>
      </c>
      <c r="D11" s="80">
        <v>6.4072617333450974E-2</v>
      </c>
      <c r="E11" s="553">
        <v>0.72975681178420215</v>
      </c>
      <c r="F11" s="554">
        <v>7.3907281840070754E-2</v>
      </c>
      <c r="G11" s="555">
        <v>0.59103168080927193</v>
      </c>
      <c r="H11" s="554">
        <v>5.5783355308000951E-2</v>
      </c>
      <c r="I11" s="555">
        <v>0.62918004748811163</v>
      </c>
      <c r="J11" s="625">
        <v>6.9855066442132518E-2</v>
      </c>
      <c r="K11" s="626">
        <v>0.4567016317009937</v>
      </c>
    </row>
    <row r="12" spans="1:11">
      <c r="A12" s="89" t="s">
        <v>964</v>
      </c>
      <c r="B12" s="80">
        <v>4.7410156248090328E-2</v>
      </c>
      <c r="C12" s="114">
        <v>0.51275686871345605</v>
      </c>
      <c r="D12" s="80">
        <v>4.8910660078246786E-2</v>
      </c>
      <c r="E12" s="553">
        <v>0.50382358237094649</v>
      </c>
      <c r="F12" s="554">
        <v>6.527748488935757E-2</v>
      </c>
      <c r="G12" s="555">
        <v>0.44574890386123861</v>
      </c>
      <c r="H12" s="554">
        <v>4.566346092476533E-2</v>
      </c>
      <c r="I12" s="555">
        <v>0.48035498262864468</v>
      </c>
      <c r="J12" s="625">
        <v>6.7062691774066707E-2</v>
      </c>
      <c r="K12" s="626">
        <v>0.41563644610229206</v>
      </c>
    </row>
    <row r="13" spans="1:11">
      <c r="A13" s="86" t="s">
        <v>965</v>
      </c>
      <c r="B13" s="80">
        <v>4.7935749165438718E-2</v>
      </c>
      <c r="C13" s="114">
        <v>0.52058889878546388</v>
      </c>
      <c r="D13" s="80">
        <v>8.5176308471109435E-2</v>
      </c>
      <c r="E13" s="553">
        <v>1.0442297397193145</v>
      </c>
      <c r="F13" s="554">
        <v>9.9939544719666179E-2</v>
      </c>
      <c r="G13" s="555">
        <v>1.0292852646408446</v>
      </c>
      <c r="H13" s="554">
        <v>8.4369809119947931E-2</v>
      </c>
      <c r="I13" s="555">
        <v>1.0495777988433901</v>
      </c>
      <c r="J13" s="625">
        <v>0.11767250306180449</v>
      </c>
      <c r="K13" s="626">
        <v>1.1599138231370079</v>
      </c>
    </row>
    <row r="14" spans="1:11">
      <c r="A14" s="89" t="s">
        <v>966</v>
      </c>
      <c r="B14" s="80">
        <v>4.8279464818916686E-2</v>
      </c>
      <c r="C14" s="114">
        <v>0.52571071691771787</v>
      </c>
      <c r="D14" s="80">
        <v>7.7924897412307265E-2</v>
      </c>
      <c r="E14" s="553">
        <v>0.93617411795875138</v>
      </c>
      <c r="F14" s="554">
        <v>9.4493782335070192E-2</v>
      </c>
      <c r="G14" s="555">
        <v>0.93760576321666977</v>
      </c>
      <c r="H14" s="554">
        <v>7.9017720035148883E-2</v>
      </c>
      <c r="I14" s="555">
        <v>0.97086897293920182</v>
      </c>
      <c r="J14" s="625">
        <v>0.10005935880936484</v>
      </c>
      <c r="K14" s="626">
        <v>0.90089162028765546</v>
      </c>
    </row>
    <row r="15" spans="1:11">
      <c r="A15" s="86" t="s">
        <v>967</v>
      </c>
      <c r="B15" s="80">
        <v>4.9490585281639264E-2</v>
      </c>
      <c r="C15" s="114">
        <v>0.54375801468710494</v>
      </c>
      <c r="D15" s="80">
        <v>5.8668137773892098E-2</v>
      </c>
      <c r="E15" s="553">
        <v>0.64922291371045893</v>
      </c>
      <c r="F15" s="554">
        <v>7.938125991356898E-2</v>
      </c>
      <c r="G15" s="555">
        <v>0.68318619383112744</v>
      </c>
      <c r="H15" s="554">
        <v>6.0298246392677959E-2</v>
      </c>
      <c r="I15" s="555">
        <v>0.69557688257994688</v>
      </c>
      <c r="J15" s="625">
        <v>8.8048953261262053E-2</v>
      </c>
      <c r="K15" s="626">
        <v>0.72426434365856851</v>
      </c>
    </row>
    <row r="16" spans="1:11">
      <c r="A16" s="89" t="s">
        <v>968</v>
      </c>
      <c r="B16" s="80">
        <v>5.1024496284164229E-2</v>
      </c>
      <c r="C16" s="114">
        <v>0.56661531870133675</v>
      </c>
      <c r="D16" s="80">
        <v>7.3897502337235646E-2</v>
      </c>
      <c r="E16" s="553">
        <v>0.87616060122616402</v>
      </c>
      <c r="F16" s="554">
        <v>9.0403064237083247E-2</v>
      </c>
      <c r="G16" s="555">
        <v>0.86873845516975146</v>
      </c>
      <c r="H16" s="554">
        <v>7.525059690683028E-2</v>
      </c>
      <c r="I16" s="555">
        <v>0.91546895366287806</v>
      </c>
      <c r="J16" s="625">
        <v>9.4323723974299126E-2</v>
      </c>
      <c r="K16" s="626">
        <v>0.81654229864325789</v>
      </c>
    </row>
    <row r="17" spans="1:11">
      <c r="A17" s="86" t="s">
        <v>969</v>
      </c>
      <c r="B17" s="80">
        <v>5.266417727071402E-2</v>
      </c>
      <c r="C17" s="114">
        <v>0.59104873546034731</v>
      </c>
      <c r="D17" s="80">
        <v>9.0026489813330501E-2</v>
      </c>
      <c r="E17" s="553">
        <v>1.1165038607607649</v>
      </c>
      <c r="F17" s="554">
        <v>9.4280404200397711E-2</v>
      </c>
      <c r="G17" s="555">
        <v>0.93401353872723403</v>
      </c>
      <c r="H17" s="554">
        <v>7.9852135408021899E-2</v>
      </c>
      <c r="I17" s="555">
        <v>0.98314004191332871</v>
      </c>
      <c r="J17" s="625">
        <v>8.9449533364631545E-2</v>
      </c>
      <c r="K17" s="626">
        <v>0.74486153734767901</v>
      </c>
    </row>
    <row r="18" spans="1:11">
      <c r="A18" s="89" t="s">
        <v>970</v>
      </c>
      <c r="B18" s="80">
        <v>5.2881528822041252E-2</v>
      </c>
      <c r="C18" s="114">
        <v>0.59428756123216431</v>
      </c>
      <c r="D18" s="80">
        <v>7.9894857075859305E-2</v>
      </c>
      <c r="E18" s="553">
        <v>0.96552912411716763</v>
      </c>
      <c r="F18" s="554">
        <v>9.9761162012206847E-2</v>
      </c>
      <c r="G18" s="555">
        <v>1.0262821887576909</v>
      </c>
      <c r="H18" s="554">
        <v>8.5046368130711439E-2</v>
      </c>
      <c r="I18" s="555">
        <v>1.0595274025492285</v>
      </c>
      <c r="J18" s="625">
        <v>0.10035763933288744</v>
      </c>
      <c r="K18" s="626">
        <v>0.90527818961125484</v>
      </c>
    </row>
    <row r="19" spans="1:11">
      <c r="A19" s="384" t="s">
        <v>971</v>
      </c>
      <c r="B19" s="80">
        <v>5.3119657529174857E-2</v>
      </c>
      <c r="C19" s="114">
        <v>0.59783599412332233</v>
      </c>
      <c r="D19" s="80">
        <v>6.2220014681349661E-2</v>
      </c>
      <c r="E19" s="553">
        <v>0.70215058041422884</v>
      </c>
      <c r="F19" s="554">
        <v>0.10996251784383236</v>
      </c>
      <c r="G19" s="555">
        <v>1.1980221859231037</v>
      </c>
      <c r="H19" s="554">
        <v>9.7919790762419232E-2</v>
      </c>
      <c r="I19" s="555">
        <v>1.2488463702749251</v>
      </c>
      <c r="J19" s="625">
        <v>0.112712499121615</v>
      </c>
      <c r="K19" s="626">
        <v>1.0869710749078612</v>
      </c>
    </row>
    <row r="20" spans="1:11">
      <c r="A20" s="89" t="s">
        <v>972</v>
      </c>
      <c r="B20" s="80">
        <v>5.6184738054351917E-2</v>
      </c>
      <c r="C20" s="114">
        <v>0.64350975047342918</v>
      </c>
      <c r="D20" s="80">
        <v>8.2329031343349873E-2</v>
      </c>
      <c r="E20" s="553">
        <v>1.0018015422457718</v>
      </c>
      <c r="F20" s="554">
        <v>9.2136295268847951E-2</v>
      </c>
      <c r="G20" s="555">
        <v>0.89791742876848413</v>
      </c>
      <c r="H20" s="554">
        <v>7.7017997790605419E-2</v>
      </c>
      <c r="I20" s="555">
        <v>0.94146068254853232</v>
      </c>
      <c r="J20" s="625">
        <v>9.4452730228016535E-2</v>
      </c>
      <c r="K20" s="626">
        <v>0.81843948880648487</v>
      </c>
    </row>
    <row r="21" spans="1:11">
      <c r="A21" s="86" t="s">
        <v>973</v>
      </c>
      <c r="B21" s="80">
        <v>5.7104361565734958E-2</v>
      </c>
      <c r="C21" s="114">
        <v>0.65721335788201829</v>
      </c>
      <c r="D21" s="80">
        <v>9.6925532233579248E-2</v>
      </c>
      <c r="E21" s="553">
        <v>1.2193087234595321</v>
      </c>
      <c r="F21" s="554">
        <v>0.10938296725237164</v>
      </c>
      <c r="G21" s="555">
        <v>1.1882654419591183</v>
      </c>
      <c r="H21" s="554">
        <v>9.4939884405184527E-2</v>
      </c>
      <c r="I21" s="555">
        <v>1.2050233084823772</v>
      </c>
      <c r="J21" s="625">
        <v>0.11247135238986546</v>
      </c>
      <c r="K21" s="626">
        <v>1.0834247258419334</v>
      </c>
    </row>
    <row r="22" spans="1:11">
      <c r="A22" s="89" t="s">
        <v>974</v>
      </c>
      <c r="B22" s="80">
        <v>5.7171661831636293E-2</v>
      </c>
      <c r="C22" s="114">
        <v>0.65821622091345444</v>
      </c>
      <c r="D22" s="80">
        <v>7.6890677831291485E-2</v>
      </c>
      <c r="E22" s="553">
        <v>0.92076287744881558</v>
      </c>
      <c r="F22" s="554">
        <v>9.795763120403389E-2</v>
      </c>
      <c r="G22" s="555">
        <v>0.99591971723962791</v>
      </c>
      <c r="H22" s="554">
        <v>8.3131203312034413E-2</v>
      </c>
      <c r="I22" s="555">
        <v>1.0313626295227094</v>
      </c>
      <c r="J22" s="625">
        <v>0.10351133697417482</v>
      </c>
      <c r="K22" s="626">
        <v>0.9516570586228974</v>
      </c>
    </row>
    <row r="23" spans="1:11">
      <c r="A23" s="86" t="s">
        <v>975</v>
      </c>
      <c r="B23" s="80">
        <v>5.7198480244040326E-2</v>
      </c>
      <c r="C23" s="114">
        <v>0.65861585075148876</v>
      </c>
      <c r="D23" s="80">
        <v>5.8550482385027698E-2</v>
      </c>
      <c r="E23" s="553">
        <v>0.64746969270366028</v>
      </c>
      <c r="F23" s="554">
        <v>8.993505129155413E-2</v>
      </c>
      <c r="G23" s="555">
        <v>0.86085944935276304</v>
      </c>
      <c r="H23" s="554">
        <v>7.3898505501643813E-2</v>
      </c>
      <c r="I23" s="555">
        <v>0.89558484386365433</v>
      </c>
      <c r="J23" s="625">
        <v>0.10984328819083973</v>
      </c>
      <c r="K23" s="626">
        <v>1.0447759208185559</v>
      </c>
    </row>
    <row r="24" spans="1:11">
      <c r="A24" s="89" t="s">
        <v>976</v>
      </c>
      <c r="B24" s="80">
        <v>5.7606243601966797E-2</v>
      </c>
      <c r="C24" s="114">
        <v>0.66469206444488238</v>
      </c>
      <c r="D24" s="80">
        <v>7.5040435971052352E-2</v>
      </c>
      <c r="E24" s="553">
        <v>0.89319182500201266</v>
      </c>
      <c r="F24" s="554">
        <v>0.10283992535408028</v>
      </c>
      <c r="G24" s="555">
        <v>1.0781132214491629</v>
      </c>
      <c r="H24" s="554">
        <v>8.873435444898807E-2</v>
      </c>
      <c r="I24" s="555">
        <v>1.1137636210543922</v>
      </c>
      <c r="J24" s="625">
        <v>0.10682442610881064</v>
      </c>
      <c r="K24" s="626">
        <v>1.0003799688307529</v>
      </c>
    </row>
    <row r="25" spans="1:11">
      <c r="A25" s="86" t="s">
        <v>977</v>
      </c>
      <c r="B25" s="80">
        <v>5.7894973556967981E-2</v>
      </c>
      <c r="C25" s="114">
        <v>0.6689945228982177</v>
      </c>
      <c r="D25" s="80">
        <v>8.0332602250701129E-2</v>
      </c>
      <c r="E25" s="553">
        <v>0.97205210656246743</v>
      </c>
      <c r="F25" s="554">
        <v>0.10528248298325275</v>
      </c>
      <c r="G25" s="555">
        <v>1.1192337202567804</v>
      </c>
      <c r="H25" s="554">
        <v>9.123365790468177E-2</v>
      </c>
      <c r="I25" s="555">
        <v>1.1505188464363176</v>
      </c>
      <c r="J25" s="625">
        <v>0.101129895740875</v>
      </c>
      <c r="K25" s="626">
        <v>0.91663513718941125</v>
      </c>
    </row>
    <row r="26" spans="1:11">
      <c r="A26" s="89" t="s">
        <v>978</v>
      </c>
      <c r="B26" s="80">
        <v>5.8867446060534283E-2</v>
      </c>
      <c r="C26" s="114">
        <v>0.68348565023409735</v>
      </c>
      <c r="D26" s="80">
        <v>7.8729793002573087E-2</v>
      </c>
      <c r="E26" s="553">
        <v>0.94816812750437418</v>
      </c>
      <c r="F26" s="554">
        <v>8.9711279373143021E-2</v>
      </c>
      <c r="G26" s="555">
        <v>0.85709224533910799</v>
      </c>
      <c r="H26" s="554">
        <v>7.3878448909949226E-2</v>
      </c>
      <c r="I26" s="555">
        <v>0.89528988786443453</v>
      </c>
      <c r="J26" s="625">
        <v>0.11143702513844322</v>
      </c>
      <c r="K26" s="626">
        <v>1.0682137152869386</v>
      </c>
    </row>
    <row r="27" spans="1:11">
      <c r="A27" s="384" t="s">
        <v>979</v>
      </c>
      <c r="B27" s="80">
        <v>5.8877733772141762E-2</v>
      </c>
      <c r="C27" s="114">
        <v>0.68363895075246883</v>
      </c>
      <c r="D27" s="80">
        <v>9.1082593200917633E-2</v>
      </c>
      <c r="E27" s="553">
        <v>1.132241198951053</v>
      </c>
      <c r="F27" s="554">
        <v>0.11650971219550227</v>
      </c>
      <c r="G27" s="555">
        <v>1.3082443130555936</v>
      </c>
      <c r="H27" s="554">
        <v>0.10547727276150731</v>
      </c>
      <c r="I27" s="555">
        <v>1.3599881180140874</v>
      </c>
      <c r="J27" s="625">
        <v>0.11152420626942132</v>
      </c>
      <c r="K27" s="626">
        <v>1.0694958173505562</v>
      </c>
    </row>
    <row r="28" spans="1:11">
      <c r="A28" s="89" t="s">
        <v>980</v>
      </c>
      <c r="B28" s="80">
        <v>5.9130740506607549E-2</v>
      </c>
      <c r="C28" s="114">
        <v>0.68740908594141603</v>
      </c>
      <c r="D28" s="80">
        <v>7.71460930450803E-2</v>
      </c>
      <c r="E28" s="553">
        <v>0.92456890216721233</v>
      </c>
      <c r="F28" s="554">
        <v>0.117740137611493</v>
      </c>
      <c r="G28" s="555">
        <v>1.3289585456480304</v>
      </c>
      <c r="H28" s="554">
        <v>0.10614898766197202</v>
      </c>
      <c r="I28" s="555">
        <v>1.3698664833253236</v>
      </c>
      <c r="J28" s="625">
        <v>0.11622873666707195</v>
      </c>
      <c r="K28" s="626">
        <v>1.1386815237472103</v>
      </c>
    </row>
    <row r="29" spans="1:11">
      <c r="A29" s="86" t="s">
        <v>981</v>
      </c>
      <c r="B29" s="80">
        <v>5.9363458580818672E-2</v>
      </c>
      <c r="C29" s="114">
        <v>0.69087689324124901</v>
      </c>
      <c r="D29" s="80">
        <v>8.1729436339249326E-2</v>
      </c>
      <c r="E29" s="553">
        <v>0.99286678314202914</v>
      </c>
      <c r="F29" s="554">
        <v>9.9459175332455352E-2</v>
      </c>
      <c r="G29" s="555">
        <v>1.0211982379201237</v>
      </c>
      <c r="H29" s="554">
        <v>8.4582191462645825E-2</v>
      </c>
      <c r="I29" s="555">
        <v>1.0527011334089542</v>
      </c>
      <c r="J29" s="625">
        <v>9.5052180239498602E-2</v>
      </c>
      <c r="K29" s="626">
        <v>0.82725511310653832</v>
      </c>
    </row>
    <row r="30" spans="1:11">
      <c r="A30" s="89" t="s">
        <v>982</v>
      </c>
      <c r="B30" s="80">
        <v>5.950693038931542E-2</v>
      </c>
      <c r="C30" s="114">
        <v>0.69301481306768198</v>
      </c>
      <c r="D30" s="80">
        <v>7.4928630837864774E-2</v>
      </c>
      <c r="E30" s="553">
        <v>0.89152578054740395</v>
      </c>
      <c r="F30" s="554">
        <v>9.4602556921553824E-2</v>
      </c>
      <c r="G30" s="555">
        <v>0.93943698521134378</v>
      </c>
      <c r="H30" s="554">
        <v>7.878991877306582E-2</v>
      </c>
      <c r="I30" s="555">
        <v>0.96751888485322912</v>
      </c>
      <c r="J30" s="625">
        <v>9.339298748883143E-2</v>
      </c>
      <c r="K30" s="626">
        <v>0.80285471332159042</v>
      </c>
    </row>
    <row r="31" spans="1:11">
      <c r="A31" s="86" t="s">
        <v>983</v>
      </c>
      <c r="B31" s="80">
        <v>5.9707282333925089E-2</v>
      </c>
      <c r="C31" s="114">
        <v>0.69600032220103292</v>
      </c>
      <c r="D31" s="80">
        <v>7.6234090086073458E-2</v>
      </c>
      <c r="E31" s="553">
        <v>0.91097885107455834</v>
      </c>
      <c r="F31" s="554">
        <v>0.10397520737361644</v>
      </c>
      <c r="G31" s="555">
        <v>1.0972257133605461</v>
      </c>
      <c r="H31" s="554">
        <v>9.189222090198991E-2</v>
      </c>
      <c r="I31" s="555">
        <v>1.1602037973929986</v>
      </c>
      <c r="J31" s="625">
        <v>9.4434370164990455E-2</v>
      </c>
      <c r="K31" s="626">
        <v>0.81816948227606034</v>
      </c>
    </row>
    <row r="32" spans="1:11">
      <c r="A32" s="89" t="s">
        <v>984</v>
      </c>
      <c r="B32" s="80">
        <v>5.9776523448733278E-2</v>
      </c>
      <c r="C32" s="114">
        <v>0.69703210644982561</v>
      </c>
      <c r="D32" s="80">
        <v>8.7334159526443259E-2</v>
      </c>
      <c r="E32" s="553">
        <v>1.0763845762828481</v>
      </c>
      <c r="F32" s="554">
        <v>8.7378722338286391E-2</v>
      </c>
      <c r="G32" s="555">
        <v>0.81782360838865986</v>
      </c>
      <c r="H32" s="554">
        <v>7.0944343100406052E-2</v>
      </c>
      <c r="I32" s="555">
        <v>0.85214037751646321</v>
      </c>
      <c r="J32" s="625">
        <v>9.1757818349292253E-2</v>
      </c>
      <c r="K32" s="626">
        <v>0.7788076092676931</v>
      </c>
    </row>
    <row r="33" spans="1:11">
      <c r="A33" s="86" t="s">
        <v>985</v>
      </c>
      <c r="B33" s="80">
        <v>5.9882956952153128E-2</v>
      </c>
      <c r="C33" s="114">
        <v>0.6986181065117345</v>
      </c>
      <c r="D33" s="80">
        <v>6.9595348603287047E-2</v>
      </c>
      <c r="E33" s="553">
        <v>0.81205281684300501</v>
      </c>
      <c r="F33" s="554">
        <v>9.0262467226991661E-2</v>
      </c>
      <c r="G33" s="555">
        <v>0.86637150213790659</v>
      </c>
      <c r="H33" s="554">
        <v>7.4833897660917095E-2</v>
      </c>
      <c r="I33" s="555">
        <v>0.90934089639751225</v>
      </c>
      <c r="J33" s="625">
        <v>8.9128720959003052E-2</v>
      </c>
      <c r="K33" s="626">
        <v>0.74014360993981243</v>
      </c>
    </row>
    <row r="34" spans="1:11">
      <c r="A34" s="89" t="s">
        <v>986</v>
      </c>
      <c r="B34" s="80">
        <v>6.0470443672652453E-2</v>
      </c>
      <c r="C34" s="114">
        <v>0.7073724361649365</v>
      </c>
      <c r="D34" s="80">
        <v>5.6309184237026529E-2</v>
      </c>
      <c r="E34" s="553">
        <v>0.61407138402012651</v>
      </c>
      <c r="F34" s="554">
        <v>8.1840974896333823E-2</v>
      </c>
      <c r="G34" s="555">
        <v>0.72459553697531676</v>
      </c>
      <c r="H34" s="554">
        <v>6.4289325786355989E-2</v>
      </c>
      <c r="I34" s="555">
        <v>0.75427044469926852</v>
      </c>
      <c r="J34" s="625">
        <v>7.1677257372620429E-2</v>
      </c>
      <c r="K34" s="626">
        <v>0.48349911328987644</v>
      </c>
    </row>
    <row r="35" spans="1:11">
      <c r="A35" s="86" t="s">
        <v>987</v>
      </c>
      <c r="B35" s="80">
        <v>6.0541661150979441E-2</v>
      </c>
      <c r="C35" s="114">
        <v>0.708433670845806</v>
      </c>
      <c r="D35" s="80">
        <v>8.515793175657782E-2</v>
      </c>
      <c r="E35" s="553">
        <v>1.0439559023518659</v>
      </c>
      <c r="F35" s="554">
        <v>8.6258029527349955E-2</v>
      </c>
      <c r="G35" s="555">
        <v>0.7989567260496625</v>
      </c>
      <c r="H35" s="554">
        <v>6.9761192905016381E-2</v>
      </c>
      <c r="I35" s="555">
        <v>0.83474074883466065</v>
      </c>
      <c r="J35" s="625">
        <v>8.7997573422710501E-2</v>
      </c>
      <c r="K35" s="626">
        <v>0.72350874211616811</v>
      </c>
    </row>
    <row r="36" spans="1:11">
      <c r="A36" s="89" t="s">
        <v>988</v>
      </c>
      <c r="B36" s="80">
        <v>6.0619710293124428E-2</v>
      </c>
      <c r="C36" s="114">
        <v>0.70959670635902772</v>
      </c>
      <c r="D36" s="80">
        <v>7.6638595044588406E-2</v>
      </c>
      <c r="E36" s="553">
        <v>0.91700651030434466</v>
      </c>
      <c r="F36" s="554">
        <v>8.9517024995915448E-2</v>
      </c>
      <c r="G36" s="555">
        <v>0.85382196962820611</v>
      </c>
      <c r="H36" s="554">
        <v>7.3879038622053556E-2</v>
      </c>
      <c r="I36" s="555">
        <v>0.89529856028124566</v>
      </c>
      <c r="J36" s="625">
        <v>9.4292074976446261E-2</v>
      </c>
      <c r="K36" s="626">
        <v>0.81607686254483458</v>
      </c>
    </row>
    <row r="37" spans="1:11">
      <c r="A37" s="384" t="s">
        <v>989</v>
      </c>
      <c r="B37" s="80">
        <v>6.0785271316563819E-2</v>
      </c>
      <c r="C37" s="114">
        <v>0.71206378472239573</v>
      </c>
      <c r="D37" s="80">
        <v>8.6801516046223742E-2</v>
      </c>
      <c r="E37" s="553">
        <v>1.0684474834928914</v>
      </c>
      <c r="F37" s="554">
        <v>8.3446022835950928E-2</v>
      </c>
      <c r="G37" s="555">
        <v>0.7516165460597799</v>
      </c>
      <c r="H37" s="554">
        <v>7.0035713190398668E-2</v>
      </c>
      <c r="I37" s="555">
        <v>0.83877789563976368</v>
      </c>
      <c r="J37" s="625">
        <v>7.5321637892577453E-2</v>
      </c>
      <c r="K37" s="626">
        <v>0.53709405674636812</v>
      </c>
    </row>
    <row r="38" spans="1:11">
      <c r="A38" s="89" t="s">
        <v>990</v>
      </c>
      <c r="B38" s="80">
        <v>6.1682886383186163E-2</v>
      </c>
      <c r="C38" s="114">
        <v>0.72543943717665726</v>
      </c>
      <c r="D38" s="80">
        <v>7.433104346305397E-2</v>
      </c>
      <c r="E38" s="553">
        <v>0.88262093777710438</v>
      </c>
      <c r="F38" s="554">
        <v>0.10037255484049579</v>
      </c>
      <c r="G38" s="555">
        <v>1.0365749973147438</v>
      </c>
      <c r="H38" s="554">
        <v>8.5214615537638802E-2</v>
      </c>
      <c r="I38" s="555">
        <v>1.062001680471524</v>
      </c>
      <c r="J38" s="625">
        <v>0.10475592558000166</v>
      </c>
      <c r="K38" s="626">
        <v>0.96996021209180838</v>
      </c>
    </row>
    <row r="39" spans="1:11">
      <c r="A39" s="86" t="s">
        <v>991</v>
      </c>
      <c r="B39" s="80">
        <v>6.1741074512402148E-2</v>
      </c>
      <c r="C39" s="114">
        <v>0.72630651731189322</v>
      </c>
      <c r="D39" s="80">
        <v>7.530032969166689E-2</v>
      </c>
      <c r="E39" s="553">
        <v>0.89706458539925726</v>
      </c>
      <c r="F39" s="554">
        <v>9.5290039896852391E-2</v>
      </c>
      <c r="G39" s="555">
        <v>0.9510107726742828</v>
      </c>
      <c r="H39" s="554">
        <v>8.0035231115011207E-2</v>
      </c>
      <c r="I39" s="555">
        <v>0.9858326817212415</v>
      </c>
      <c r="J39" s="625">
        <v>9.7242123421475674E-2</v>
      </c>
      <c r="K39" s="626">
        <v>0.85946082828042347</v>
      </c>
    </row>
    <row r="40" spans="1:11">
      <c r="A40" s="89" t="s">
        <v>992</v>
      </c>
      <c r="B40" s="80">
        <v>6.176837831312474E-2</v>
      </c>
      <c r="C40" s="114">
        <v>0.72671338007826813</v>
      </c>
      <c r="D40" s="80">
        <v>7.4105078438182176E-2</v>
      </c>
      <c r="E40" s="553">
        <v>0.87925375984984777</v>
      </c>
      <c r="F40" s="554">
        <v>0.11574574012279081</v>
      </c>
      <c r="G40" s="555">
        <v>1.2953828303500134</v>
      </c>
      <c r="H40" s="554">
        <v>0.10342480161936876</v>
      </c>
      <c r="I40" s="555">
        <v>1.3298040924419459</v>
      </c>
      <c r="J40" s="625">
        <v>0.11615796736305639</v>
      </c>
      <c r="K40" s="626">
        <v>1.1376407770890611</v>
      </c>
    </row>
    <row r="41" spans="1:11">
      <c r="A41" s="86" t="s">
        <v>993</v>
      </c>
      <c r="B41" s="80">
        <v>6.1849737072763547E-2</v>
      </c>
      <c r="C41" s="114">
        <v>0.72792573327230869</v>
      </c>
      <c r="D41" s="80">
        <v>0.11256003941807757</v>
      </c>
      <c r="E41" s="553">
        <v>1.4522835722222807</v>
      </c>
      <c r="F41" s="554">
        <v>0.10929649191687948</v>
      </c>
      <c r="G41" s="555">
        <v>1.1868096282302942</v>
      </c>
      <c r="H41" s="554">
        <v>9.5210450394289201E-2</v>
      </c>
      <c r="I41" s="555">
        <v>1.2090023026647645</v>
      </c>
      <c r="J41" s="625">
        <v>0.12171544628692083</v>
      </c>
      <c r="K41" s="626">
        <v>1.2193701044888992</v>
      </c>
    </row>
    <row r="42" spans="1:11">
      <c r="A42" s="89" t="s">
        <v>994</v>
      </c>
      <c r="B42" s="80">
        <v>6.2279737531583855E-2</v>
      </c>
      <c r="C42" s="114">
        <v>0.73433330919903195</v>
      </c>
      <c r="D42" s="80">
        <v>7.7584447917260685E-2</v>
      </c>
      <c r="E42" s="553">
        <v>0.93110096990976954</v>
      </c>
      <c r="F42" s="554">
        <v>7.778023248038704E-2</v>
      </c>
      <c r="G42" s="555">
        <v>0.65623287004018593</v>
      </c>
      <c r="H42" s="554">
        <v>6.1256889966041103E-2</v>
      </c>
      <c r="I42" s="555">
        <v>0.70967487477038171</v>
      </c>
      <c r="J42" s="625">
        <v>7.6226289596193597E-2</v>
      </c>
      <c r="K42" s="626">
        <v>0.5503980343737368</v>
      </c>
    </row>
    <row r="43" spans="1:11">
      <c r="A43" s="86" t="s">
        <v>995</v>
      </c>
      <c r="B43" s="80">
        <v>6.2333328122766027E-2</v>
      </c>
      <c r="C43" s="114">
        <v>0.73513187993288609</v>
      </c>
      <c r="D43" s="80">
        <v>0.10524242053609272</v>
      </c>
      <c r="E43" s="553">
        <v>1.3432413662725982</v>
      </c>
      <c r="F43" s="554">
        <v>9.2612760663744048E-2</v>
      </c>
      <c r="G43" s="555">
        <v>0.90593873171286277</v>
      </c>
      <c r="H43" s="554">
        <v>7.9213846032133481E-2</v>
      </c>
      <c r="I43" s="555">
        <v>0.97375323863571084</v>
      </c>
      <c r="J43" s="625">
        <v>0.10572291325306023</v>
      </c>
      <c r="K43" s="626">
        <v>0.98418091417736053</v>
      </c>
    </row>
    <row r="44" spans="1:11">
      <c r="A44" s="89" t="s">
        <v>996</v>
      </c>
      <c r="B44" s="80">
        <v>6.2451485755446609E-2</v>
      </c>
      <c r="C44" s="114">
        <v>0.73689258503724764</v>
      </c>
      <c r="D44" s="80">
        <v>7.531121511502141E-2</v>
      </c>
      <c r="E44" s="553">
        <v>0.89722679261370997</v>
      </c>
      <c r="F44" s="554">
        <v>9.8729466838279281E-2</v>
      </c>
      <c r="G44" s="555">
        <v>1.0089135831360148</v>
      </c>
      <c r="H44" s="554">
        <v>8.3347849479715075E-2</v>
      </c>
      <c r="I44" s="555">
        <v>1.0345486686981815</v>
      </c>
      <c r="J44" s="625">
        <v>8.9818268429351922E-2</v>
      </c>
      <c r="K44" s="626">
        <v>0.75028422436839304</v>
      </c>
    </row>
    <row r="45" spans="1:11">
      <c r="A45" s="86" t="s">
        <v>997</v>
      </c>
      <c r="B45" s="80">
        <v>6.2552206233774707E-2</v>
      </c>
      <c r="C45" s="114">
        <v>0.73839345346430407</v>
      </c>
      <c r="D45" s="80">
        <v>9.3113642589482917E-2</v>
      </c>
      <c r="E45" s="553">
        <v>1.1625065228622431</v>
      </c>
      <c r="F45" s="554">
        <v>0.11367902481562518</v>
      </c>
      <c r="G45" s="555">
        <v>1.2605896433606933</v>
      </c>
      <c r="H45" s="554">
        <v>9.9997864676055814E-2</v>
      </c>
      <c r="I45" s="555">
        <v>1.279406915006702</v>
      </c>
      <c r="J45" s="625">
        <v>8.8732388469741158E-2</v>
      </c>
      <c r="K45" s="626">
        <v>0.73431507001769347</v>
      </c>
    </row>
    <row r="46" spans="1:11">
      <c r="A46" s="89" t="s">
        <v>998</v>
      </c>
      <c r="B46" s="80">
        <v>6.2757823964344997E-2</v>
      </c>
      <c r="C46" s="114">
        <v>0.74145742977754847</v>
      </c>
      <c r="D46" s="80">
        <v>6.6908767800924751E-2</v>
      </c>
      <c r="E46" s="553">
        <v>0.77201920729374784</v>
      </c>
      <c r="F46" s="554">
        <v>9.6062282669907822E-2</v>
      </c>
      <c r="G46" s="555">
        <v>0.96401149275939102</v>
      </c>
      <c r="H46" s="554">
        <v>8.0948451455097686E-2</v>
      </c>
      <c r="I46" s="555">
        <v>0.99926267132365276</v>
      </c>
      <c r="J46" s="625">
        <v>9.7613715201787327E-2</v>
      </c>
      <c r="K46" s="626">
        <v>0.86492552669642042</v>
      </c>
    </row>
    <row r="47" spans="1:11">
      <c r="A47" s="86" t="s">
        <v>999</v>
      </c>
      <c r="B47" s="80">
        <v>6.2898383212706813E-2</v>
      </c>
      <c r="C47" s="114">
        <v>0.7435519486033012</v>
      </c>
      <c r="D47" s="80">
        <v>6.4123793805359E-2</v>
      </c>
      <c r="E47" s="553">
        <v>0.73051940894587075</v>
      </c>
      <c r="F47" s="554">
        <v>6.948124756634784E-2</v>
      </c>
      <c r="G47" s="555">
        <v>0.51651931929878514</v>
      </c>
      <c r="H47" s="554">
        <v>5.0728184210616555E-2</v>
      </c>
      <c r="I47" s="555">
        <v>0.55483775319596584</v>
      </c>
      <c r="J47" s="625">
        <v>6.9577406040544493E-2</v>
      </c>
      <c r="K47" s="626">
        <v>0.45261830575801743</v>
      </c>
    </row>
    <row r="48" spans="1:11">
      <c r="A48" s="89" t="s">
        <v>1000</v>
      </c>
      <c r="B48" s="80">
        <v>6.4651618924646354E-2</v>
      </c>
      <c r="C48" s="114">
        <v>0.76967748105625589</v>
      </c>
      <c r="D48" s="80">
        <v>6.4450575397902943E-2</v>
      </c>
      <c r="E48" s="553">
        <v>0.73538888715858075</v>
      </c>
      <c r="F48" s="554">
        <v>7.8856835684973675E-2</v>
      </c>
      <c r="G48" s="555">
        <v>0.67435750311403486</v>
      </c>
      <c r="H48" s="554">
        <v>6.0048761740574996E-2</v>
      </c>
      <c r="I48" s="555">
        <v>0.69190791449346434</v>
      </c>
      <c r="J48" s="625">
        <v>8.2658874810652205E-2</v>
      </c>
      <c r="K48" s="626">
        <v>0.6449968390155858</v>
      </c>
    </row>
    <row r="49" spans="1:11">
      <c r="A49" s="86" t="s">
        <v>1001</v>
      </c>
      <c r="B49" s="80">
        <v>6.4778742824577878E-2</v>
      </c>
      <c r="C49" s="114">
        <v>0.77157179540919207</v>
      </c>
      <c r="D49" s="80">
        <v>7.3536074501719742E-2</v>
      </c>
      <c r="E49" s="553">
        <v>0.8707748481401022</v>
      </c>
      <c r="F49" s="554">
        <v>6.5876303894446042E-2</v>
      </c>
      <c r="G49" s="555">
        <v>0.45583003189303101</v>
      </c>
      <c r="H49" s="554">
        <v>4.593316381310944E-2</v>
      </c>
      <c r="I49" s="555">
        <v>0.48432128388936641</v>
      </c>
      <c r="J49" s="625">
        <v>6.2658122929334481E-2</v>
      </c>
      <c r="K49" s="626">
        <v>0.35086203056282123</v>
      </c>
    </row>
    <row r="50" spans="1:11">
      <c r="A50" s="89" t="s">
        <v>1002</v>
      </c>
      <c r="B50" s="80">
        <v>6.4871233204634823E-2</v>
      </c>
      <c r="C50" s="114">
        <v>0.77295002447976613</v>
      </c>
      <c r="D50" s="80">
        <v>9.0974339347690156E-2</v>
      </c>
      <c r="E50" s="553">
        <v>1.1306280732678422</v>
      </c>
      <c r="F50" s="554">
        <v>0.10010181692736389</v>
      </c>
      <c r="G50" s="555">
        <v>1.0320171199892909</v>
      </c>
      <c r="H50" s="554">
        <v>8.5026700395020374E-2</v>
      </c>
      <c r="I50" s="555">
        <v>1.0592381651393292</v>
      </c>
      <c r="J50" s="625">
        <v>0.10073634038791721</v>
      </c>
      <c r="K50" s="626">
        <v>0.91084743835465243</v>
      </c>
    </row>
    <row r="51" spans="1:11">
      <c r="A51" s="86" t="s">
        <v>1003</v>
      </c>
      <c r="B51" s="80">
        <v>6.4891678398593999E-2</v>
      </c>
      <c r="C51" s="114">
        <v>0.77325468492824445</v>
      </c>
      <c r="D51" s="80">
        <v>8.4594201592758989E-2</v>
      </c>
      <c r="E51" s="553">
        <v>1.0355555768341604</v>
      </c>
      <c r="F51" s="554">
        <v>0.10231285215083075</v>
      </c>
      <c r="G51" s="555">
        <v>1.0692399351991708</v>
      </c>
      <c r="H51" s="554">
        <v>8.8518937690608826E-2</v>
      </c>
      <c r="I51" s="555">
        <v>1.1105956618026913</v>
      </c>
      <c r="J51" s="625">
        <v>9.7305377297602552E-2</v>
      </c>
      <c r="K51" s="626">
        <v>0.86039105164646867</v>
      </c>
    </row>
    <row r="52" spans="1:11">
      <c r="A52" s="89" t="s">
        <v>1004</v>
      </c>
      <c r="B52" s="80">
        <v>6.5035888398882566E-2</v>
      </c>
      <c r="C52" s="114">
        <v>0.775403604789346</v>
      </c>
      <c r="D52" s="80">
        <v>8.3748608530265153E-2</v>
      </c>
      <c r="E52" s="553">
        <v>1.0229551210906842</v>
      </c>
      <c r="F52" s="554">
        <v>8.4275068611977394E-2</v>
      </c>
      <c r="G52" s="555">
        <v>0.76557354565618496</v>
      </c>
      <c r="H52" s="554">
        <v>6.6324588579406013E-2</v>
      </c>
      <c r="I52" s="555">
        <v>0.78420140106216341</v>
      </c>
      <c r="J52" s="625">
        <v>9.4368909864421618E-2</v>
      </c>
      <c r="K52" s="626">
        <v>0.81720681081834068</v>
      </c>
    </row>
    <row r="53" spans="1:11">
      <c r="A53" s="86" t="s">
        <v>1005</v>
      </c>
      <c r="B53" s="80">
        <v>6.5196147168457841E-2</v>
      </c>
      <c r="C53" s="114">
        <v>0.77779167255279436</v>
      </c>
      <c r="D53" s="80">
        <v>9.7383837447152122E-2</v>
      </c>
      <c r="E53" s="553">
        <v>1.226138077692404</v>
      </c>
      <c r="F53" s="554">
        <v>9.1647787246138215E-2</v>
      </c>
      <c r="G53" s="555">
        <v>0.88969338798212483</v>
      </c>
      <c r="H53" s="554">
        <v>7.4188409586415635E-2</v>
      </c>
      <c r="I53" s="555">
        <v>0.89984822770792305</v>
      </c>
      <c r="J53" s="625">
        <v>8.0493737720377545E-2</v>
      </c>
      <c r="K53" s="626">
        <v>0.61315592687883902</v>
      </c>
    </row>
    <row r="54" spans="1:11">
      <c r="A54" s="89" t="s">
        <v>1006</v>
      </c>
      <c r="B54" s="80">
        <v>6.5470800142482341E-2</v>
      </c>
      <c r="C54" s="114">
        <v>0.78188436535919392</v>
      </c>
      <c r="D54" s="80">
        <v>8.7266486162346849E-2</v>
      </c>
      <c r="E54" s="553">
        <v>1.0753761535945232</v>
      </c>
      <c r="F54" s="554">
        <v>0.10148230646994537</v>
      </c>
      <c r="G54" s="555">
        <v>1.055257684679215</v>
      </c>
      <c r="H54" s="554">
        <v>8.7310547520280529E-2</v>
      </c>
      <c r="I54" s="555">
        <v>1.0928248493155011</v>
      </c>
      <c r="J54" s="625">
        <v>9.2632413969248567E-2</v>
      </c>
      <c r="K54" s="626">
        <v>0.79166957649152359</v>
      </c>
    </row>
    <row r="55" spans="1:11">
      <c r="A55" s="86" t="s">
        <v>1007</v>
      </c>
      <c r="B55" s="80">
        <v>6.5654177286588455E-2</v>
      </c>
      <c r="C55" s="114">
        <v>0.78461692749949774</v>
      </c>
      <c r="D55" s="80">
        <v>7.2339618030605637E-2</v>
      </c>
      <c r="E55" s="553">
        <v>0.85294606325295241</v>
      </c>
      <c r="F55" s="554">
        <v>7.4167513478413688E-2</v>
      </c>
      <c r="G55" s="555">
        <v>0.59541268482177923</v>
      </c>
      <c r="H55" s="554">
        <v>5.6894735554603358E-2</v>
      </c>
      <c r="I55" s="555">
        <v>0.64552421384207415</v>
      </c>
      <c r="J55" s="625">
        <v>7.4021128790314222E-2</v>
      </c>
      <c r="K55" s="626">
        <v>0.5179685259685689</v>
      </c>
    </row>
    <row r="56" spans="1:11">
      <c r="A56" s="89" t="s">
        <v>1008</v>
      </c>
      <c r="B56" s="80">
        <v>6.5688354987491926E-2</v>
      </c>
      <c r="C56" s="114">
        <v>0.78512622047592995</v>
      </c>
      <c r="D56" s="80">
        <v>8.7050769633534683E-2</v>
      </c>
      <c r="E56" s="553">
        <v>1.0721616918220747</v>
      </c>
      <c r="F56" s="554">
        <v>0.10148975411399581</v>
      </c>
      <c r="G56" s="555">
        <v>1.0553830658921854</v>
      </c>
      <c r="H56" s="554">
        <v>8.8135829344843319E-2</v>
      </c>
      <c r="I56" s="555">
        <v>1.1049615986151144</v>
      </c>
      <c r="J56" s="625">
        <v>9.2470694038471218E-2</v>
      </c>
      <c r="K56" s="626">
        <v>0.78929129285776589</v>
      </c>
    </row>
    <row r="57" spans="1:11">
      <c r="A57" s="86" t="s">
        <v>1009</v>
      </c>
      <c r="B57" s="80">
        <v>6.6328533511340021E-2</v>
      </c>
      <c r="C57" s="114">
        <v>0.79466572773475463</v>
      </c>
      <c r="D57" s="80">
        <v>6.4824398522618301E-2</v>
      </c>
      <c r="E57" s="553">
        <v>0.74095934645843831</v>
      </c>
      <c r="F57" s="554">
        <v>7.5805335309924865E-2</v>
      </c>
      <c r="G57" s="555">
        <v>0.62298544292802782</v>
      </c>
      <c r="H57" s="554">
        <v>5.7214842137564018E-2</v>
      </c>
      <c r="I57" s="555">
        <v>0.65023176128940541</v>
      </c>
      <c r="J57" s="625">
        <v>9.1575654809617546E-2</v>
      </c>
      <c r="K57" s="626">
        <v>0.77612867808714359</v>
      </c>
    </row>
    <row r="58" spans="1:11">
      <c r="A58" s="89" t="s">
        <v>1010</v>
      </c>
      <c r="B58" s="80">
        <v>6.6426859472546701E-2</v>
      </c>
      <c r="C58" s="114">
        <v>0.79613091468764374</v>
      </c>
      <c r="D58" s="80">
        <v>7.7663874887739251E-2</v>
      </c>
      <c r="E58" s="553">
        <v>0.93228453688866819</v>
      </c>
      <c r="F58" s="554">
        <v>9.8213621934536061E-2</v>
      </c>
      <c r="G58" s="555">
        <v>1.0002293254972401</v>
      </c>
      <c r="H58" s="554">
        <v>8.3762510150149197E-2</v>
      </c>
      <c r="I58" s="555">
        <v>1.0406467462902025</v>
      </c>
      <c r="J58" s="625">
        <v>0.14174410352185687</v>
      </c>
      <c r="K58" s="626">
        <v>1.5139152943058261</v>
      </c>
    </row>
    <row r="59" spans="1:11">
      <c r="A59" s="384" t="s">
        <v>1011</v>
      </c>
      <c r="B59" s="80">
        <v>6.6807538221676399E-2</v>
      </c>
      <c r="C59" s="114">
        <v>0.80180353186444997</v>
      </c>
      <c r="D59" s="80">
        <v>5.1826772256740351E-2</v>
      </c>
      <c r="E59" s="553">
        <v>0.54727751320116513</v>
      </c>
      <c r="F59" s="554">
        <v>6.4484899877427754E-2</v>
      </c>
      <c r="G59" s="555">
        <v>0.43240572184221798</v>
      </c>
      <c r="H59" s="554">
        <v>4.4228249610454025E-2</v>
      </c>
      <c r="I59" s="555">
        <v>0.45924849585608923</v>
      </c>
      <c r="J59" s="625">
        <v>6.4871647268747404E-2</v>
      </c>
      <c r="K59" s="626">
        <v>0.38341453466077507</v>
      </c>
    </row>
    <row r="60" spans="1:11">
      <c r="A60" s="89" t="s">
        <v>1012</v>
      </c>
      <c r="B60" s="80">
        <v>6.7085125669939613E-2</v>
      </c>
      <c r="C60" s="114">
        <v>0.80593995222067838</v>
      </c>
      <c r="D60" s="80">
        <v>7.6148967779651827E-2</v>
      </c>
      <c r="E60" s="553">
        <v>0.90971041605253355</v>
      </c>
      <c r="F60" s="554">
        <v>0.10204762732032281</v>
      </c>
      <c r="G60" s="555">
        <v>1.0647748707125051</v>
      </c>
      <c r="H60" s="554">
        <v>8.7733437334055919E-2</v>
      </c>
      <c r="I60" s="555">
        <v>1.0990439462329342</v>
      </c>
      <c r="J60" s="625">
        <v>9.1838634120359391E-2</v>
      </c>
      <c r="K60" s="626">
        <v>0.77999610115459062</v>
      </c>
    </row>
    <row r="61" spans="1:11">
      <c r="A61" s="86" t="s">
        <v>1013</v>
      </c>
      <c r="B61" s="80">
        <v>6.7097438492463524E-2</v>
      </c>
      <c r="C61" s="114">
        <v>0.80612342957186689</v>
      </c>
      <c r="D61" s="80">
        <v>0.1046905487910379</v>
      </c>
      <c r="E61" s="553">
        <v>1.3350177468886717</v>
      </c>
      <c r="F61" s="554">
        <v>8.6754527216274163E-2</v>
      </c>
      <c r="G61" s="555">
        <v>0.80731527300124839</v>
      </c>
      <c r="H61" s="554">
        <v>7.0593272576360916E-2</v>
      </c>
      <c r="I61" s="555">
        <v>0.846977468544032</v>
      </c>
      <c r="J61" s="625">
        <v>9.13539652508953E-2</v>
      </c>
      <c r="K61" s="626">
        <v>0.77286846985708924</v>
      </c>
    </row>
    <row r="62" spans="1:11">
      <c r="A62" s="89" t="s">
        <v>1014</v>
      </c>
      <c r="B62" s="80">
        <v>6.7648935942267494E-2</v>
      </c>
      <c r="C62" s="114">
        <v>0.8143414714611894</v>
      </c>
      <c r="D62" s="80">
        <v>8.0088330950985845E-2</v>
      </c>
      <c r="E62" s="553">
        <v>0.96841214091233974</v>
      </c>
      <c r="F62" s="554">
        <v>7.4953319140477481E-2</v>
      </c>
      <c r="G62" s="555">
        <v>0.60864173637167462</v>
      </c>
      <c r="H62" s="554">
        <v>5.8765774587042609E-2</v>
      </c>
      <c r="I62" s="555">
        <v>0.67304006478006928</v>
      </c>
      <c r="J62" s="625">
        <v>8.2839556668620584E-2</v>
      </c>
      <c r="K62" s="626">
        <v>0.64765398030706189</v>
      </c>
    </row>
    <row r="63" spans="1:11">
      <c r="A63" s="86" t="s">
        <v>1015</v>
      </c>
      <c r="B63" s="80">
        <v>6.8484371260719101E-2</v>
      </c>
      <c r="C63" s="114">
        <v>0.82679056337502388</v>
      </c>
      <c r="D63" s="80">
        <v>6.0128754359961914E-2</v>
      </c>
      <c r="E63" s="553">
        <v>0.67098803391695783</v>
      </c>
      <c r="F63" s="554">
        <v>8.2735136502567419E-2</v>
      </c>
      <c r="G63" s="555">
        <v>0.73964876266948509</v>
      </c>
      <c r="H63" s="554">
        <v>6.8923646231683677E-2</v>
      </c>
      <c r="I63" s="555">
        <v>0.82242363036867572</v>
      </c>
      <c r="J63" s="625">
        <v>6.5453347502870546E-2</v>
      </c>
      <c r="K63" s="626">
        <v>0.39196912740588868</v>
      </c>
    </row>
    <row r="64" spans="1:11">
      <c r="A64" s="89" t="s">
        <v>1016</v>
      </c>
      <c r="B64" s="80">
        <v>6.950597352634956E-2</v>
      </c>
      <c r="C64" s="114">
        <v>0.84201378918715053</v>
      </c>
      <c r="D64" s="80">
        <v>6.6098356715611151E-2</v>
      </c>
      <c r="E64" s="553">
        <v>0.75994300957235172</v>
      </c>
      <c r="F64" s="554">
        <v>7.327368658805801E-2</v>
      </c>
      <c r="G64" s="555">
        <v>0.58036509407505066</v>
      </c>
      <c r="H64" s="554">
        <v>5.4355145450039111E-2</v>
      </c>
      <c r="I64" s="555">
        <v>0.60817652544580536</v>
      </c>
      <c r="J64" s="625">
        <v>6.972803816324287E-2</v>
      </c>
      <c r="K64" s="626">
        <v>0.45483353000656723</v>
      </c>
    </row>
    <row r="65" spans="1:11">
      <c r="A65" s="86" t="s">
        <v>1017</v>
      </c>
      <c r="B65" s="80">
        <v>7.0240465118707587E-2</v>
      </c>
      <c r="C65" s="114">
        <v>0.85295868598676239</v>
      </c>
      <c r="D65" s="80">
        <v>6.9555271227329921E-2</v>
      </c>
      <c r="E65" s="553">
        <v>0.81145561090026319</v>
      </c>
      <c r="F65" s="554">
        <v>7.8115091766983613E-2</v>
      </c>
      <c r="G65" s="555">
        <v>0.66187023176740079</v>
      </c>
      <c r="H65" s="554">
        <v>6.3285533204711211E-2</v>
      </c>
      <c r="I65" s="555">
        <v>0.7395084827250199</v>
      </c>
      <c r="J65" s="625">
        <v>9.3847471897739884E-2</v>
      </c>
      <c r="K65" s="626">
        <v>0.80953844628084592</v>
      </c>
    </row>
    <row r="66" spans="1:11">
      <c r="A66" s="89" t="s">
        <v>1018</v>
      </c>
      <c r="B66" s="80">
        <v>7.0601004394552164E-2</v>
      </c>
      <c r="C66" s="114">
        <v>0.85833119835774419</v>
      </c>
      <c r="D66" s="80">
        <v>8.2851958356384814E-2</v>
      </c>
      <c r="E66" s="553">
        <v>1.0095938468152796</v>
      </c>
      <c r="F66" s="554">
        <v>9.6051856676669128E-2</v>
      </c>
      <c r="G66" s="555">
        <v>0.96383597098769569</v>
      </c>
      <c r="H66" s="554">
        <v>8.2344761014941217E-2</v>
      </c>
      <c r="I66" s="555">
        <v>1.0197970615986989</v>
      </c>
      <c r="J66" s="625">
        <v>9.41361438030969E-2</v>
      </c>
      <c r="K66" s="626">
        <v>0.81378370946353618</v>
      </c>
    </row>
    <row r="67" spans="1:11">
      <c r="A67" s="86" t="s">
        <v>1019</v>
      </c>
      <c r="B67" s="80">
        <v>7.1114938195102617E-2</v>
      </c>
      <c r="C67" s="114">
        <v>0.86598949215903653</v>
      </c>
      <c r="D67" s="80">
        <v>8.6791269438185742E-2</v>
      </c>
      <c r="E67" s="553">
        <v>1.0682947954721043</v>
      </c>
      <c r="F67" s="554">
        <v>7.3445588590289851E-2</v>
      </c>
      <c r="G67" s="555">
        <v>0.58325906717659681</v>
      </c>
      <c r="H67" s="554">
        <v>5.5135719327795131E-2</v>
      </c>
      <c r="I67" s="555">
        <v>0.61965579129437864</v>
      </c>
      <c r="J67" s="625">
        <v>7.2574150596246417E-2</v>
      </c>
      <c r="K67" s="626">
        <v>0.49668899325535054</v>
      </c>
    </row>
    <row r="68" spans="1:11">
      <c r="A68" s="89" t="s">
        <v>1020</v>
      </c>
      <c r="B68" s="80">
        <v>7.1388545871861928E-2</v>
      </c>
      <c r="C68" s="114">
        <v>0.87006660865277108</v>
      </c>
      <c r="D68" s="80">
        <v>0.10222137800334882</v>
      </c>
      <c r="E68" s="553">
        <v>1.298223834292461</v>
      </c>
      <c r="F68" s="554">
        <v>0.10417676594004187</v>
      </c>
      <c r="G68" s="555">
        <v>1.10061895521956</v>
      </c>
      <c r="H68" s="554">
        <v>9.0919918078811141E-2</v>
      </c>
      <c r="I68" s="555">
        <v>1.1459049297128838</v>
      </c>
      <c r="J68" s="625">
        <v>0.10689119111752864</v>
      </c>
      <c r="K68" s="626">
        <v>1.0013618275712215</v>
      </c>
    </row>
    <row r="69" spans="1:11">
      <c r="A69" s="86" t="s">
        <v>1021</v>
      </c>
      <c r="B69" s="80">
        <v>7.1778786120416244E-2</v>
      </c>
      <c r="C69" s="114">
        <v>0.87588170482530803</v>
      </c>
      <c r="D69" s="80">
        <v>8.829362811498162E-2</v>
      </c>
      <c r="E69" s="553">
        <v>1.0906819280745927</v>
      </c>
      <c r="F69" s="554">
        <v>9.9656159486579562E-2</v>
      </c>
      <c r="G69" s="555">
        <v>1.0245144694710364</v>
      </c>
      <c r="H69" s="554">
        <v>8.5229235926729874E-2</v>
      </c>
      <c r="I69" s="555">
        <v>1.0622166906556574</v>
      </c>
      <c r="J69" s="625">
        <v>0.10979849754959418</v>
      </c>
      <c r="K69" s="626">
        <v>1.0441172212475891</v>
      </c>
    </row>
    <row r="70" spans="1:11">
      <c r="A70" s="89" t="s">
        <v>1022</v>
      </c>
      <c r="B70" s="80">
        <v>7.2859068961704992E-2</v>
      </c>
      <c r="C70" s="114">
        <v>0.89197934887639641</v>
      </c>
      <c r="D70" s="80">
        <v>0.10827135083020324</v>
      </c>
      <c r="E70" s="553">
        <v>1.3883764363362698</v>
      </c>
      <c r="F70" s="554">
        <v>0.12858156492348799</v>
      </c>
      <c r="G70" s="555">
        <v>1.511474156961077</v>
      </c>
      <c r="H70" s="554">
        <v>0.11796164430300833</v>
      </c>
      <c r="I70" s="555">
        <v>1.5435856274378488</v>
      </c>
      <c r="J70" s="625">
        <v>0.15346067680611197</v>
      </c>
      <c r="K70" s="626">
        <v>1.6862214185523963</v>
      </c>
    </row>
    <row r="71" spans="1:11">
      <c r="A71" s="86" t="s">
        <v>1023</v>
      </c>
      <c r="B71" s="80">
        <v>7.2952864695048178E-2</v>
      </c>
      <c r="C71" s="114">
        <v>0.89337702943852415</v>
      </c>
      <c r="D71" s="80">
        <v>8.4634269341508042E-2</v>
      </c>
      <c r="E71" s="553">
        <v>1.0361526393187606</v>
      </c>
      <c r="F71" s="554">
        <v>9.5250238302958048E-2</v>
      </c>
      <c r="G71" s="555">
        <v>0.9503407121710109</v>
      </c>
      <c r="H71" s="554">
        <v>7.9870709008929064E-2</v>
      </c>
      <c r="I71" s="555">
        <v>0.98341318877188311</v>
      </c>
      <c r="J71" s="625">
        <v>9.9346230810761216E-2</v>
      </c>
      <c r="K71" s="626">
        <v>0.8904042261878613</v>
      </c>
    </row>
    <row r="72" spans="1:11">
      <c r="A72" s="89" t="s">
        <v>1024</v>
      </c>
      <c r="B72" s="80">
        <v>7.2985566843685512E-2</v>
      </c>
      <c r="C72" s="114">
        <v>0.89386433473335025</v>
      </c>
      <c r="D72" s="80">
        <v>8.2112956359378583E-2</v>
      </c>
      <c r="E72" s="553">
        <v>0.99858173901704983</v>
      </c>
      <c r="F72" s="554">
        <v>0.10877233892363995</v>
      </c>
      <c r="G72" s="555">
        <v>1.1779855037649822</v>
      </c>
      <c r="H72" s="554">
        <v>9.3621703907118242E-2</v>
      </c>
      <c r="I72" s="555">
        <v>1.1856378988434997</v>
      </c>
      <c r="J72" s="625">
        <v>0.11581808846338217</v>
      </c>
      <c r="K72" s="626">
        <v>1.1326424542436988</v>
      </c>
    </row>
    <row r="73" spans="1:11">
      <c r="A73" s="86" t="s">
        <v>1025</v>
      </c>
      <c r="B73" s="80">
        <v>7.3893935171498004E-2</v>
      </c>
      <c r="C73" s="114">
        <v>0.90740022501090334</v>
      </c>
      <c r="D73" s="80">
        <v>2.8523391073566079E-2</v>
      </c>
      <c r="E73" s="553">
        <v>0.20002629237639352</v>
      </c>
      <c r="F73" s="554">
        <v>6.4385024288672391E-2</v>
      </c>
      <c r="G73" s="555">
        <v>0.43072431462411431</v>
      </c>
      <c r="H73" s="554">
        <v>4.3391559489118443E-2</v>
      </c>
      <c r="I73" s="555">
        <v>0.44694397400442637</v>
      </c>
      <c r="J73" s="625">
        <v>6.24570436841142E-2</v>
      </c>
      <c r="K73" s="626">
        <v>0.34790492146874075</v>
      </c>
    </row>
    <row r="74" spans="1:11">
      <c r="A74" s="89" t="s">
        <v>1026</v>
      </c>
      <c r="B74" s="80">
        <v>7.4285388916457265E-2</v>
      </c>
      <c r="C74" s="114">
        <v>0.91323340388589336</v>
      </c>
      <c r="D74" s="80">
        <v>8.5010661837650547E-2</v>
      </c>
      <c r="E74" s="553">
        <v>1.0417613856533541</v>
      </c>
      <c r="F74" s="554">
        <v>0.11341438010198715</v>
      </c>
      <c r="G74" s="555">
        <v>1.2561343451512987</v>
      </c>
      <c r="H74" s="554">
        <v>0.10140881926327466</v>
      </c>
      <c r="I74" s="555">
        <v>1.3001566778011107</v>
      </c>
      <c r="J74" s="625">
        <v>9.1681854153208758E-2</v>
      </c>
      <c r="K74" s="626">
        <v>0.77769046555245314</v>
      </c>
    </row>
    <row r="75" spans="1:11">
      <c r="A75" s="86" t="s">
        <v>1027</v>
      </c>
      <c r="B75" s="80">
        <v>7.4501994028144169E-2</v>
      </c>
      <c r="C75" s="114">
        <v>0.91646110671918313</v>
      </c>
      <c r="D75" s="80">
        <v>9.236146854120332E-2</v>
      </c>
      <c r="E75" s="553">
        <v>1.151298134067299</v>
      </c>
      <c r="F75" s="554">
        <v>0.10454824787795831</v>
      </c>
      <c r="G75" s="555">
        <v>1.106872859898288</v>
      </c>
      <c r="H75" s="554">
        <v>9.053958906233861E-2</v>
      </c>
      <c r="I75" s="555">
        <v>1.1403117398631728</v>
      </c>
      <c r="J75" s="625">
        <v>0.10199879288163143</v>
      </c>
      <c r="K75" s="626">
        <v>0.92941330150933721</v>
      </c>
    </row>
    <row r="76" spans="1:11">
      <c r="A76" s="89" t="s">
        <v>1028</v>
      </c>
      <c r="B76" s="80">
        <v>7.5790753012632522E-2</v>
      </c>
      <c r="C76" s="114">
        <v>0.93566532121470025</v>
      </c>
      <c r="D76" s="80">
        <v>5.1567116146048905E-2</v>
      </c>
      <c r="E76" s="553">
        <v>0.54340829350624298</v>
      </c>
      <c r="F76" s="554">
        <v>5.036731616918419E-2</v>
      </c>
      <c r="G76" s="555">
        <v>0.19473596244417821</v>
      </c>
      <c r="H76" s="554">
        <v>2.9386415213643692E-2</v>
      </c>
      <c r="I76" s="555">
        <v>0.24098169552288884</v>
      </c>
      <c r="J76" s="625">
        <v>5.5390671589348885E-2</v>
      </c>
      <c r="K76" s="626">
        <v>0.24398552809377433</v>
      </c>
    </row>
    <row r="77" spans="1:11">
      <c r="A77" s="86" t="s">
        <v>1029</v>
      </c>
      <c r="B77" s="80">
        <v>7.5829864268883343E-2</v>
      </c>
      <c r="C77" s="114">
        <v>0.93624813069519286</v>
      </c>
      <c r="D77" s="80">
        <v>8.9432893796947827E-2</v>
      </c>
      <c r="E77" s="553">
        <v>1.1076584945134653</v>
      </c>
      <c r="F77" s="554">
        <v>0.12534773173496527</v>
      </c>
      <c r="G77" s="555">
        <v>1.4570325207906614</v>
      </c>
      <c r="H77" s="554">
        <v>0.11380706470877887</v>
      </c>
      <c r="I77" s="555">
        <v>1.482487600703569</v>
      </c>
      <c r="J77" s="625">
        <v>0.13606424454791188</v>
      </c>
      <c r="K77" s="626">
        <v>1.4303862229362374</v>
      </c>
    </row>
    <row r="78" spans="1:11">
      <c r="A78" s="89" t="s">
        <v>1030</v>
      </c>
      <c r="B78" s="80">
        <v>7.6130700283540881E-2</v>
      </c>
      <c r="C78" s="114">
        <v>0.94073098545934686</v>
      </c>
      <c r="D78" s="80">
        <v>0.10177178280785185</v>
      </c>
      <c r="E78" s="553">
        <v>1.2915242708563188</v>
      </c>
      <c r="F78" s="554">
        <v>0.1332583159766767</v>
      </c>
      <c r="G78" s="555">
        <v>1.5902073396746919</v>
      </c>
      <c r="H78" s="554">
        <v>0.12277866149577552</v>
      </c>
      <c r="I78" s="555">
        <v>1.6144255857412013</v>
      </c>
      <c r="J78" s="625">
        <v>0.13697376127442945</v>
      </c>
      <c r="K78" s="626">
        <v>1.4437617465028647</v>
      </c>
    </row>
    <row r="79" spans="1:11">
      <c r="A79" s="86" t="s">
        <v>1031</v>
      </c>
      <c r="B79" s="80">
        <v>7.6436109857695958E-2</v>
      </c>
      <c r="C79" s="114">
        <v>0.9452819923129574</v>
      </c>
      <c r="D79" s="80">
        <v>6.7178037644207739E-2</v>
      </c>
      <c r="E79" s="553">
        <v>0.77603168432771685</v>
      </c>
      <c r="F79" s="554">
        <v>7.984207063684301E-2</v>
      </c>
      <c r="G79" s="555">
        <v>0.69094395011520215</v>
      </c>
      <c r="H79" s="554">
        <v>6.2644857809242283E-2</v>
      </c>
      <c r="I79" s="555">
        <v>0.73008659019593591</v>
      </c>
      <c r="J79" s="625">
        <v>8.3871486479229929E-2</v>
      </c>
      <c r="K79" s="626">
        <v>0.66282973364780484</v>
      </c>
    </row>
    <row r="80" spans="1:11">
      <c r="A80" s="89" t="s">
        <v>1032</v>
      </c>
      <c r="B80" s="80">
        <v>7.6620065046968222E-2</v>
      </c>
      <c r="C80" s="114">
        <v>0.94802316809125886</v>
      </c>
      <c r="D80" s="80">
        <v>9.1458182266666868E-2</v>
      </c>
      <c r="E80" s="553">
        <v>1.1378379731094754</v>
      </c>
      <c r="F80" s="554">
        <v>0.11178949549289673</v>
      </c>
      <c r="G80" s="555">
        <v>1.2287793854023017</v>
      </c>
      <c r="H80" s="554">
        <v>9.7564213393916105E-2</v>
      </c>
      <c r="I80" s="555">
        <v>1.2436171828026032</v>
      </c>
      <c r="J80" s="625">
        <v>0.12124062435498502</v>
      </c>
      <c r="K80" s="626">
        <v>1.2123872841015533</v>
      </c>
    </row>
    <row r="81" spans="1:11">
      <c r="A81" s="86" t="s">
        <v>1046</v>
      </c>
      <c r="B81" s="80">
        <v>7.6908604397803768E-2</v>
      </c>
      <c r="C81" s="114">
        <v>0.95232278629026823</v>
      </c>
      <c r="D81" s="80">
        <v>9.471454299136553E-2</v>
      </c>
      <c r="E81" s="553">
        <v>1.1863620575849894</v>
      </c>
      <c r="F81" s="554">
        <v>0.1162201710220498</v>
      </c>
      <c r="G81" s="555">
        <v>1.3033698825260909</v>
      </c>
      <c r="H81" s="554">
        <v>0.10249760835069638</v>
      </c>
      <c r="I81" s="555">
        <v>1.3161686143310263</v>
      </c>
      <c r="J81" s="625">
        <v>0.11242416660137522</v>
      </c>
      <c r="K81" s="626">
        <v>1.0827308027863589</v>
      </c>
    </row>
    <row r="82" spans="1:11">
      <c r="A82" s="89" t="s">
        <v>81</v>
      </c>
      <c r="B82" s="80">
        <v>7.6926822419991769E-2</v>
      </c>
      <c r="C82" s="114">
        <v>0.95259425893177352</v>
      </c>
      <c r="D82" s="80">
        <v>7.8926150962997058E-2</v>
      </c>
      <c r="E82" s="553">
        <v>0.95109412098746238</v>
      </c>
      <c r="F82" s="554">
        <v>0.11739878372350385</v>
      </c>
      <c r="G82" s="555">
        <v>1.3232118471970344</v>
      </c>
      <c r="H82" s="554">
        <v>0.10615182116348586</v>
      </c>
      <c r="I82" s="555">
        <v>1.3699081533300299</v>
      </c>
      <c r="J82" s="625">
        <v>0.13963144953764642</v>
      </c>
      <c r="K82" s="626">
        <v>1.4828462085704466</v>
      </c>
    </row>
    <row r="83" spans="1:11">
      <c r="A83" s="86" t="s">
        <v>1033</v>
      </c>
      <c r="B83" s="80">
        <v>7.6997372969687408E-2</v>
      </c>
      <c r="C83" s="114">
        <v>0.95364555549337959</v>
      </c>
      <c r="D83" s="80">
        <v>8.8652522465242883E-2</v>
      </c>
      <c r="E83" s="553">
        <v>1.0960299288773827</v>
      </c>
      <c r="F83" s="554">
        <v>0.11886132472095941</v>
      </c>
      <c r="G83" s="555">
        <v>1.347833749511101</v>
      </c>
      <c r="H83" s="554">
        <v>0.10638344053243548</v>
      </c>
      <c r="I83" s="555">
        <v>1.3733143912116959</v>
      </c>
      <c r="J83" s="625">
        <v>0.12287590151112215</v>
      </c>
      <c r="K83" s="626">
        <v>1.2364359766677993</v>
      </c>
    </row>
    <row r="84" spans="1:11">
      <c r="A84" s="89" t="s">
        <v>1034</v>
      </c>
      <c r="B84" s="80">
        <v>7.7214537310785925E-2</v>
      </c>
      <c r="C84" s="114">
        <v>0.95688159158502273</v>
      </c>
      <c r="D84" s="80">
        <v>7.6428623587278074E-2</v>
      </c>
      <c r="E84" s="553">
        <v>0.9138776577006712</v>
      </c>
      <c r="F84" s="554">
        <v>0.10294434456661017</v>
      </c>
      <c r="G84" s="555">
        <v>1.0798711206500029</v>
      </c>
      <c r="H84" s="554">
        <v>8.816657390715682E-2</v>
      </c>
      <c r="I84" s="555">
        <v>1.1054137339148624</v>
      </c>
      <c r="J84" s="625">
        <v>0.10532157866712322</v>
      </c>
      <c r="K84" s="626">
        <v>0.97827881248335802</v>
      </c>
    </row>
    <row r="85" spans="1:11">
      <c r="A85" s="86" t="s">
        <v>1035</v>
      </c>
      <c r="B85" s="80">
        <v>7.8401676011828944E-2</v>
      </c>
      <c r="C85" s="114">
        <v>0.97457152936637637</v>
      </c>
      <c r="D85" s="80">
        <v>5.6294611151429398E-2</v>
      </c>
      <c r="E85" s="553">
        <v>0.61385422575776927</v>
      </c>
      <c r="F85" s="554">
        <v>7.6449234325565607E-2</v>
      </c>
      <c r="G85" s="555">
        <v>0.63382549369639052</v>
      </c>
      <c r="H85" s="554">
        <v>6.0092567062700115E-2</v>
      </c>
      <c r="I85" s="555">
        <v>0.69255212377664233</v>
      </c>
      <c r="J85" s="625">
        <v>8.871799621851173E-2</v>
      </c>
      <c r="K85" s="626">
        <v>0.73410341487174258</v>
      </c>
    </row>
    <row r="86" spans="1:11">
      <c r="A86" s="89" t="s">
        <v>1036</v>
      </c>
      <c r="B86" s="80">
        <v>8.0137782434119176E-2</v>
      </c>
      <c r="C86" s="114">
        <v>1.0004418127335513</v>
      </c>
      <c r="D86" s="80">
        <v>8.343207015512899E-2</v>
      </c>
      <c r="E86" s="553">
        <v>1.0182382803738836</v>
      </c>
      <c r="F86" s="554">
        <v>0.1046672005010449</v>
      </c>
      <c r="G86" s="555">
        <v>1.1088754293105203</v>
      </c>
      <c r="H86" s="554">
        <v>9.0097604974981982E-2</v>
      </c>
      <c r="I86" s="555">
        <v>1.1338118389771843</v>
      </c>
      <c r="J86" s="625">
        <v>0.1064790296636506</v>
      </c>
      <c r="K86" s="626">
        <v>0.99530050392662051</v>
      </c>
    </row>
    <row r="87" spans="1:11">
      <c r="A87" s="86" t="s">
        <v>1037</v>
      </c>
      <c r="B87" s="80">
        <v>8.0779949665530773E-2</v>
      </c>
      <c r="C87" s="114">
        <v>1.0100109543670559</v>
      </c>
      <c r="D87" s="80">
        <v>4.7850985668428825E-2</v>
      </c>
      <c r="E87" s="553">
        <v>0.48803303122329822</v>
      </c>
      <c r="F87" s="554">
        <v>6.3752896822851998E-2</v>
      </c>
      <c r="G87" s="555">
        <v>0.4200824380951515</v>
      </c>
      <c r="H87" s="554">
        <v>4.4862320816807529E-2</v>
      </c>
      <c r="I87" s="555">
        <v>0.46857326594137833</v>
      </c>
      <c r="J87" s="625">
        <v>6.6342280569999357E-2</v>
      </c>
      <c r="K87" s="626">
        <v>0.40504194381693043</v>
      </c>
    </row>
    <row r="88" spans="1:11">
      <c r="A88" s="89" t="s">
        <v>1038</v>
      </c>
      <c r="B88" s="80">
        <v>8.0852284240830324E-2</v>
      </c>
      <c r="C88" s="114">
        <v>1.0110888352712548</v>
      </c>
      <c r="D88" s="80">
        <v>7.1359984478134741E-2</v>
      </c>
      <c r="E88" s="553">
        <v>0.83834822681100096</v>
      </c>
      <c r="F88" s="554">
        <v>0.13644737902796641</v>
      </c>
      <c r="G88" s="555">
        <v>1.6438952698310842</v>
      </c>
      <c r="H88" s="554">
        <v>0.12823757368637542</v>
      </c>
      <c r="I88" s="555">
        <v>1.6947053722747454</v>
      </c>
      <c r="J88" s="625">
        <v>0.10472447598463419</v>
      </c>
      <c r="K88" s="626">
        <v>0.96949770844373462</v>
      </c>
    </row>
    <row r="89" spans="1:11">
      <c r="A89" s="86" t="s">
        <v>1039</v>
      </c>
      <c r="B89" s="80">
        <v>8.1565998631642905E-2</v>
      </c>
      <c r="C89" s="114">
        <v>1.0217241242699526</v>
      </c>
      <c r="D89" s="80">
        <v>6.0584854255861631E-2</v>
      </c>
      <c r="E89" s="553">
        <v>0.67778452599784023</v>
      </c>
      <c r="F89" s="554">
        <v>8.922001267882522E-2</v>
      </c>
      <c r="G89" s="555">
        <v>0.84882176226978479</v>
      </c>
      <c r="H89" s="554">
        <v>7.1920034025976562E-2</v>
      </c>
      <c r="I89" s="555">
        <v>0.8664890712658142</v>
      </c>
      <c r="J89" s="625">
        <v>0.107160762841012</v>
      </c>
      <c r="K89" s="626">
        <v>1.0053261998969001</v>
      </c>
    </row>
    <row r="90" spans="1:11">
      <c r="A90" s="89" t="s">
        <v>1040</v>
      </c>
      <c r="B90" s="80">
        <v>8.5428671458676428E-2</v>
      </c>
      <c r="C90" s="114">
        <v>1.0792830615027407</v>
      </c>
      <c r="D90" s="80">
        <v>5.800815918079652E-2</v>
      </c>
      <c r="E90" s="553">
        <v>0.6393883592151598</v>
      </c>
      <c r="F90" s="554">
        <v>9.2342305214036552E-2</v>
      </c>
      <c r="G90" s="555">
        <v>0.9013856096639149</v>
      </c>
      <c r="H90" s="554">
        <v>7.5469468709776277E-2</v>
      </c>
      <c r="I90" s="555">
        <v>0.91868772344799632</v>
      </c>
      <c r="J90" s="625">
        <v>9.6392297936483878E-2</v>
      </c>
      <c r="K90" s="626">
        <v>0.84696313530719947</v>
      </c>
    </row>
    <row r="91" spans="1:11">
      <c r="A91" s="86" t="s">
        <v>1041</v>
      </c>
      <c r="B91" s="80">
        <v>8.7059392882268258E-2</v>
      </c>
      <c r="C91" s="114">
        <v>1.103582968916015</v>
      </c>
      <c r="D91" s="80">
        <v>9.6119621954197793E-2</v>
      </c>
      <c r="E91" s="553">
        <v>1.2072995937031812</v>
      </c>
      <c r="F91" s="554">
        <v>0.10558796687813402</v>
      </c>
      <c r="G91" s="555">
        <v>1.1243765467699329</v>
      </c>
      <c r="H91" s="554">
        <v>9.2035719256316692E-2</v>
      </c>
      <c r="I91" s="555">
        <v>1.1623141111058857</v>
      </c>
      <c r="J91" s="625">
        <v>0.10672633397570705</v>
      </c>
      <c r="K91" s="626">
        <v>0.99893740752344029</v>
      </c>
    </row>
    <row r="92" spans="1:11">
      <c r="A92" s="89" t="s">
        <v>1042</v>
      </c>
      <c r="B92" s="80">
        <v>8.7249003919869214E-2</v>
      </c>
      <c r="C92" s="114">
        <v>1.1064084243197281</v>
      </c>
      <c r="D92" s="80">
        <v>5.485777972125238E-2</v>
      </c>
      <c r="E92" s="553">
        <v>0.59244353585288012</v>
      </c>
      <c r="F92" s="554">
        <v>6.1751030893634776E-2</v>
      </c>
      <c r="G92" s="555">
        <v>0.38638099147533289</v>
      </c>
      <c r="H92" s="554">
        <v>4.0750585742111337E-2</v>
      </c>
      <c r="I92" s="555">
        <v>0.40810531874715528</v>
      </c>
      <c r="J92" s="625">
        <v>6.2921173200539735E-2</v>
      </c>
      <c r="K92" s="626">
        <v>0.35473049718815236</v>
      </c>
    </row>
    <row r="93" spans="1:11">
      <c r="A93" s="86" t="s">
        <v>1043</v>
      </c>
      <c r="B93" s="80">
        <v>8.7381329625021986E-2</v>
      </c>
      <c r="C93" s="114">
        <v>1.1083802524548647</v>
      </c>
      <c r="D93" s="80">
        <v>5.6163800300053919E-2</v>
      </c>
      <c r="E93" s="553">
        <v>0.61190497094876928</v>
      </c>
      <c r="F93" s="554">
        <v>8.7789306838866016E-2</v>
      </c>
      <c r="G93" s="555">
        <v>0.82473580536811475</v>
      </c>
      <c r="H93" s="554">
        <v>7.2120467990893722E-2</v>
      </c>
      <c r="I93" s="555">
        <v>0.86943669074673013</v>
      </c>
      <c r="J93" s="625">
        <v>7.3937099209824164E-2</v>
      </c>
      <c r="K93" s="626">
        <v>0.51673277119752459</v>
      </c>
    </row>
    <row r="94" spans="1:11">
      <c r="A94" s="90" t="s">
        <v>1044</v>
      </c>
      <c r="B94" s="80">
        <v>9.2027175326913943E-2</v>
      </c>
      <c r="C94" s="114">
        <v>1.177609502024465</v>
      </c>
      <c r="D94" s="80">
        <v>7.1931242464054593E-2</v>
      </c>
      <c r="E94" s="553">
        <v>0.84686072684081626</v>
      </c>
      <c r="F94" s="554">
        <v>8.4782022635077586E-2</v>
      </c>
      <c r="G94" s="555">
        <v>0.77410812516965644</v>
      </c>
      <c r="H94" s="554">
        <v>6.9152357293771963E-2</v>
      </c>
      <c r="I94" s="555">
        <v>0.82578709814416473</v>
      </c>
      <c r="J94" s="625">
        <v>8.9249645021566432E-2</v>
      </c>
      <c r="K94" s="626">
        <v>0.74192194188405469</v>
      </c>
    </row>
    <row r="95" spans="1:11">
      <c r="A95" s="91" t="s">
        <v>1045</v>
      </c>
      <c r="B95" s="80">
        <v>0.10458086764866603</v>
      </c>
      <c r="C95" s="114">
        <v>1.3646761319834904</v>
      </c>
      <c r="D95" s="80">
        <v>8.2361549207092974E-2</v>
      </c>
      <c r="E95" s="553">
        <v>1.0022861014517792</v>
      </c>
      <c r="F95" s="554">
        <v>0.10037585351049783</v>
      </c>
      <c r="G95" s="555">
        <v>1.0366305304797614</v>
      </c>
      <c r="H95" s="554">
        <v>8.6380931864462329E-2</v>
      </c>
      <c r="I95" s="555">
        <v>1.0791537471248787</v>
      </c>
      <c r="J95" s="625">
        <v>0.10261363218148431</v>
      </c>
      <c r="K95" s="626">
        <v>0.93845524357054455</v>
      </c>
    </row>
  </sheetData>
  <mergeCells count="5">
    <mergeCell ref="D1:E1"/>
    <mergeCell ref="B1:C1"/>
    <mergeCell ref="F1:G1"/>
    <mergeCell ref="H1:I1"/>
    <mergeCell ref="J1:K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2">
    <tabColor theme="7" tint="0.79998168889431442"/>
  </sheetPr>
  <dimension ref="A1:D98"/>
  <sheetViews>
    <sheetView topLeftCell="A2" workbookViewId="0">
      <selection activeCell="D4" sqref="D4"/>
    </sheetView>
  </sheetViews>
  <sheetFormatPr baseColWidth="10" defaultColWidth="14.44140625" defaultRowHeight="15" customHeight="1"/>
  <cols>
    <col min="2" max="2" width="20" bestFit="1" customWidth="1"/>
  </cols>
  <sheetData>
    <row r="1" spans="1:4" ht="14.4"/>
    <row r="2" spans="1:4" ht="14.4">
      <c r="B2" s="25" t="s">
        <v>292</v>
      </c>
      <c r="C2" s="118" t="s">
        <v>296</v>
      </c>
      <c r="D2" s="118" t="s">
        <v>297</v>
      </c>
    </row>
    <row r="3" spans="1:4" ht="14.4">
      <c r="A3" s="25">
        <v>2021</v>
      </c>
      <c r="B3" s="26">
        <v>6.7108133206343762E-2</v>
      </c>
      <c r="C3" s="119">
        <v>0.11821279118248902</v>
      </c>
      <c r="D3" s="119">
        <v>5.1104657976145267E-2</v>
      </c>
    </row>
    <row r="4" spans="1:4" ht="14.4">
      <c r="A4" s="25">
        <v>2022</v>
      </c>
      <c r="B4" s="26">
        <v>6.6375604414148914E-2</v>
      </c>
      <c r="C4" s="119">
        <v>0.11506540881685207</v>
      </c>
      <c r="D4" s="119">
        <v>4.8689804402703145E-2</v>
      </c>
    </row>
    <row r="5" spans="1:4" ht="14.4">
      <c r="A5" s="25">
        <v>2023</v>
      </c>
      <c r="B5" s="616">
        <v>6.7998588764544926E-2</v>
      </c>
      <c r="C5" s="617">
        <v>0.11658544136618716</v>
      </c>
      <c r="D5" s="617">
        <v>4.8586852601642243E-2</v>
      </c>
    </row>
    <row r="6" spans="1:4" ht="14.4">
      <c r="A6" s="25">
        <v>2024</v>
      </c>
      <c r="B6" s="616">
        <v>6.6379626541013814E-2</v>
      </c>
      <c r="C6" s="617">
        <v>0.11506949864372598</v>
      </c>
      <c r="D6" s="617">
        <v>4.868987210271216E-2</v>
      </c>
    </row>
    <row r="7" spans="1:4" ht="14.4"/>
    <row r="8" spans="1:4" ht="14.4"/>
    <row r="9" spans="1:4" ht="14.4"/>
    <row r="10" spans="1:4" ht="14.4"/>
    <row r="11" spans="1:4" ht="14.4"/>
    <row r="12" spans="1:4" ht="14.4"/>
    <row r="13" spans="1:4" ht="14.4"/>
    <row r="14" spans="1:4" ht="14.4"/>
    <row r="15" spans="1:4" ht="14.4"/>
    <row r="16" spans="1:4" ht="14.4"/>
    <row r="17" ht="14.4"/>
    <row r="18" ht="14.4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5">
    <tabColor theme="7" tint="0.79998168889431442"/>
  </sheetPr>
  <dimension ref="A1:L184"/>
  <sheetViews>
    <sheetView workbookViewId="0">
      <selection activeCell="L2" sqref="L2:L173"/>
    </sheetView>
  </sheetViews>
  <sheetFormatPr baseColWidth="10" defaultColWidth="11.44140625" defaultRowHeight="14.4"/>
  <cols>
    <col min="1" max="1" width="30.5546875" bestFit="1" customWidth="1"/>
  </cols>
  <sheetData>
    <row r="1" spans="1:12">
      <c r="A1" s="33" t="s">
        <v>94</v>
      </c>
      <c r="B1" s="33" t="s">
        <v>95</v>
      </c>
      <c r="C1" s="33" t="s">
        <v>96</v>
      </c>
      <c r="D1" s="33" t="s">
        <v>97</v>
      </c>
      <c r="E1" s="546" t="s">
        <v>98</v>
      </c>
      <c r="F1" s="546" t="s">
        <v>99</v>
      </c>
      <c r="G1" s="546" t="s">
        <v>100</v>
      </c>
      <c r="H1" s="546">
        <v>2021</v>
      </c>
      <c r="I1" s="546">
        <v>2022</v>
      </c>
      <c r="J1" s="546">
        <v>2023</v>
      </c>
      <c r="K1" s="546">
        <v>2024</v>
      </c>
      <c r="L1" s="546">
        <v>2025</v>
      </c>
    </row>
    <row r="2" spans="1:12" ht="15.6">
      <c r="A2" s="34" t="s">
        <v>101</v>
      </c>
      <c r="B2" s="35">
        <v>0.2</v>
      </c>
      <c r="C2" s="35">
        <v>0.2</v>
      </c>
      <c r="D2" s="35">
        <v>0.2</v>
      </c>
      <c r="E2" s="547">
        <v>0.2</v>
      </c>
      <c r="F2" s="547">
        <v>0.2</v>
      </c>
      <c r="G2" s="547">
        <v>0.2</v>
      </c>
      <c r="H2" s="547">
        <v>0.2</v>
      </c>
      <c r="I2" s="548">
        <v>0.2</v>
      </c>
      <c r="J2" s="627">
        <v>0.2</v>
      </c>
      <c r="K2" s="627">
        <v>0.2</v>
      </c>
      <c r="L2" s="627">
        <v>0.2</v>
      </c>
    </row>
    <row r="3" spans="1:12" ht="15.6">
      <c r="A3" s="34" t="s">
        <v>102</v>
      </c>
      <c r="B3" s="35">
        <v>0.15</v>
      </c>
      <c r="C3" s="35">
        <v>0.15</v>
      </c>
      <c r="D3" s="35">
        <v>0.15</v>
      </c>
      <c r="E3" s="544">
        <v>0.15</v>
      </c>
      <c r="F3" s="544">
        <v>0.15</v>
      </c>
      <c r="G3" s="544">
        <v>0.15</v>
      </c>
      <c r="H3" s="544">
        <v>0.15</v>
      </c>
      <c r="I3" s="545">
        <v>0.15</v>
      </c>
      <c r="J3" s="627">
        <v>0.15</v>
      </c>
      <c r="K3" s="627">
        <v>0.15</v>
      </c>
      <c r="L3" s="627">
        <v>0.15</v>
      </c>
    </row>
    <row r="4" spans="1:12" ht="15.6">
      <c r="A4" s="34" t="s">
        <v>103</v>
      </c>
      <c r="B4" s="35">
        <v>0.26</v>
      </c>
      <c r="C4" s="35">
        <v>0.26</v>
      </c>
      <c r="D4" s="35">
        <v>0.26</v>
      </c>
      <c r="E4" s="544">
        <v>0.26</v>
      </c>
      <c r="F4" s="544">
        <v>0.26</v>
      </c>
      <c r="G4" s="544">
        <v>0.26</v>
      </c>
      <c r="H4" s="544">
        <v>0.26</v>
      </c>
      <c r="I4" s="545">
        <v>0.26</v>
      </c>
      <c r="J4" s="627">
        <v>0.26</v>
      </c>
      <c r="K4" s="627">
        <v>0.26</v>
      </c>
      <c r="L4" s="627">
        <v>0.26</v>
      </c>
    </row>
    <row r="5" spans="1:12" ht="15.6">
      <c r="A5" s="34" t="s">
        <v>104</v>
      </c>
      <c r="B5" s="35">
        <v>0</v>
      </c>
      <c r="C5" s="35">
        <v>0</v>
      </c>
      <c r="D5" s="35">
        <v>0.1</v>
      </c>
      <c r="E5" s="544">
        <v>0.1</v>
      </c>
      <c r="F5" s="544">
        <v>0.1</v>
      </c>
      <c r="G5" s="544">
        <v>0.1</v>
      </c>
      <c r="H5" s="544">
        <v>0.1</v>
      </c>
      <c r="I5" s="545">
        <v>0.1</v>
      </c>
      <c r="J5" s="627">
        <v>0.1</v>
      </c>
      <c r="K5" s="627">
        <v>0.1</v>
      </c>
      <c r="L5" s="627">
        <v>0.1</v>
      </c>
    </row>
    <row r="6" spans="1:12" ht="15.6">
      <c r="A6" s="34" t="s">
        <v>105</v>
      </c>
      <c r="B6" s="35">
        <v>0.3</v>
      </c>
      <c r="C6" s="35">
        <v>0.3</v>
      </c>
      <c r="D6" s="35">
        <v>0.3</v>
      </c>
      <c r="E6" s="544">
        <v>0.3</v>
      </c>
      <c r="F6" s="544">
        <v>0.3</v>
      </c>
      <c r="G6" s="544">
        <v>0.3</v>
      </c>
      <c r="H6" s="544">
        <v>0.25</v>
      </c>
      <c r="I6" s="545">
        <v>0.25</v>
      </c>
      <c r="J6" s="627">
        <v>0.25</v>
      </c>
      <c r="K6" s="627">
        <v>0.25</v>
      </c>
      <c r="L6" s="627">
        <v>0.25</v>
      </c>
    </row>
    <row r="7" spans="1:12" ht="15.6">
      <c r="A7" s="34" t="s">
        <v>106</v>
      </c>
      <c r="B7" s="35">
        <v>0</v>
      </c>
      <c r="C7" s="35">
        <v>0</v>
      </c>
      <c r="D7" s="35">
        <v>0</v>
      </c>
      <c r="E7" s="544">
        <v>0</v>
      </c>
      <c r="F7" s="544">
        <v>0</v>
      </c>
      <c r="G7" s="544">
        <v>0</v>
      </c>
      <c r="H7" s="544">
        <v>0</v>
      </c>
      <c r="I7" s="545">
        <v>0</v>
      </c>
      <c r="J7" s="627">
        <v>0</v>
      </c>
      <c r="K7" s="627">
        <v>0</v>
      </c>
      <c r="L7" s="627">
        <v>0</v>
      </c>
    </row>
    <row r="8" spans="1:12" ht="15.6">
      <c r="A8" s="34" t="s">
        <v>107</v>
      </c>
      <c r="B8" s="35">
        <v>0</v>
      </c>
      <c r="C8" s="35">
        <v>0</v>
      </c>
      <c r="D8" s="35">
        <v>0.25</v>
      </c>
      <c r="E8" s="544">
        <v>0.25</v>
      </c>
      <c r="F8" s="544">
        <v>0.25</v>
      </c>
      <c r="G8" s="544">
        <v>0.25</v>
      </c>
      <c r="H8" s="544">
        <v>0.25</v>
      </c>
      <c r="I8" s="545">
        <v>0.25</v>
      </c>
      <c r="J8" s="627">
        <v>0.25</v>
      </c>
      <c r="K8" s="627">
        <v>0.25</v>
      </c>
      <c r="L8" s="627">
        <v>0.25</v>
      </c>
    </row>
    <row r="9" spans="1:12" ht="15.6">
      <c r="A9" s="34" t="s">
        <v>87</v>
      </c>
      <c r="B9" s="35">
        <v>0.35</v>
      </c>
      <c r="C9" s="35">
        <v>0.35</v>
      </c>
      <c r="D9" s="35">
        <v>0.35</v>
      </c>
      <c r="E9" s="544">
        <v>0.3</v>
      </c>
      <c r="F9" s="544">
        <v>0.3</v>
      </c>
      <c r="G9" s="544">
        <v>0.3</v>
      </c>
      <c r="H9" s="544">
        <v>0.25</v>
      </c>
      <c r="I9" s="545">
        <v>0.35</v>
      </c>
      <c r="J9" s="627">
        <v>0.35</v>
      </c>
      <c r="K9" s="627">
        <v>0.35</v>
      </c>
      <c r="L9" s="627">
        <v>0.35</v>
      </c>
    </row>
    <row r="10" spans="1:12" ht="15.6">
      <c r="A10" s="34" t="s">
        <v>108</v>
      </c>
      <c r="B10" s="35">
        <v>0.2</v>
      </c>
      <c r="C10" s="35">
        <v>0.2</v>
      </c>
      <c r="D10" s="35">
        <v>0.2</v>
      </c>
      <c r="E10" s="544">
        <v>0.2</v>
      </c>
      <c r="F10" s="544">
        <v>0.2</v>
      </c>
      <c r="G10" s="544">
        <v>0.18</v>
      </c>
      <c r="H10" s="544">
        <v>0.18</v>
      </c>
      <c r="I10" s="545">
        <v>0.18</v>
      </c>
      <c r="J10" s="627">
        <v>0.18</v>
      </c>
      <c r="K10" s="627">
        <v>0.18</v>
      </c>
      <c r="L10" s="627">
        <v>0.18</v>
      </c>
    </row>
    <row r="11" spans="1:12" ht="15.6">
      <c r="A11" s="34" t="s">
        <v>109</v>
      </c>
      <c r="B11" s="35">
        <v>0.25</v>
      </c>
      <c r="C11" s="35">
        <v>0.25</v>
      </c>
      <c r="D11" s="35">
        <v>0.25</v>
      </c>
      <c r="E11" s="544">
        <v>0.25</v>
      </c>
      <c r="F11" s="544">
        <v>0.25</v>
      </c>
      <c r="G11" s="544">
        <v>0.25</v>
      </c>
      <c r="H11" s="544">
        <v>0.25</v>
      </c>
      <c r="I11" s="545">
        <v>0.25</v>
      </c>
      <c r="J11" s="627">
        <v>0.25</v>
      </c>
      <c r="K11" s="627">
        <v>0.22</v>
      </c>
      <c r="L11" s="627">
        <v>0.22</v>
      </c>
    </row>
    <row r="12" spans="1:12" ht="15.6">
      <c r="A12" s="34" t="s">
        <v>110</v>
      </c>
      <c r="B12" s="35">
        <v>0.3</v>
      </c>
      <c r="C12" s="35">
        <v>0.3</v>
      </c>
      <c r="D12" s="35">
        <v>0.3</v>
      </c>
      <c r="E12" s="544">
        <v>0.3</v>
      </c>
      <c r="F12" s="544">
        <v>0.3</v>
      </c>
      <c r="G12" s="544">
        <v>0.3</v>
      </c>
      <c r="H12" s="544">
        <v>0.3</v>
      </c>
      <c r="I12" s="545">
        <v>0.3</v>
      </c>
      <c r="J12" s="627">
        <v>0.3</v>
      </c>
      <c r="K12" s="627">
        <v>0.3</v>
      </c>
      <c r="L12" s="627">
        <v>0.3</v>
      </c>
    </row>
    <row r="13" spans="1:12" ht="15.6">
      <c r="A13" s="34" t="s">
        <v>111</v>
      </c>
      <c r="B13" s="35">
        <v>0.25</v>
      </c>
      <c r="C13" s="35">
        <v>0.25</v>
      </c>
      <c r="D13" s="35">
        <v>0.25</v>
      </c>
      <c r="E13" s="544">
        <v>0.25</v>
      </c>
      <c r="F13" s="544">
        <v>0.25</v>
      </c>
      <c r="G13" s="544">
        <v>0.25</v>
      </c>
      <c r="H13" s="544">
        <v>0.25</v>
      </c>
      <c r="I13" s="545">
        <v>0.25</v>
      </c>
      <c r="J13" s="627">
        <v>0.24</v>
      </c>
      <c r="K13" s="627">
        <v>0.24</v>
      </c>
      <c r="L13" s="627">
        <v>0.24</v>
      </c>
    </row>
    <row r="14" spans="1:12" ht="15.6">
      <c r="A14" s="34" t="s">
        <v>112</v>
      </c>
      <c r="B14" s="35">
        <v>0</v>
      </c>
      <c r="C14" s="35">
        <v>0</v>
      </c>
      <c r="D14" s="35">
        <v>0.2</v>
      </c>
      <c r="E14" s="544">
        <v>0.2</v>
      </c>
      <c r="F14" s="544">
        <v>0.2</v>
      </c>
      <c r="G14" s="544">
        <v>0.2</v>
      </c>
      <c r="H14" s="544">
        <v>0.2</v>
      </c>
      <c r="I14" s="545">
        <v>0.2</v>
      </c>
      <c r="J14" s="627">
        <v>0.2</v>
      </c>
      <c r="K14" s="627">
        <v>0.2</v>
      </c>
      <c r="L14" s="627">
        <v>0.2</v>
      </c>
    </row>
    <row r="15" spans="1:12" ht="15.6">
      <c r="A15" s="34" t="s">
        <v>113</v>
      </c>
      <c r="B15" s="35">
        <v>0</v>
      </c>
      <c r="C15" s="35">
        <v>0</v>
      </c>
      <c r="D15" s="35">
        <v>0</v>
      </c>
      <c r="E15" s="544">
        <v>0</v>
      </c>
      <c r="F15" s="544">
        <v>0</v>
      </c>
      <c r="G15" s="544">
        <v>0</v>
      </c>
      <c r="H15" s="544">
        <v>0</v>
      </c>
      <c r="I15" s="545">
        <v>0</v>
      </c>
      <c r="J15" s="627">
        <v>0</v>
      </c>
      <c r="K15" s="627">
        <v>0</v>
      </c>
      <c r="L15" s="627">
        <v>0</v>
      </c>
    </row>
    <row r="16" spans="1:12" ht="15.6">
      <c r="A16" s="34" t="s">
        <v>114</v>
      </c>
      <c r="B16" s="35">
        <v>0</v>
      </c>
      <c r="C16" s="35" t="e">
        <v>#N/A</v>
      </c>
      <c r="D16" s="35">
        <v>0</v>
      </c>
      <c r="E16" s="544">
        <v>0</v>
      </c>
      <c r="F16" s="544">
        <v>0</v>
      </c>
      <c r="G16" s="544">
        <v>0</v>
      </c>
      <c r="H16" s="544">
        <v>0</v>
      </c>
      <c r="I16" s="545">
        <v>0</v>
      </c>
      <c r="J16" s="627">
        <v>0</v>
      </c>
      <c r="K16" s="627">
        <v>0</v>
      </c>
      <c r="L16" s="627">
        <v>0</v>
      </c>
    </row>
    <row r="17" spans="1:12" ht="15.6">
      <c r="A17" s="34" t="s">
        <v>115</v>
      </c>
      <c r="B17" s="35">
        <v>0.25</v>
      </c>
      <c r="C17" s="35">
        <v>0.25</v>
      </c>
      <c r="D17" s="35">
        <v>0.25</v>
      </c>
      <c r="E17" s="544">
        <v>0.25</v>
      </c>
      <c r="F17" s="544">
        <v>0.25</v>
      </c>
      <c r="G17" s="544">
        <v>0.25</v>
      </c>
      <c r="H17" s="544">
        <v>0.32500000000000001</v>
      </c>
      <c r="I17" s="545">
        <v>0.32500000000000001</v>
      </c>
      <c r="J17" s="627">
        <v>0.32500000000000001</v>
      </c>
      <c r="K17" s="627">
        <v>0.27500000000000002</v>
      </c>
      <c r="L17" s="627">
        <v>0.27500000000000002</v>
      </c>
    </row>
    <row r="18" spans="1:12" ht="15.6">
      <c r="A18" s="34" t="s">
        <v>116</v>
      </c>
      <c r="B18" s="35">
        <v>0.25</v>
      </c>
      <c r="C18" s="35">
        <v>0.25</v>
      </c>
      <c r="D18" s="35">
        <v>0.25</v>
      </c>
      <c r="E18" s="544">
        <v>0.3</v>
      </c>
      <c r="F18" s="544">
        <v>5.5E-2</v>
      </c>
      <c r="G18" s="544">
        <v>5.5E-2</v>
      </c>
      <c r="H18" s="544">
        <v>5.5E-2</v>
      </c>
      <c r="I18" s="545">
        <v>5.5E-2</v>
      </c>
      <c r="J18" s="627">
        <v>5.5E-2</v>
      </c>
      <c r="K18" s="627">
        <v>5.5E-2</v>
      </c>
      <c r="L18" s="627">
        <v>5.5E-2</v>
      </c>
    </row>
    <row r="19" spans="1:12" ht="15.6">
      <c r="A19" s="34" t="s">
        <v>117</v>
      </c>
      <c r="B19" s="35">
        <v>0.18</v>
      </c>
      <c r="C19" s="35">
        <v>0.18</v>
      </c>
      <c r="D19" s="35">
        <v>0.18</v>
      </c>
      <c r="E19" s="544">
        <v>0.18</v>
      </c>
      <c r="F19" s="544">
        <v>0.18</v>
      </c>
      <c r="G19" s="544">
        <v>0.18</v>
      </c>
      <c r="H19" s="544">
        <v>0.18</v>
      </c>
      <c r="I19" s="545">
        <v>0.18</v>
      </c>
      <c r="J19" s="627">
        <v>0.18</v>
      </c>
      <c r="K19" s="627">
        <v>0.2</v>
      </c>
      <c r="L19" s="627">
        <v>0.2</v>
      </c>
    </row>
    <row r="20" spans="1:12" ht="15.6">
      <c r="A20" s="34" t="s">
        <v>118</v>
      </c>
      <c r="B20" s="35">
        <v>0.33989999999999998</v>
      </c>
      <c r="C20" s="35">
        <v>0.33989999999999998</v>
      </c>
      <c r="D20" s="35">
        <v>0.33989999999999998</v>
      </c>
      <c r="E20" s="544">
        <v>0.28999999999999998</v>
      </c>
      <c r="F20" s="544">
        <v>0.28999999999999998</v>
      </c>
      <c r="G20" s="544">
        <v>0.25</v>
      </c>
      <c r="H20" s="544">
        <v>0.25</v>
      </c>
      <c r="I20" s="545">
        <v>0.25</v>
      </c>
      <c r="J20" s="627">
        <v>0.25</v>
      </c>
      <c r="K20" s="627">
        <v>0.25</v>
      </c>
      <c r="L20" s="627">
        <v>0.25</v>
      </c>
    </row>
    <row r="21" spans="1:12" ht="15.6">
      <c r="A21" s="34" t="s">
        <v>119</v>
      </c>
      <c r="B21" s="35">
        <v>0</v>
      </c>
      <c r="C21" s="35">
        <v>0</v>
      </c>
      <c r="D21" s="35">
        <v>0.3</v>
      </c>
      <c r="E21" s="544">
        <v>0.3</v>
      </c>
      <c r="F21" s="544">
        <v>0.3</v>
      </c>
      <c r="G21" s="544">
        <v>0.3</v>
      </c>
      <c r="H21" s="544">
        <v>0.3</v>
      </c>
      <c r="I21" s="545">
        <v>0.3</v>
      </c>
      <c r="J21" s="627">
        <v>0.3</v>
      </c>
      <c r="K21" s="627">
        <v>0.3</v>
      </c>
      <c r="L21" s="627">
        <v>0.3</v>
      </c>
    </row>
    <row r="22" spans="1:12" ht="15.6">
      <c r="A22" s="34" t="s">
        <v>120</v>
      </c>
      <c r="B22" s="35">
        <v>0</v>
      </c>
      <c r="C22" s="35">
        <v>0</v>
      </c>
      <c r="D22" s="35">
        <v>0</v>
      </c>
      <c r="E22" s="544">
        <v>0</v>
      </c>
      <c r="F22" s="544">
        <v>0</v>
      </c>
      <c r="G22" s="544">
        <v>0</v>
      </c>
      <c r="H22" s="544">
        <v>0</v>
      </c>
      <c r="I22" s="545">
        <v>0</v>
      </c>
      <c r="J22" s="627">
        <v>0</v>
      </c>
      <c r="K22" s="627">
        <v>0</v>
      </c>
      <c r="L22" s="627">
        <v>0</v>
      </c>
    </row>
    <row r="23" spans="1:12" ht="15.6">
      <c r="A23" s="34" t="s">
        <v>121</v>
      </c>
      <c r="B23" s="35">
        <v>0.25</v>
      </c>
      <c r="C23" s="35">
        <v>0.25</v>
      </c>
      <c r="D23" s="35">
        <v>0.25</v>
      </c>
      <c r="E23" s="544">
        <v>0.25</v>
      </c>
      <c r="F23" s="544">
        <v>0.25</v>
      </c>
      <c r="G23" s="544">
        <v>0.25</v>
      </c>
      <c r="H23" s="544">
        <v>0.25</v>
      </c>
      <c r="I23" s="545">
        <v>0.25</v>
      </c>
      <c r="J23" s="627">
        <v>0.25</v>
      </c>
      <c r="K23" s="627">
        <v>0.25</v>
      </c>
      <c r="L23" s="627">
        <v>0.25</v>
      </c>
    </row>
    <row r="24" spans="1:12" ht="15.6">
      <c r="A24" s="34" t="s">
        <v>122</v>
      </c>
      <c r="B24" s="35">
        <v>0</v>
      </c>
      <c r="C24" s="35">
        <v>0</v>
      </c>
      <c r="D24" s="35">
        <v>0.25</v>
      </c>
      <c r="E24" s="544">
        <v>0.25</v>
      </c>
      <c r="F24" s="544">
        <v>0.25</v>
      </c>
      <c r="G24" s="544">
        <v>0.25</v>
      </c>
      <c r="H24" s="544">
        <v>0.25</v>
      </c>
      <c r="I24" s="545">
        <v>0.25</v>
      </c>
      <c r="J24" s="627">
        <v>0.25</v>
      </c>
      <c r="K24" s="627">
        <v>0.25800000000000001</v>
      </c>
      <c r="L24" s="627">
        <v>0.25800000000000001</v>
      </c>
    </row>
    <row r="25" spans="1:12" ht="15.6">
      <c r="A25" s="34" t="s">
        <v>123</v>
      </c>
      <c r="B25" s="35">
        <v>0.1</v>
      </c>
      <c r="C25" s="35">
        <v>0.1</v>
      </c>
      <c r="D25" s="35">
        <v>0.1</v>
      </c>
      <c r="E25" s="544">
        <v>0.1</v>
      </c>
      <c r="F25" s="544">
        <v>0.1</v>
      </c>
      <c r="G25" s="544">
        <v>0.1</v>
      </c>
      <c r="H25" s="544">
        <v>0.1</v>
      </c>
      <c r="I25" s="545">
        <v>0.1</v>
      </c>
      <c r="J25" s="627">
        <v>0.1</v>
      </c>
      <c r="K25" s="627">
        <v>0.1</v>
      </c>
      <c r="L25" s="627">
        <v>0.1</v>
      </c>
    </row>
    <row r="26" spans="1:12" ht="15.6">
      <c r="A26" s="34" t="s">
        <v>124</v>
      </c>
      <c r="B26" s="35">
        <v>0.22</v>
      </c>
      <c r="C26" s="35">
        <v>0.22</v>
      </c>
      <c r="D26" s="35">
        <v>0.22</v>
      </c>
      <c r="E26" s="544">
        <v>0.22</v>
      </c>
      <c r="F26" s="544">
        <v>0.22</v>
      </c>
      <c r="G26" s="544">
        <v>0.22</v>
      </c>
      <c r="H26" s="544">
        <v>0.22</v>
      </c>
      <c r="I26" s="545">
        <v>0.22</v>
      </c>
      <c r="J26" s="627">
        <v>0.22</v>
      </c>
      <c r="K26" s="627">
        <v>0.22</v>
      </c>
      <c r="L26" s="627">
        <v>0.22</v>
      </c>
    </row>
    <row r="27" spans="1:12" ht="15.6">
      <c r="A27" s="34" t="s">
        <v>88</v>
      </c>
      <c r="B27" s="35">
        <v>0.34</v>
      </c>
      <c r="C27" s="35">
        <v>0.34</v>
      </c>
      <c r="D27" s="35">
        <v>0.34</v>
      </c>
      <c r="E27" s="544">
        <v>0.34</v>
      </c>
      <c r="F27" s="544">
        <v>0.34</v>
      </c>
      <c r="G27" s="544">
        <v>0.34</v>
      </c>
      <c r="H27" s="544">
        <v>0.34</v>
      </c>
      <c r="I27" s="545">
        <v>0.34</v>
      </c>
      <c r="J27" s="627">
        <v>0.34</v>
      </c>
      <c r="K27" s="627">
        <v>0.34</v>
      </c>
      <c r="L27" s="627">
        <v>0.34</v>
      </c>
    </row>
    <row r="28" spans="1:12" ht="15.6">
      <c r="A28" s="34" t="s">
        <v>125</v>
      </c>
      <c r="B28" s="35">
        <v>0</v>
      </c>
      <c r="C28" s="35">
        <v>0</v>
      </c>
      <c r="D28" s="35">
        <v>0.185</v>
      </c>
      <c r="E28" s="544">
        <v>0.185</v>
      </c>
      <c r="F28" s="544">
        <v>0.185</v>
      </c>
      <c r="G28" s="544">
        <v>0.185</v>
      </c>
      <c r="H28" s="544">
        <v>0.185</v>
      </c>
      <c r="I28" s="545">
        <v>0.185</v>
      </c>
      <c r="J28" s="627">
        <v>0.185</v>
      </c>
      <c r="K28" s="627">
        <v>0.185</v>
      </c>
      <c r="L28" s="627">
        <v>0.185</v>
      </c>
    </row>
    <row r="29" spans="1:12" ht="15.6">
      <c r="A29" s="34" t="s">
        <v>126</v>
      </c>
      <c r="B29" s="35">
        <v>0.1</v>
      </c>
      <c r="C29" s="35">
        <v>0.1</v>
      </c>
      <c r="D29" s="35">
        <v>0.1</v>
      </c>
      <c r="E29" s="544">
        <v>0.1</v>
      </c>
      <c r="F29" s="544">
        <v>0.1</v>
      </c>
      <c r="G29" s="544">
        <v>0.1</v>
      </c>
      <c r="H29" s="544">
        <v>0.1</v>
      </c>
      <c r="I29" s="545">
        <v>0.1</v>
      </c>
      <c r="J29" s="627">
        <v>0.1</v>
      </c>
      <c r="K29" s="627">
        <v>0.1</v>
      </c>
      <c r="L29" s="627">
        <v>0.1</v>
      </c>
    </row>
    <row r="30" spans="1:12" ht="15.6">
      <c r="A30" s="34" t="s">
        <v>127</v>
      </c>
      <c r="B30" s="35">
        <v>0</v>
      </c>
      <c r="C30" s="35">
        <v>0</v>
      </c>
      <c r="D30" s="35">
        <v>0.27500000000000002</v>
      </c>
      <c r="E30" s="544">
        <v>0.28000000000000003</v>
      </c>
      <c r="F30" s="544">
        <v>0.28000000000000003</v>
      </c>
      <c r="G30" s="544">
        <v>0.28000000000000003</v>
      </c>
      <c r="H30" s="544">
        <v>0.28000000000000003</v>
      </c>
      <c r="I30" s="545">
        <v>0.28000000000000003</v>
      </c>
      <c r="J30" s="627">
        <v>0.28000000000000003</v>
      </c>
      <c r="K30" s="627">
        <v>0.27500000000000002</v>
      </c>
      <c r="L30" s="627">
        <v>0.27500000000000002</v>
      </c>
    </row>
    <row r="31" spans="1:12" ht="15.6">
      <c r="A31" s="34" t="s">
        <v>128</v>
      </c>
      <c r="B31" s="35">
        <v>0</v>
      </c>
      <c r="C31" s="35">
        <v>0</v>
      </c>
      <c r="D31" s="35">
        <v>0.3</v>
      </c>
      <c r="E31" s="544">
        <v>0.3</v>
      </c>
      <c r="F31" s="544">
        <v>0.3</v>
      </c>
      <c r="G31" s="544">
        <v>0.3</v>
      </c>
      <c r="H31" s="544">
        <v>0.3</v>
      </c>
      <c r="I31" s="545">
        <v>0.3</v>
      </c>
      <c r="J31" s="627">
        <v>0.3</v>
      </c>
      <c r="K31" s="627">
        <v>0.3</v>
      </c>
      <c r="L31" s="627">
        <v>0.3</v>
      </c>
    </row>
    <row r="32" spans="1:12" ht="15.6">
      <c r="A32" s="34" t="s">
        <v>129</v>
      </c>
      <c r="B32" s="35">
        <v>0.2</v>
      </c>
      <c r="C32" s="35">
        <v>0.2</v>
      </c>
      <c r="D32" s="35">
        <v>0.2</v>
      </c>
      <c r="E32" s="544">
        <v>0.2</v>
      </c>
      <c r="F32" s="544">
        <v>0.2</v>
      </c>
      <c r="G32" s="544">
        <v>0.2</v>
      </c>
      <c r="H32" s="544">
        <v>0.2</v>
      </c>
      <c r="I32" s="545">
        <v>0.2</v>
      </c>
      <c r="J32" s="627">
        <v>0.2</v>
      </c>
      <c r="K32" s="627">
        <v>0.2</v>
      </c>
      <c r="L32" s="627">
        <v>0.2</v>
      </c>
    </row>
    <row r="33" spans="1:12" ht="15.6">
      <c r="A33" s="34" t="s">
        <v>130</v>
      </c>
      <c r="B33" s="35">
        <v>0.33</v>
      </c>
      <c r="C33" s="35">
        <v>0.33</v>
      </c>
      <c r="D33" s="35">
        <v>0.33</v>
      </c>
      <c r="E33" s="544">
        <v>0.33</v>
      </c>
      <c r="F33" s="544">
        <v>0.33</v>
      </c>
      <c r="G33" s="544">
        <v>0.33</v>
      </c>
      <c r="H33" s="544">
        <v>0.33</v>
      </c>
      <c r="I33" s="545">
        <v>0.33</v>
      </c>
      <c r="J33" s="627">
        <v>0.33</v>
      </c>
      <c r="K33" s="627">
        <v>0.33</v>
      </c>
      <c r="L33" s="627">
        <v>0.33</v>
      </c>
    </row>
    <row r="34" spans="1:12" ht="15.6">
      <c r="A34" s="34" t="s">
        <v>131</v>
      </c>
      <c r="B34" s="35">
        <v>0.26500000000000001</v>
      </c>
      <c r="C34" s="35">
        <v>0.26500000000000001</v>
      </c>
      <c r="D34" s="35">
        <v>0.26500000000000001</v>
      </c>
      <c r="E34" s="544">
        <v>0.26500000000000001</v>
      </c>
      <c r="F34" s="544">
        <v>0.26500000000000001</v>
      </c>
      <c r="G34" s="544">
        <v>0.26500000000000001</v>
      </c>
      <c r="H34" s="544">
        <v>0.26500000000000001</v>
      </c>
      <c r="I34" s="545">
        <v>0.25</v>
      </c>
      <c r="J34" s="627">
        <v>0.25</v>
      </c>
      <c r="K34" s="627">
        <v>0.2621</v>
      </c>
      <c r="L34" s="627">
        <v>0.2621</v>
      </c>
    </row>
    <row r="35" spans="1:12" ht="15.6">
      <c r="A35" s="34" t="s">
        <v>132</v>
      </c>
      <c r="B35" s="35">
        <v>0</v>
      </c>
      <c r="C35" s="35">
        <v>0</v>
      </c>
      <c r="D35" s="35">
        <v>0</v>
      </c>
      <c r="E35" s="544">
        <v>0</v>
      </c>
      <c r="F35" s="544">
        <v>0</v>
      </c>
      <c r="G35" s="544">
        <v>0</v>
      </c>
      <c r="H35" s="544">
        <v>0</v>
      </c>
      <c r="I35" s="545">
        <v>0</v>
      </c>
      <c r="J35" s="627">
        <v>0</v>
      </c>
      <c r="K35" s="627">
        <v>0</v>
      </c>
      <c r="L35" s="627">
        <v>0</v>
      </c>
    </row>
    <row r="36" spans="1:12" ht="15.6">
      <c r="A36" s="34" t="s">
        <v>89</v>
      </c>
      <c r="B36" s="35">
        <v>0.24</v>
      </c>
      <c r="C36" s="35">
        <v>0.24</v>
      </c>
      <c r="D36" s="35">
        <v>0.255</v>
      </c>
      <c r="E36" s="544">
        <v>0.26</v>
      </c>
      <c r="F36" s="544">
        <v>0.27</v>
      </c>
      <c r="G36" s="544">
        <v>0.27</v>
      </c>
      <c r="H36" s="544">
        <v>0.27</v>
      </c>
      <c r="I36" s="545">
        <v>0.27</v>
      </c>
      <c r="J36" s="627">
        <v>0.27</v>
      </c>
      <c r="K36" s="627">
        <v>0.27</v>
      </c>
      <c r="L36" s="627">
        <v>0.27</v>
      </c>
    </row>
    <row r="37" spans="1:12" ht="15.6">
      <c r="A37" s="34" t="s">
        <v>133</v>
      </c>
      <c r="B37" s="35">
        <v>0.25</v>
      </c>
      <c r="C37" s="35">
        <v>0.25</v>
      </c>
      <c r="D37" s="35">
        <v>0.25</v>
      </c>
      <c r="E37" s="544">
        <v>0.25</v>
      </c>
      <c r="F37" s="544">
        <v>0.25</v>
      </c>
      <c r="G37" s="544">
        <v>0.25</v>
      </c>
      <c r="H37" s="544">
        <v>0.25</v>
      </c>
      <c r="I37" s="545">
        <v>0.25</v>
      </c>
      <c r="J37" s="627">
        <v>0.25</v>
      </c>
      <c r="K37" s="627">
        <v>0.25</v>
      </c>
      <c r="L37" s="627">
        <v>0.25</v>
      </c>
    </row>
    <row r="38" spans="1:12" ht="15.6">
      <c r="A38" s="34" t="s">
        <v>90</v>
      </c>
      <c r="B38" s="35">
        <v>0.25</v>
      </c>
      <c r="C38" s="35">
        <v>0.25</v>
      </c>
      <c r="D38" s="35">
        <v>0.34</v>
      </c>
      <c r="E38" s="544">
        <v>0.33</v>
      </c>
      <c r="F38" s="544">
        <v>0.33</v>
      </c>
      <c r="G38" s="544">
        <v>0.32</v>
      </c>
      <c r="H38" s="544">
        <v>0.31</v>
      </c>
      <c r="I38" s="545">
        <v>0.35</v>
      </c>
      <c r="J38" s="627">
        <v>0.35</v>
      </c>
      <c r="K38" s="627">
        <v>0.35</v>
      </c>
      <c r="L38" s="627">
        <v>0.35</v>
      </c>
    </row>
    <row r="39" spans="1:12" ht="15.6">
      <c r="A39" s="34" t="s">
        <v>134</v>
      </c>
      <c r="B39" s="35">
        <v>0</v>
      </c>
      <c r="C39" s="35">
        <v>0</v>
      </c>
      <c r="D39" s="35">
        <v>0</v>
      </c>
      <c r="E39" s="544" t="s">
        <v>500</v>
      </c>
      <c r="F39" s="544" t="s">
        <v>500</v>
      </c>
      <c r="G39" s="544">
        <v>0.3</v>
      </c>
      <c r="H39" s="544">
        <v>0.28000000000000003</v>
      </c>
      <c r="I39" s="545">
        <v>0.28000000000000003</v>
      </c>
      <c r="J39" s="627">
        <v>0.28000000000000003</v>
      </c>
      <c r="K39" s="627">
        <v>0.28000000000000003</v>
      </c>
      <c r="L39" s="627">
        <v>0.28000000000000003</v>
      </c>
    </row>
    <row r="40" spans="1:12" ht="15.6">
      <c r="A40" s="34" t="s">
        <v>135</v>
      </c>
      <c r="B40" s="35">
        <v>0</v>
      </c>
      <c r="C40" s="35">
        <v>0</v>
      </c>
      <c r="D40" s="35">
        <v>0.35</v>
      </c>
      <c r="E40" s="544">
        <v>0.35</v>
      </c>
      <c r="F40" s="544">
        <v>0.35</v>
      </c>
      <c r="G40" s="544">
        <v>0.35</v>
      </c>
      <c r="H40" s="544">
        <v>0.3</v>
      </c>
      <c r="I40" s="545">
        <v>0.3</v>
      </c>
      <c r="J40" s="627">
        <v>0.3</v>
      </c>
      <c r="K40" s="627">
        <v>0.3</v>
      </c>
      <c r="L40" s="627">
        <v>0.3</v>
      </c>
    </row>
    <row r="41" spans="1:12" ht="15.6">
      <c r="A41" s="34" t="s">
        <v>136</v>
      </c>
      <c r="B41" s="35">
        <v>0.3</v>
      </c>
      <c r="C41" s="35">
        <v>0.3</v>
      </c>
      <c r="D41" s="35">
        <v>0.3</v>
      </c>
      <c r="E41" s="544">
        <v>0.3</v>
      </c>
      <c r="F41" s="544">
        <v>0.3</v>
      </c>
      <c r="G41" s="544">
        <v>0.3</v>
      </c>
      <c r="H41" s="544">
        <v>0.3</v>
      </c>
      <c r="I41" s="545">
        <v>0.3</v>
      </c>
      <c r="J41" s="627">
        <v>0.3</v>
      </c>
      <c r="K41" s="627">
        <v>0.3</v>
      </c>
      <c r="L41" s="627">
        <v>0.3</v>
      </c>
    </row>
    <row r="42" spans="1:12" ht="15.6">
      <c r="A42" s="34" t="s">
        <v>137</v>
      </c>
      <c r="B42" s="35">
        <v>0.2</v>
      </c>
      <c r="C42" s="35">
        <v>0.2</v>
      </c>
      <c r="D42" s="35">
        <v>0.2</v>
      </c>
      <c r="E42" s="544">
        <v>0.18</v>
      </c>
      <c r="F42" s="544">
        <v>0.18</v>
      </c>
      <c r="G42" s="544">
        <v>0.18</v>
      </c>
      <c r="H42" s="544">
        <v>0.18</v>
      </c>
      <c r="I42" s="545">
        <v>0.18</v>
      </c>
      <c r="J42" s="627">
        <v>0.18</v>
      </c>
      <c r="K42" s="627">
        <v>0.18</v>
      </c>
      <c r="L42" s="627">
        <v>0.18</v>
      </c>
    </row>
    <row r="43" spans="1:12" ht="15.6">
      <c r="A43" s="34" t="s">
        <v>138</v>
      </c>
      <c r="B43" s="35">
        <v>0.22</v>
      </c>
      <c r="C43" s="35">
        <v>0.22</v>
      </c>
      <c r="D43" s="35">
        <v>0.22</v>
      </c>
      <c r="E43" s="544">
        <v>0.22</v>
      </c>
      <c r="F43" s="544">
        <v>0.22</v>
      </c>
      <c r="G43" s="544">
        <v>0.22</v>
      </c>
      <c r="H43" s="544">
        <v>0.22</v>
      </c>
      <c r="I43" s="545">
        <v>0.22</v>
      </c>
      <c r="J43" s="627">
        <v>0.22</v>
      </c>
      <c r="K43" s="627">
        <v>0.22</v>
      </c>
      <c r="L43" s="627">
        <v>0.22</v>
      </c>
    </row>
    <row r="44" spans="1:12" ht="15.6">
      <c r="A44" s="34" t="s">
        <v>139</v>
      </c>
      <c r="B44" s="35">
        <v>0.125</v>
      </c>
      <c r="C44" s="35">
        <v>0.125</v>
      </c>
      <c r="D44" s="35">
        <v>0.125</v>
      </c>
      <c r="E44" s="544">
        <v>0.125</v>
      </c>
      <c r="F44" s="544">
        <v>0.125</v>
      </c>
      <c r="G44" s="544">
        <v>0.125</v>
      </c>
      <c r="H44" s="544">
        <v>0.125</v>
      </c>
      <c r="I44" s="545">
        <v>0.125</v>
      </c>
      <c r="J44" s="627">
        <v>0.125</v>
      </c>
      <c r="K44" s="627">
        <v>0.125</v>
      </c>
      <c r="L44" s="627">
        <v>0.125</v>
      </c>
    </row>
    <row r="45" spans="1:12" ht="15.6">
      <c r="A45" s="34" t="s">
        <v>140</v>
      </c>
      <c r="B45" s="35">
        <v>0.19</v>
      </c>
      <c r="C45" s="35">
        <v>0.19</v>
      </c>
      <c r="D45" s="35">
        <v>0.19</v>
      </c>
      <c r="E45" s="544">
        <v>0.19</v>
      </c>
      <c r="F45" s="544">
        <v>0.19</v>
      </c>
      <c r="G45" s="544">
        <v>0.19</v>
      </c>
      <c r="H45" s="544">
        <v>0.19</v>
      </c>
      <c r="I45" s="545">
        <v>0.19</v>
      </c>
      <c r="J45" s="627">
        <v>0.19</v>
      </c>
      <c r="K45" s="627">
        <v>0.19</v>
      </c>
      <c r="L45" s="627">
        <v>0.19</v>
      </c>
    </row>
    <row r="46" spans="1:12" ht="15.6">
      <c r="A46" s="34" t="s">
        <v>141</v>
      </c>
      <c r="B46" s="35">
        <v>0.22</v>
      </c>
      <c r="C46" s="35">
        <v>0.22</v>
      </c>
      <c r="D46" s="35">
        <v>0.22</v>
      </c>
      <c r="E46" s="544">
        <v>0.22</v>
      </c>
      <c r="F46" s="544">
        <v>0.22</v>
      </c>
      <c r="G46" s="544">
        <v>0.22</v>
      </c>
      <c r="H46" s="544">
        <v>0.22</v>
      </c>
      <c r="I46" s="545">
        <v>0.22</v>
      </c>
      <c r="J46" s="627">
        <v>0.22</v>
      </c>
      <c r="K46" s="627">
        <v>0.22</v>
      </c>
      <c r="L46" s="627">
        <v>0.22</v>
      </c>
    </row>
    <row r="47" spans="1:12" ht="15.6">
      <c r="A47" s="34" t="s">
        <v>142</v>
      </c>
      <c r="B47" s="35">
        <v>0</v>
      </c>
      <c r="C47" s="35">
        <v>0</v>
      </c>
      <c r="D47" s="35">
        <v>0.25</v>
      </c>
      <c r="E47" s="544">
        <v>0.25</v>
      </c>
      <c r="F47" s="544">
        <v>0.25</v>
      </c>
      <c r="G47" s="544">
        <v>0.25</v>
      </c>
      <c r="H47" s="544">
        <v>0.25</v>
      </c>
      <c r="I47" s="545">
        <v>0.25</v>
      </c>
      <c r="J47" s="627">
        <v>0.25</v>
      </c>
      <c r="K47" s="627">
        <v>0.25</v>
      </c>
      <c r="L47" s="627">
        <v>0.25</v>
      </c>
    </row>
    <row r="48" spans="1:12" ht="15.6">
      <c r="A48" s="34" t="s">
        <v>143</v>
      </c>
      <c r="B48" s="35">
        <v>0</v>
      </c>
      <c r="C48" s="35">
        <v>0</v>
      </c>
      <c r="D48" s="35">
        <v>0.25</v>
      </c>
      <c r="E48" s="544">
        <v>0.25</v>
      </c>
      <c r="F48" s="544">
        <v>0.25</v>
      </c>
      <c r="G48" s="544">
        <v>0.25</v>
      </c>
      <c r="H48" s="544">
        <v>0.25</v>
      </c>
      <c r="I48" s="545">
        <v>0.25</v>
      </c>
      <c r="J48" s="627">
        <v>0.25</v>
      </c>
      <c r="K48" s="627">
        <v>0.25</v>
      </c>
      <c r="L48" s="627">
        <v>0.25</v>
      </c>
    </row>
    <row r="49" spans="1:12" ht="15.6">
      <c r="A49" s="34" t="s">
        <v>144</v>
      </c>
      <c r="B49" s="35">
        <v>0.27</v>
      </c>
      <c r="C49" s="35">
        <v>0.27</v>
      </c>
      <c r="D49" s="35">
        <v>0.27</v>
      </c>
      <c r="E49" s="544">
        <v>0.27</v>
      </c>
      <c r="F49" s="544">
        <v>0.27</v>
      </c>
      <c r="G49" s="544">
        <v>0.27</v>
      </c>
      <c r="H49" s="544">
        <v>0.27</v>
      </c>
      <c r="I49" s="545">
        <v>0.27</v>
      </c>
      <c r="J49" s="627">
        <v>0.27</v>
      </c>
      <c r="K49" s="627">
        <v>0.27</v>
      </c>
      <c r="L49" s="627">
        <v>0.27</v>
      </c>
    </row>
    <row r="50" spans="1:12" ht="15.6">
      <c r="A50" s="34" t="s">
        <v>91</v>
      </c>
      <c r="B50" s="35">
        <v>0.22</v>
      </c>
      <c r="C50" s="35">
        <v>0.22</v>
      </c>
      <c r="D50" s="35">
        <v>0.22</v>
      </c>
      <c r="E50" s="544">
        <v>0.25</v>
      </c>
      <c r="F50" s="544">
        <v>0.25</v>
      </c>
      <c r="G50" s="544">
        <v>0.25</v>
      </c>
      <c r="H50" s="544">
        <v>0.25</v>
      </c>
      <c r="I50" s="545">
        <v>0.25</v>
      </c>
      <c r="J50" s="627">
        <v>0.25</v>
      </c>
      <c r="K50" s="627">
        <v>0.25</v>
      </c>
      <c r="L50" s="627">
        <v>0.25</v>
      </c>
    </row>
    <row r="51" spans="1:12" ht="15.6">
      <c r="A51" s="34" t="s">
        <v>145</v>
      </c>
      <c r="B51" s="35">
        <v>0.22500000000000001</v>
      </c>
      <c r="C51" s="35">
        <v>0.22500000000000001</v>
      </c>
      <c r="D51" s="35">
        <v>0.22500000000000001</v>
      </c>
      <c r="E51" s="544">
        <v>0.23</v>
      </c>
      <c r="F51" s="544">
        <v>0.22500000000000001</v>
      </c>
      <c r="G51" s="544">
        <v>0.22500000000000001</v>
      </c>
      <c r="H51" s="544">
        <v>0.22500000000000001</v>
      </c>
      <c r="I51" s="545">
        <v>0.22500000000000001</v>
      </c>
      <c r="J51" s="627">
        <v>0.22500000000000001</v>
      </c>
      <c r="K51" s="627">
        <v>0.22500000000000001</v>
      </c>
      <c r="L51" s="627">
        <v>0.22500000000000001</v>
      </c>
    </row>
    <row r="52" spans="1:12" ht="15.6">
      <c r="A52" s="34" t="s">
        <v>146</v>
      </c>
      <c r="B52" s="35">
        <v>0.3</v>
      </c>
      <c r="C52" s="35">
        <v>0.3</v>
      </c>
      <c r="D52" s="35">
        <v>0.3</v>
      </c>
      <c r="E52" s="544">
        <v>0.3</v>
      </c>
      <c r="F52" s="544">
        <v>0.3</v>
      </c>
      <c r="G52" s="544">
        <v>0.3</v>
      </c>
      <c r="H52" s="544">
        <v>0.3</v>
      </c>
      <c r="I52" s="545">
        <v>0.3</v>
      </c>
      <c r="J52" s="627">
        <v>0.3</v>
      </c>
      <c r="K52" s="627">
        <v>0.3</v>
      </c>
      <c r="L52" s="627">
        <v>0.3</v>
      </c>
    </row>
    <row r="53" spans="1:12" ht="15.6">
      <c r="A53" s="34" t="s">
        <v>147</v>
      </c>
      <c r="B53" s="35">
        <v>0.2</v>
      </c>
      <c r="C53" s="35">
        <v>0.2</v>
      </c>
      <c r="D53" s="35">
        <v>0.2</v>
      </c>
      <c r="E53" s="544">
        <v>0.2</v>
      </c>
      <c r="F53" s="544">
        <v>0.2</v>
      </c>
      <c r="G53" s="544">
        <v>0.2</v>
      </c>
      <c r="H53" s="544">
        <v>0.2</v>
      </c>
      <c r="I53" s="545">
        <v>0.2</v>
      </c>
      <c r="J53" s="627">
        <v>0.2</v>
      </c>
      <c r="K53" s="627">
        <v>0.2</v>
      </c>
      <c r="L53" s="627">
        <v>0.2</v>
      </c>
    </row>
    <row r="54" spans="1:12" ht="15.6">
      <c r="A54" s="34" t="s">
        <v>148</v>
      </c>
      <c r="B54" s="35">
        <v>0</v>
      </c>
      <c r="C54" s="35">
        <v>0</v>
      </c>
      <c r="D54" s="35">
        <v>0.3</v>
      </c>
      <c r="E54" s="544">
        <v>0.3</v>
      </c>
      <c r="F54" s="544">
        <v>0.3</v>
      </c>
      <c r="G54" s="544">
        <v>0.3</v>
      </c>
      <c r="H54" s="544">
        <v>0.3</v>
      </c>
      <c r="I54" s="545">
        <v>0.3</v>
      </c>
      <c r="J54" s="627">
        <v>0.3</v>
      </c>
      <c r="K54" s="627">
        <v>0.3</v>
      </c>
      <c r="L54" s="627">
        <v>0.3</v>
      </c>
    </row>
    <row r="55" spans="1:12" ht="15.6">
      <c r="A55" s="34" t="s">
        <v>149</v>
      </c>
      <c r="B55" s="35">
        <v>0.2</v>
      </c>
      <c r="C55" s="35">
        <v>0.2</v>
      </c>
      <c r="D55" s="35">
        <v>0.2</v>
      </c>
      <c r="E55" s="544">
        <v>0.2</v>
      </c>
      <c r="F55" s="544">
        <v>0.2</v>
      </c>
      <c r="G55" s="544">
        <v>0.2</v>
      </c>
      <c r="H55" s="544">
        <v>0.2</v>
      </c>
      <c r="I55" s="545">
        <v>0.2</v>
      </c>
      <c r="J55" s="627">
        <v>0.2</v>
      </c>
      <c r="K55" s="627">
        <v>0.2</v>
      </c>
      <c r="L55" s="627">
        <v>0.2</v>
      </c>
    </row>
    <row r="56" spans="1:12" ht="15.6">
      <c r="A56" s="34" t="s">
        <v>150</v>
      </c>
      <c r="B56" s="35">
        <v>0.2</v>
      </c>
      <c r="C56" s="35">
        <v>0.2</v>
      </c>
      <c r="D56" s="35">
        <v>0.2</v>
      </c>
      <c r="E56" s="544">
        <v>0.2</v>
      </c>
      <c r="F56" s="544">
        <v>0.2</v>
      </c>
      <c r="G56" s="544">
        <v>0.2</v>
      </c>
      <c r="H56" s="544">
        <v>0.2</v>
      </c>
      <c r="I56" s="545">
        <v>0.2</v>
      </c>
      <c r="J56" s="627">
        <v>0.2</v>
      </c>
      <c r="K56" s="627">
        <v>0.2</v>
      </c>
      <c r="L56" s="627">
        <v>0.2</v>
      </c>
    </row>
    <row r="57" spans="1:12" ht="15.6">
      <c r="A57" s="34" t="s">
        <v>151</v>
      </c>
      <c r="B57" s="35">
        <v>0.33329999999999999</v>
      </c>
      <c r="C57" s="35">
        <v>0.33300000000000002</v>
      </c>
      <c r="D57" s="35">
        <v>0.33329999999999999</v>
      </c>
      <c r="E57" s="544">
        <v>0.33</v>
      </c>
      <c r="F57" s="544">
        <v>0.31</v>
      </c>
      <c r="G57" s="544">
        <v>0.28000000000000003</v>
      </c>
      <c r="H57" s="544">
        <v>0.26500000000000001</v>
      </c>
      <c r="I57" s="545">
        <v>0.25</v>
      </c>
      <c r="J57" s="627">
        <v>0.25</v>
      </c>
      <c r="K57" s="627">
        <v>0.25824999999999998</v>
      </c>
      <c r="L57" s="627">
        <v>0.25824999999999998</v>
      </c>
    </row>
    <row r="58" spans="1:12" ht="15.6">
      <c r="A58" s="34" t="s">
        <v>152</v>
      </c>
      <c r="B58" s="35">
        <v>0</v>
      </c>
      <c r="C58" s="35">
        <v>0</v>
      </c>
      <c r="D58" s="35">
        <v>0.3</v>
      </c>
      <c r="E58" s="544">
        <v>0.3</v>
      </c>
      <c r="F58" s="544">
        <v>0.3</v>
      </c>
      <c r="G58" s="544">
        <v>0.3</v>
      </c>
      <c r="H58" s="544">
        <v>0.3</v>
      </c>
      <c r="I58" s="545">
        <v>0.3</v>
      </c>
      <c r="J58" s="627">
        <v>0.3</v>
      </c>
      <c r="K58" s="627">
        <v>0.3</v>
      </c>
      <c r="L58" s="627">
        <v>0.3</v>
      </c>
    </row>
    <row r="59" spans="1:12" ht="15.6">
      <c r="A59" s="34" t="s">
        <v>153</v>
      </c>
      <c r="B59" s="35">
        <v>0</v>
      </c>
      <c r="C59" s="35">
        <v>0</v>
      </c>
      <c r="D59" s="35">
        <v>0.31</v>
      </c>
      <c r="E59" s="544">
        <v>0.31</v>
      </c>
      <c r="F59" s="544">
        <v>0.31</v>
      </c>
      <c r="G59" s="544">
        <v>0.31</v>
      </c>
      <c r="H59" s="544">
        <v>0.27</v>
      </c>
      <c r="I59" s="545">
        <v>0.27</v>
      </c>
      <c r="J59" s="627">
        <v>0.27</v>
      </c>
      <c r="K59" s="627">
        <v>0.27</v>
      </c>
      <c r="L59" s="627">
        <v>0.27</v>
      </c>
    </row>
    <row r="60" spans="1:12" ht="15.6">
      <c r="A60" s="34" t="s">
        <v>154</v>
      </c>
      <c r="B60" s="35">
        <v>0.15</v>
      </c>
      <c r="C60" s="35">
        <v>0.15</v>
      </c>
      <c r="D60" s="35">
        <v>0.15</v>
      </c>
      <c r="E60" s="544">
        <v>0.15</v>
      </c>
      <c r="F60" s="544">
        <v>0.15</v>
      </c>
      <c r="G60" s="544">
        <v>0.15</v>
      </c>
      <c r="H60" s="544">
        <v>0.15</v>
      </c>
      <c r="I60" s="545">
        <v>0.15</v>
      </c>
      <c r="J60" s="627">
        <v>0.15</v>
      </c>
      <c r="K60" s="627">
        <v>0.15</v>
      </c>
      <c r="L60" s="627">
        <v>0.15</v>
      </c>
    </row>
    <row r="61" spans="1:12" ht="15.6">
      <c r="A61" s="34" t="s">
        <v>155</v>
      </c>
      <c r="B61" s="35">
        <v>0.29720000000000002</v>
      </c>
      <c r="C61" s="35">
        <v>0.29720000000000002</v>
      </c>
      <c r="D61" s="35">
        <v>0.2979</v>
      </c>
      <c r="E61" s="544">
        <v>0.3</v>
      </c>
      <c r="F61" s="544">
        <v>0.3</v>
      </c>
      <c r="G61" s="544">
        <v>0.3</v>
      </c>
      <c r="H61" s="544">
        <v>0.3</v>
      </c>
      <c r="I61" s="545">
        <v>0.3</v>
      </c>
      <c r="J61" s="627">
        <v>0.3</v>
      </c>
      <c r="K61" s="627">
        <v>0.29941000000000001</v>
      </c>
      <c r="L61" s="627">
        <v>0.29941000000000001</v>
      </c>
    </row>
    <row r="62" spans="1:12" ht="15.6">
      <c r="A62" s="34" t="s">
        <v>156</v>
      </c>
      <c r="B62" s="35">
        <v>0.25</v>
      </c>
      <c r="C62" s="35">
        <v>0.25</v>
      </c>
      <c r="D62" s="35">
        <v>0.25</v>
      </c>
      <c r="E62" s="544">
        <v>0.25</v>
      </c>
      <c r="F62" s="544">
        <v>0.25</v>
      </c>
      <c r="G62" s="544">
        <v>0.25</v>
      </c>
      <c r="H62" s="544">
        <v>0.25</v>
      </c>
      <c r="I62" s="545">
        <v>0.25</v>
      </c>
      <c r="J62" s="627">
        <v>0.25</v>
      </c>
      <c r="K62" s="627">
        <v>0.25</v>
      </c>
      <c r="L62" s="627">
        <v>0.25</v>
      </c>
    </row>
    <row r="63" spans="1:12" ht="15.6">
      <c r="A63" s="34" t="s">
        <v>157</v>
      </c>
      <c r="B63" s="35">
        <v>0.1</v>
      </c>
      <c r="C63" s="35">
        <v>0.1</v>
      </c>
      <c r="D63" s="35">
        <v>0.1</v>
      </c>
      <c r="E63" s="544">
        <v>0.1</v>
      </c>
      <c r="F63" s="544">
        <v>0.1</v>
      </c>
      <c r="G63" s="544">
        <v>0.1</v>
      </c>
      <c r="H63" s="544">
        <v>0.1</v>
      </c>
      <c r="I63" s="545">
        <v>0.1</v>
      </c>
      <c r="J63" s="627">
        <v>0.1</v>
      </c>
      <c r="K63" s="627">
        <v>0.125</v>
      </c>
      <c r="L63" s="627">
        <v>0.125</v>
      </c>
    </row>
    <row r="64" spans="1:12" ht="15.6">
      <c r="A64" s="34" t="s">
        <v>158</v>
      </c>
      <c r="B64" s="35">
        <v>0.28999999999999998</v>
      </c>
      <c r="C64" s="35">
        <v>0.28999999999999998</v>
      </c>
      <c r="D64" s="35">
        <v>0.28999999999999998</v>
      </c>
      <c r="E64" s="544">
        <v>0.28999999999999998</v>
      </c>
      <c r="F64" s="544">
        <v>0.28000000000000003</v>
      </c>
      <c r="G64" s="544">
        <v>0.24</v>
      </c>
      <c r="H64" s="544">
        <v>0.24</v>
      </c>
      <c r="I64" s="545">
        <v>0.22</v>
      </c>
      <c r="J64" s="627">
        <v>0.22</v>
      </c>
      <c r="K64" s="627">
        <v>0.22</v>
      </c>
      <c r="L64" s="627">
        <v>0.22</v>
      </c>
    </row>
    <row r="65" spans="1:12" ht="15.6">
      <c r="A65" s="34" t="s">
        <v>159</v>
      </c>
      <c r="B65" s="35">
        <v>0</v>
      </c>
      <c r="C65" s="35">
        <v>0</v>
      </c>
      <c r="D65" s="35">
        <v>0.3</v>
      </c>
      <c r="E65" s="544">
        <v>0.3</v>
      </c>
      <c r="F65" s="544">
        <v>0.28000000000000003</v>
      </c>
      <c r="G65" s="544">
        <v>0.28000000000000003</v>
      </c>
      <c r="H65" s="544">
        <v>0.28000000000000003</v>
      </c>
      <c r="I65" s="545">
        <v>0.28000000000000003</v>
      </c>
      <c r="J65" s="627">
        <v>0.28000000000000003</v>
      </c>
      <c r="K65" s="627">
        <v>0.28000000000000003</v>
      </c>
      <c r="L65" s="627">
        <v>0.28000000000000003</v>
      </c>
    </row>
    <row r="66" spans="1:12" ht="15.6">
      <c r="A66" s="34" t="s">
        <v>160</v>
      </c>
      <c r="B66" s="35">
        <v>0.25</v>
      </c>
      <c r="C66" s="35">
        <v>0.25</v>
      </c>
      <c r="D66" s="35">
        <v>0.25</v>
      </c>
      <c r="E66" s="544">
        <v>0.25</v>
      </c>
      <c r="F66" s="544">
        <v>0.25</v>
      </c>
      <c r="G66" s="544">
        <v>0.25</v>
      </c>
      <c r="H66" s="544">
        <v>0.25</v>
      </c>
      <c r="I66" s="545">
        <v>0.25</v>
      </c>
      <c r="J66" s="627">
        <v>0.25</v>
      </c>
      <c r="K66" s="627">
        <v>0.25</v>
      </c>
      <c r="L66" s="627">
        <v>0.25</v>
      </c>
    </row>
    <row r="67" spans="1:12" ht="15.6">
      <c r="A67" s="34" t="s">
        <v>161</v>
      </c>
      <c r="B67" s="35">
        <v>0</v>
      </c>
      <c r="C67" s="35">
        <v>0</v>
      </c>
      <c r="D67" s="35">
        <v>0</v>
      </c>
      <c r="E67" s="544">
        <v>0</v>
      </c>
      <c r="F67" s="544">
        <v>0</v>
      </c>
      <c r="G67" s="544">
        <v>0</v>
      </c>
      <c r="H67" s="544">
        <v>0</v>
      </c>
      <c r="I67" s="545">
        <v>0</v>
      </c>
      <c r="J67" s="627">
        <v>0</v>
      </c>
      <c r="K67" s="627">
        <v>0</v>
      </c>
      <c r="L67" s="627">
        <v>0</v>
      </c>
    </row>
    <row r="68" spans="1:12" ht="15.6">
      <c r="A68" s="34" t="s">
        <v>162</v>
      </c>
      <c r="B68" s="35">
        <v>0.3</v>
      </c>
      <c r="C68" s="35">
        <v>0.3</v>
      </c>
      <c r="D68" s="35">
        <v>0.25</v>
      </c>
      <c r="E68" s="544">
        <v>0.25</v>
      </c>
      <c r="F68" s="544">
        <v>0.25</v>
      </c>
      <c r="G68" s="544">
        <v>0.25</v>
      </c>
      <c r="H68" s="544">
        <v>0.25</v>
      </c>
      <c r="I68" s="545">
        <v>0.25</v>
      </c>
      <c r="J68" s="627">
        <v>0.25</v>
      </c>
      <c r="K68" s="627">
        <v>0.3</v>
      </c>
      <c r="L68" s="627">
        <v>0.3</v>
      </c>
    </row>
    <row r="69" spans="1:12" ht="15.6">
      <c r="A69" s="34" t="s">
        <v>163</v>
      </c>
      <c r="B69" s="35">
        <v>0.16500000000000001</v>
      </c>
      <c r="C69" s="35">
        <v>0.16500000000000001</v>
      </c>
      <c r="D69" s="35">
        <v>0.16500000000000001</v>
      </c>
      <c r="E69" s="544">
        <v>0.16500000000000001</v>
      </c>
      <c r="F69" s="544">
        <v>0.16500000000000001</v>
      </c>
      <c r="G69" s="544">
        <v>0.16500000000000001</v>
      </c>
      <c r="H69" s="544">
        <v>0.16500000000000001</v>
      </c>
      <c r="I69" s="545">
        <v>0.16500000000000001</v>
      </c>
      <c r="J69" s="627">
        <v>0.16500000000000001</v>
      </c>
      <c r="K69" s="627">
        <v>0.16500000000000001</v>
      </c>
      <c r="L69" s="627">
        <v>0.16500000000000001</v>
      </c>
    </row>
    <row r="70" spans="1:12" ht="15.6">
      <c r="A70" s="34" t="s">
        <v>164</v>
      </c>
      <c r="B70" s="35">
        <v>0.19</v>
      </c>
      <c r="C70" s="35">
        <v>0.19</v>
      </c>
      <c r="D70" s="35">
        <v>0.09</v>
      </c>
      <c r="E70" s="544">
        <v>0.09</v>
      </c>
      <c r="F70" s="544">
        <v>0.09</v>
      </c>
      <c r="G70" s="544">
        <v>0.09</v>
      </c>
      <c r="H70" s="544">
        <v>0.09</v>
      </c>
      <c r="I70" s="545">
        <v>0.09</v>
      </c>
      <c r="J70" s="627">
        <v>0.09</v>
      </c>
      <c r="K70" s="627">
        <v>0.09</v>
      </c>
      <c r="L70" s="627">
        <v>0.09</v>
      </c>
    </row>
    <row r="71" spans="1:12" ht="15.6">
      <c r="A71" s="34" t="s">
        <v>165</v>
      </c>
      <c r="B71" s="35">
        <v>0.2</v>
      </c>
      <c r="C71" s="35">
        <v>0.2</v>
      </c>
      <c r="D71" s="35">
        <v>0.2</v>
      </c>
      <c r="E71" s="544">
        <v>0.2</v>
      </c>
      <c r="F71" s="544">
        <v>0.2</v>
      </c>
      <c r="G71" s="544">
        <v>0.2</v>
      </c>
      <c r="H71" s="544">
        <v>0.2</v>
      </c>
      <c r="I71" s="545">
        <v>0.2</v>
      </c>
      <c r="J71" s="627">
        <v>0.2</v>
      </c>
      <c r="K71" s="627">
        <v>0.2</v>
      </c>
      <c r="L71" s="627">
        <v>0.2</v>
      </c>
    </row>
    <row r="72" spans="1:12" ht="15.6">
      <c r="A72" s="34" t="s">
        <v>166</v>
      </c>
      <c r="B72" s="35">
        <v>0.34610000000000002</v>
      </c>
      <c r="C72" s="35">
        <v>0.34610000000000002</v>
      </c>
      <c r="D72" s="35">
        <v>0.34610000000000002</v>
      </c>
      <c r="E72" s="544">
        <v>0.35</v>
      </c>
      <c r="F72" s="544">
        <v>0.3</v>
      </c>
      <c r="G72" s="544">
        <v>0.3</v>
      </c>
      <c r="H72" s="544">
        <v>0.3</v>
      </c>
      <c r="I72" s="545">
        <v>0.3</v>
      </c>
      <c r="J72" s="627">
        <v>0.3</v>
      </c>
      <c r="K72" s="627">
        <v>0.3</v>
      </c>
      <c r="L72" s="627">
        <v>0.3</v>
      </c>
    </row>
    <row r="73" spans="1:12" ht="15.6">
      <c r="A73" s="34" t="s">
        <v>167</v>
      </c>
      <c r="B73" s="35">
        <v>0.25</v>
      </c>
      <c r="C73" s="35">
        <v>0.25</v>
      </c>
      <c r="D73" s="35">
        <v>0.25</v>
      </c>
      <c r="E73" s="544">
        <v>0.25</v>
      </c>
      <c r="F73" s="544">
        <v>0.25</v>
      </c>
      <c r="G73" s="544">
        <v>0.25</v>
      </c>
      <c r="H73" s="544">
        <v>0.22</v>
      </c>
      <c r="I73" s="545">
        <v>0.22</v>
      </c>
      <c r="J73" s="627">
        <v>0.22</v>
      </c>
      <c r="K73" s="627">
        <v>0.22</v>
      </c>
      <c r="L73" s="627">
        <v>0.22</v>
      </c>
    </row>
    <row r="74" spans="1:12" ht="15.6">
      <c r="A74" s="34" t="s">
        <v>168</v>
      </c>
      <c r="B74" s="35">
        <v>0.15</v>
      </c>
      <c r="C74" s="35">
        <v>0.15</v>
      </c>
      <c r="D74" s="35">
        <v>0.15</v>
      </c>
      <c r="E74" s="544">
        <v>0.15</v>
      </c>
      <c r="F74" s="544">
        <v>0.15</v>
      </c>
      <c r="G74" s="544">
        <v>0.15</v>
      </c>
      <c r="H74" s="544">
        <v>0.35</v>
      </c>
      <c r="I74" s="545">
        <v>0.15</v>
      </c>
      <c r="J74" s="627">
        <v>0.15</v>
      </c>
      <c r="K74" s="627">
        <v>0.15</v>
      </c>
      <c r="L74" s="627">
        <v>0.15</v>
      </c>
    </row>
    <row r="75" spans="1:12" ht="15.6">
      <c r="A75" s="34" t="s">
        <v>169</v>
      </c>
      <c r="B75" s="35">
        <v>0.125</v>
      </c>
      <c r="C75" s="35">
        <v>0.125</v>
      </c>
      <c r="D75" s="35">
        <v>0.125</v>
      </c>
      <c r="E75" s="544">
        <v>0.125</v>
      </c>
      <c r="F75" s="544">
        <v>0.125</v>
      </c>
      <c r="G75" s="544">
        <v>0.125</v>
      </c>
      <c r="H75" s="544">
        <v>0.125</v>
      </c>
      <c r="I75" s="545">
        <v>0.125</v>
      </c>
      <c r="J75" s="627">
        <v>0.125</v>
      </c>
      <c r="K75" s="627">
        <v>0.125</v>
      </c>
      <c r="L75" s="627">
        <v>0.125</v>
      </c>
    </row>
    <row r="76" spans="1:12" ht="15.6">
      <c r="A76" s="34" t="s">
        <v>170</v>
      </c>
      <c r="B76" s="35">
        <v>0</v>
      </c>
      <c r="C76" s="35">
        <v>0</v>
      </c>
      <c r="D76" s="35">
        <v>0</v>
      </c>
      <c r="E76" s="544">
        <v>0</v>
      </c>
      <c r="F76" s="544">
        <v>0</v>
      </c>
      <c r="G76" s="544">
        <v>0</v>
      </c>
      <c r="H76" s="544">
        <v>0</v>
      </c>
      <c r="I76" s="545">
        <v>0</v>
      </c>
      <c r="J76" s="627">
        <v>0</v>
      </c>
      <c r="K76" s="627">
        <v>0</v>
      </c>
      <c r="L76" s="627">
        <v>0</v>
      </c>
    </row>
    <row r="77" spans="1:12" ht="15.6">
      <c r="A77" s="34" t="s">
        <v>171</v>
      </c>
      <c r="B77" s="35">
        <v>0.25</v>
      </c>
      <c r="C77" s="35">
        <v>0.25</v>
      </c>
      <c r="D77" s="35">
        <v>0.24</v>
      </c>
      <c r="E77" s="544">
        <v>0.23</v>
      </c>
      <c r="F77" s="544">
        <v>0.23</v>
      </c>
      <c r="G77" s="544">
        <v>0.23</v>
      </c>
      <c r="H77" s="544">
        <v>0.23</v>
      </c>
      <c r="I77" s="545">
        <v>0.23</v>
      </c>
      <c r="J77" s="627">
        <v>0.23</v>
      </c>
      <c r="K77" s="627">
        <v>0.23</v>
      </c>
      <c r="L77" s="627">
        <v>0.23</v>
      </c>
    </row>
    <row r="78" spans="1:12" ht="15.6">
      <c r="A78" s="34" t="s">
        <v>172</v>
      </c>
      <c r="B78" s="35">
        <v>0.314</v>
      </c>
      <c r="C78" s="35">
        <v>0.314</v>
      </c>
      <c r="D78" s="35">
        <v>0.24</v>
      </c>
      <c r="E78" s="544">
        <v>0.24</v>
      </c>
      <c r="F78" s="544">
        <v>0.24</v>
      </c>
      <c r="G78" s="544">
        <v>0.24</v>
      </c>
      <c r="H78" s="544">
        <v>0.24</v>
      </c>
      <c r="I78" s="545">
        <v>0.24</v>
      </c>
      <c r="J78" s="627">
        <v>0.24</v>
      </c>
      <c r="K78" s="627">
        <v>0.27810000000000001</v>
      </c>
      <c r="L78" s="627">
        <v>0.27810000000000001</v>
      </c>
    </row>
    <row r="79" spans="1:12" ht="15.6">
      <c r="A79" s="34" t="s">
        <v>173</v>
      </c>
      <c r="B79" s="35">
        <v>0</v>
      </c>
      <c r="C79" s="35">
        <v>0</v>
      </c>
      <c r="D79" s="35">
        <v>0.25</v>
      </c>
      <c r="E79" s="544">
        <v>0.25</v>
      </c>
      <c r="F79" s="544">
        <v>0.25</v>
      </c>
      <c r="G79" s="544">
        <v>0.25</v>
      </c>
      <c r="H79" s="544">
        <v>0.25</v>
      </c>
      <c r="I79" s="545">
        <v>0.25</v>
      </c>
      <c r="J79" s="627">
        <v>0.25</v>
      </c>
      <c r="K79" s="627">
        <v>0.25</v>
      </c>
      <c r="L79" s="627">
        <v>0.25</v>
      </c>
    </row>
    <row r="80" spans="1:12" ht="15.6">
      <c r="A80" s="34" t="s">
        <v>174</v>
      </c>
      <c r="B80" s="35">
        <v>0.25</v>
      </c>
      <c r="C80" s="35">
        <v>0.25</v>
      </c>
      <c r="D80" s="35">
        <v>0.25</v>
      </c>
      <c r="E80" s="544">
        <v>0.25</v>
      </c>
      <c r="F80" s="544">
        <v>0.25</v>
      </c>
      <c r="G80" s="544">
        <v>0.25</v>
      </c>
      <c r="H80" s="544">
        <v>0.25</v>
      </c>
      <c r="I80" s="545">
        <v>0.25</v>
      </c>
      <c r="J80" s="627">
        <v>0.25</v>
      </c>
      <c r="K80" s="627">
        <v>0.25</v>
      </c>
      <c r="L80" s="627">
        <v>0.25</v>
      </c>
    </row>
    <row r="81" spans="1:12" ht="15.6">
      <c r="A81" s="34" t="s">
        <v>175</v>
      </c>
      <c r="B81" s="35">
        <v>0.33860000000000001</v>
      </c>
      <c r="C81" s="35">
        <v>0.30859999999999999</v>
      </c>
      <c r="D81" s="35">
        <v>0.30859999999999999</v>
      </c>
      <c r="E81" s="544">
        <v>0.30859999999999999</v>
      </c>
      <c r="F81" s="544">
        <v>0.30620000000000003</v>
      </c>
      <c r="G81" s="544">
        <v>0.30620000000000003</v>
      </c>
      <c r="H81" s="544">
        <v>0.30620000000000003</v>
      </c>
      <c r="I81" s="545">
        <v>0.23200000000000001</v>
      </c>
      <c r="J81" s="627">
        <v>0.23200000000000001</v>
      </c>
      <c r="K81" s="627">
        <v>0.2974</v>
      </c>
      <c r="L81" s="627">
        <v>0.2974</v>
      </c>
    </row>
    <row r="82" spans="1:12" ht="15.6">
      <c r="A82" s="34" t="s">
        <v>176</v>
      </c>
      <c r="B82" s="35">
        <v>0.2</v>
      </c>
      <c r="C82" s="35">
        <v>0.2</v>
      </c>
      <c r="D82" s="35">
        <v>0.2</v>
      </c>
      <c r="E82" s="544">
        <v>0.2</v>
      </c>
      <c r="F82" s="544">
        <v>0</v>
      </c>
      <c r="G82" s="544">
        <v>0</v>
      </c>
      <c r="H82" s="544">
        <v>0</v>
      </c>
      <c r="I82" s="545">
        <v>0</v>
      </c>
      <c r="J82" s="627">
        <v>0</v>
      </c>
      <c r="K82" s="627">
        <v>0</v>
      </c>
      <c r="L82" s="627">
        <v>0</v>
      </c>
    </row>
    <row r="83" spans="1:12" ht="15.6">
      <c r="A83" s="34" t="s">
        <v>177</v>
      </c>
      <c r="B83" s="35">
        <v>0.2</v>
      </c>
      <c r="C83" s="35">
        <v>0.2</v>
      </c>
      <c r="D83" s="35">
        <v>0.2</v>
      </c>
      <c r="E83" s="544">
        <v>0.2</v>
      </c>
      <c r="F83" s="544">
        <v>0.2</v>
      </c>
      <c r="G83" s="544">
        <v>0.2</v>
      </c>
      <c r="H83" s="544">
        <v>0.2</v>
      </c>
      <c r="I83" s="545">
        <v>0.2</v>
      </c>
      <c r="J83" s="627">
        <v>0.2</v>
      </c>
      <c r="K83" s="627">
        <v>0.2</v>
      </c>
      <c r="L83" s="627">
        <v>0.2</v>
      </c>
    </row>
    <row r="84" spans="1:12" ht="15.6">
      <c r="A84" s="34" t="s">
        <v>178</v>
      </c>
      <c r="B84" s="35">
        <v>0.2</v>
      </c>
      <c r="C84" s="35">
        <v>0.2</v>
      </c>
      <c r="D84" s="35">
        <v>0.2</v>
      </c>
      <c r="E84" s="544">
        <v>0.2</v>
      </c>
      <c r="F84" s="544">
        <v>0.2</v>
      </c>
      <c r="G84" s="544">
        <v>0.2</v>
      </c>
      <c r="H84" s="544">
        <v>0.2</v>
      </c>
      <c r="I84" s="545">
        <v>0.2</v>
      </c>
      <c r="J84" s="627">
        <v>0.2</v>
      </c>
      <c r="K84" s="627">
        <v>0.2</v>
      </c>
      <c r="L84" s="627">
        <v>0.2</v>
      </c>
    </row>
    <row r="85" spans="1:12" ht="15.6">
      <c r="A85" s="34" t="s">
        <v>179</v>
      </c>
      <c r="B85" s="35">
        <v>0.3</v>
      </c>
      <c r="C85" s="35">
        <v>0.3</v>
      </c>
      <c r="D85" s="35">
        <v>0.3</v>
      </c>
      <c r="E85" s="544">
        <v>0.3</v>
      </c>
      <c r="F85" s="544">
        <v>0.3</v>
      </c>
      <c r="G85" s="544">
        <v>0.3</v>
      </c>
      <c r="H85" s="544">
        <v>0.3</v>
      </c>
      <c r="I85" s="545">
        <v>0.3</v>
      </c>
      <c r="J85" s="627">
        <v>0.3</v>
      </c>
      <c r="K85" s="627">
        <v>0.3</v>
      </c>
      <c r="L85" s="627">
        <v>0.3</v>
      </c>
    </row>
    <row r="86" spans="1:12" ht="15.6">
      <c r="A86" s="34" t="s">
        <v>180</v>
      </c>
      <c r="B86" s="35">
        <v>0.24199999999999999</v>
      </c>
      <c r="C86" s="35">
        <v>0.24199999999999999</v>
      </c>
      <c r="D86" s="35">
        <v>0.22</v>
      </c>
      <c r="E86" s="544">
        <v>0.25</v>
      </c>
      <c r="F86" s="544">
        <v>0.25</v>
      </c>
      <c r="G86" s="544">
        <v>0.25</v>
      </c>
      <c r="H86" s="544">
        <v>0.25</v>
      </c>
      <c r="I86" s="545">
        <v>0.25</v>
      </c>
      <c r="J86" s="627">
        <v>0.25</v>
      </c>
      <c r="K86" s="627">
        <v>0.26500000000000001</v>
      </c>
      <c r="L86" s="627">
        <v>0.26500000000000001</v>
      </c>
    </row>
    <row r="87" spans="1:12" ht="15.6">
      <c r="A87" s="34" t="s">
        <v>181</v>
      </c>
      <c r="B87" s="35">
        <v>0.15</v>
      </c>
      <c r="C87" s="35">
        <v>0.15</v>
      </c>
      <c r="D87" s="35">
        <v>0.15</v>
      </c>
      <c r="E87" s="544">
        <v>0.15</v>
      </c>
      <c r="F87" s="544">
        <v>0.15</v>
      </c>
      <c r="G87" s="544">
        <v>0.15</v>
      </c>
      <c r="H87" s="544">
        <v>0.15</v>
      </c>
      <c r="I87" s="545">
        <v>0.15</v>
      </c>
      <c r="J87" s="627">
        <v>0.15</v>
      </c>
      <c r="K87" s="627">
        <v>0.15</v>
      </c>
      <c r="L87" s="627">
        <v>0.15</v>
      </c>
    </row>
    <row r="88" spans="1:12" ht="15.6">
      <c r="A88" s="34" t="s">
        <v>182</v>
      </c>
      <c r="B88" s="35">
        <v>0</v>
      </c>
      <c r="C88" s="35">
        <v>0</v>
      </c>
      <c r="D88" s="35">
        <v>0.1</v>
      </c>
      <c r="E88" s="544">
        <v>0.1</v>
      </c>
      <c r="F88" s="544">
        <v>0.1</v>
      </c>
      <c r="G88" s="544">
        <v>0.1</v>
      </c>
      <c r="H88" s="544">
        <v>0.1</v>
      </c>
      <c r="I88" s="545">
        <v>0.1</v>
      </c>
      <c r="J88" s="627">
        <v>0.1</v>
      </c>
      <c r="K88" s="627">
        <v>0.1</v>
      </c>
      <c r="L88" s="627">
        <v>0.1</v>
      </c>
    </row>
    <row r="89" spans="1:12" ht="15.6">
      <c r="A89" s="34" t="s">
        <v>183</v>
      </c>
      <c r="B89" s="35">
        <v>0.15</v>
      </c>
      <c r="C89" s="35">
        <v>0.15</v>
      </c>
      <c r="D89" s="35">
        <v>0.15</v>
      </c>
      <c r="E89" s="544">
        <v>0.2</v>
      </c>
      <c r="F89" s="544">
        <v>0.2</v>
      </c>
      <c r="G89" s="544">
        <v>0.2</v>
      </c>
      <c r="H89" s="544">
        <v>0.2</v>
      </c>
      <c r="I89" s="545">
        <v>0.2</v>
      </c>
      <c r="J89" s="627">
        <v>0.2</v>
      </c>
      <c r="K89" s="627">
        <v>0.2</v>
      </c>
      <c r="L89" s="627">
        <v>0.2</v>
      </c>
    </row>
    <row r="90" spans="1:12" ht="15.6">
      <c r="A90" s="34" t="s">
        <v>184</v>
      </c>
      <c r="B90" s="35">
        <v>0.15</v>
      </c>
      <c r="C90" s="35">
        <v>0.15</v>
      </c>
      <c r="D90" s="35">
        <v>0.15</v>
      </c>
      <c r="E90" s="544">
        <v>0.15</v>
      </c>
      <c r="F90" s="544">
        <v>0.17</v>
      </c>
      <c r="G90" s="544">
        <v>0.17</v>
      </c>
      <c r="H90" s="544">
        <v>0.17</v>
      </c>
      <c r="I90" s="545">
        <v>0.17</v>
      </c>
      <c r="J90" s="627">
        <v>0.17</v>
      </c>
      <c r="K90" s="627">
        <v>0.17</v>
      </c>
      <c r="L90" s="627">
        <v>0.17</v>
      </c>
    </row>
    <row r="91" spans="1:12" ht="15.6">
      <c r="A91" s="34" t="s">
        <v>185</v>
      </c>
      <c r="B91" s="35">
        <v>0.2</v>
      </c>
      <c r="C91" s="35">
        <v>0.2</v>
      </c>
      <c r="D91" s="35">
        <v>0.2</v>
      </c>
      <c r="E91" s="544">
        <v>0.2</v>
      </c>
      <c r="F91" s="544">
        <v>0.2</v>
      </c>
      <c r="G91" s="544">
        <v>0.2</v>
      </c>
      <c r="H91" s="544">
        <v>0.2</v>
      </c>
      <c r="I91" s="545">
        <v>0.24</v>
      </c>
      <c r="J91" s="627">
        <v>0.24</v>
      </c>
      <c r="K91" s="627">
        <v>0.2</v>
      </c>
      <c r="L91" s="627">
        <v>0.2</v>
      </c>
    </row>
    <row r="92" spans="1:12" ht="15.6">
      <c r="A92" s="34" t="s">
        <v>186</v>
      </c>
      <c r="B92" s="35">
        <v>0.125</v>
      </c>
      <c r="C92" s="35">
        <v>0.125</v>
      </c>
      <c r="D92" s="35">
        <v>0.125</v>
      </c>
      <c r="E92" s="544">
        <v>0.125</v>
      </c>
      <c r="F92" s="544">
        <v>0.125</v>
      </c>
      <c r="G92" s="544">
        <v>0.125</v>
      </c>
      <c r="H92" s="544">
        <v>0.125</v>
      </c>
      <c r="I92" s="545">
        <v>0.125</v>
      </c>
      <c r="J92" s="627">
        <v>0.125</v>
      </c>
      <c r="K92" s="627">
        <v>0.125</v>
      </c>
      <c r="L92" s="627">
        <v>0.125</v>
      </c>
    </row>
    <row r="93" spans="1:12" ht="15.6">
      <c r="A93" s="34" t="s">
        <v>187</v>
      </c>
      <c r="B93" s="35">
        <v>0.15</v>
      </c>
      <c r="C93" s="35">
        <v>0.15</v>
      </c>
      <c r="D93" s="35">
        <v>0.15</v>
      </c>
      <c r="E93" s="544">
        <v>0.15</v>
      </c>
      <c r="F93" s="544">
        <v>0.15</v>
      </c>
      <c r="G93" s="544">
        <v>0.15</v>
      </c>
      <c r="H93" s="544">
        <v>0.15</v>
      </c>
      <c r="I93" s="545">
        <v>0.15</v>
      </c>
      <c r="J93" s="627">
        <v>0.15</v>
      </c>
      <c r="K93" s="627">
        <v>0.15</v>
      </c>
      <c r="L93" s="627">
        <v>0.15</v>
      </c>
    </row>
    <row r="94" spans="1:12" ht="15.6">
      <c r="A94" s="34" t="s">
        <v>188</v>
      </c>
      <c r="B94" s="35">
        <v>0.29220000000000002</v>
      </c>
      <c r="C94" s="35">
        <v>0.29220000000000002</v>
      </c>
      <c r="D94" s="35">
        <v>0.27079999999999999</v>
      </c>
      <c r="E94" s="544">
        <v>0.2601</v>
      </c>
      <c r="F94" s="544">
        <v>0.24940000000000001</v>
      </c>
      <c r="G94" s="544">
        <v>0.24940000000000001</v>
      </c>
      <c r="H94" s="544">
        <v>0.24940000000000001</v>
      </c>
      <c r="I94" s="545">
        <v>0.24940000000000001</v>
      </c>
      <c r="J94" s="627">
        <v>0.24940000000000001</v>
      </c>
      <c r="K94" s="627">
        <v>0.24940000000000001</v>
      </c>
      <c r="L94" s="627">
        <v>0.24940000000000001</v>
      </c>
    </row>
    <row r="95" spans="1:12" ht="15.6">
      <c r="A95" s="34" t="s">
        <v>189</v>
      </c>
      <c r="B95" s="35">
        <v>0.12</v>
      </c>
      <c r="C95" s="35">
        <v>0.12</v>
      </c>
      <c r="D95" s="35">
        <v>0.12</v>
      </c>
      <c r="E95" s="544">
        <v>0.12</v>
      </c>
      <c r="F95" s="544">
        <v>0.12</v>
      </c>
      <c r="G95" s="544">
        <v>0.12</v>
      </c>
      <c r="H95" s="544">
        <v>0.12</v>
      </c>
      <c r="I95" s="545">
        <v>0.12</v>
      </c>
      <c r="J95" s="627">
        <v>0.12</v>
      </c>
      <c r="K95" s="627">
        <v>0.12</v>
      </c>
      <c r="L95" s="627">
        <v>0.12</v>
      </c>
    </row>
    <row r="96" spans="1:12" ht="15.6">
      <c r="A96" s="34" t="s">
        <v>190</v>
      </c>
      <c r="B96" s="35">
        <v>0.1</v>
      </c>
      <c r="C96" s="35">
        <v>0.1</v>
      </c>
      <c r="D96" s="35">
        <v>0.1</v>
      </c>
      <c r="E96" s="544">
        <v>0.1</v>
      </c>
      <c r="F96" s="544">
        <v>0.1</v>
      </c>
      <c r="G96" s="544">
        <v>0.1</v>
      </c>
      <c r="H96" s="544">
        <v>0.1</v>
      </c>
      <c r="I96" s="545">
        <v>0.1</v>
      </c>
      <c r="J96" s="627">
        <v>0.1</v>
      </c>
      <c r="K96" s="627">
        <v>0.1</v>
      </c>
      <c r="L96" s="627">
        <v>0.1</v>
      </c>
    </row>
    <row r="97" spans="1:12" ht="15.6">
      <c r="A97" s="34" t="s">
        <v>191</v>
      </c>
      <c r="B97" s="35">
        <v>0</v>
      </c>
      <c r="C97" s="35">
        <v>0</v>
      </c>
      <c r="D97" s="35">
        <v>0.2</v>
      </c>
      <c r="E97" s="544">
        <v>0.2</v>
      </c>
      <c r="F97" s="544">
        <v>0.2</v>
      </c>
      <c r="G97" s="544">
        <v>0.2</v>
      </c>
      <c r="H97" s="544">
        <v>0.2</v>
      </c>
      <c r="I97" s="545">
        <v>0.2</v>
      </c>
      <c r="J97" s="627">
        <v>0.2</v>
      </c>
      <c r="K97" s="627">
        <v>0.2</v>
      </c>
      <c r="L97" s="627">
        <v>0.2</v>
      </c>
    </row>
    <row r="98" spans="1:12" ht="15.6">
      <c r="A98" s="34" t="s">
        <v>192</v>
      </c>
      <c r="B98" s="35">
        <v>0.3</v>
      </c>
      <c r="C98" s="35">
        <v>0.3</v>
      </c>
      <c r="D98" s="35">
        <v>0.3</v>
      </c>
      <c r="E98" s="544">
        <v>0.3</v>
      </c>
      <c r="F98" s="544">
        <v>0.3</v>
      </c>
      <c r="G98" s="544">
        <v>0.3</v>
      </c>
      <c r="H98" s="544">
        <v>0.3</v>
      </c>
      <c r="I98" s="545">
        <v>0.3</v>
      </c>
      <c r="J98" s="627">
        <v>0.3</v>
      </c>
      <c r="K98" s="627">
        <v>0.3</v>
      </c>
      <c r="L98" s="627">
        <v>0.3</v>
      </c>
    </row>
    <row r="99" spans="1:12" ht="15.6">
      <c r="A99" s="34" t="s">
        <v>193</v>
      </c>
      <c r="B99" s="35">
        <v>0.24</v>
      </c>
      <c r="C99" s="35">
        <v>0.24</v>
      </c>
      <c r="D99" s="35">
        <v>0.24</v>
      </c>
      <c r="E99" s="544">
        <v>0.24</v>
      </c>
      <c r="F99" s="544">
        <v>0.24</v>
      </c>
      <c r="G99" s="544">
        <v>0.24</v>
      </c>
      <c r="H99" s="544">
        <v>0.24</v>
      </c>
      <c r="I99" s="545">
        <v>0.24</v>
      </c>
      <c r="J99" s="627">
        <v>0.24</v>
      </c>
      <c r="K99" s="627">
        <v>0.24</v>
      </c>
      <c r="L99" s="627">
        <v>0.24</v>
      </c>
    </row>
    <row r="100" spans="1:12" ht="15.6">
      <c r="A100" s="34" t="s">
        <v>194</v>
      </c>
      <c r="B100" s="35">
        <v>0.35</v>
      </c>
      <c r="C100" s="35">
        <v>0.35</v>
      </c>
      <c r="D100" s="35">
        <v>0.35</v>
      </c>
      <c r="E100" s="544">
        <v>0.35</v>
      </c>
      <c r="F100" s="544">
        <v>0.35</v>
      </c>
      <c r="G100" s="544">
        <v>0.35</v>
      </c>
      <c r="H100" s="544">
        <v>0.35</v>
      </c>
      <c r="I100" s="545">
        <v>0.35</v>
      </c>
      <c r="J100" s="627">
        <v>0.35</v>
      </c>
      <c r="K100" s="627">
        <v>0.35</v>
      </c>
      <c r="L100" s="627">
        <v>0.35</v>
      </c>
    </row>
    <row r="101" spans="1:12" ht="15.6">
      <c r="A101" s="34" t="s">
        <v>195</v>
      </c>
      <c r="B101" s="35">
        <v>0.15</v>
      </c>
      <c r="C101" s="35">
        <v>0.15</v>
      </c>
      <c r="D101" s="35">
        <v>0.15</v>
      </c>
      <c r="E101" s="544">
        <v>0.15</v>
      </c>
      <c r="F101" s="544">
        <v>0.15</v>
      </c>
      <c r="G101" s="544">
        <v>0.15</v>
      </c>
      <c r="H101" s="544">
        <v>0.15</v>
      </c>
      <c r="I101" s="545">
        <v>0.15</v>
      </c>
      <c r="J101" s="627">
        <v>0.15</v>
      </c>
      <c r="K101" s="627">
        <v>0.15</v>
      </c>
      <c r="L101" s="627">
        <v>0.15</v>
      </c>
    </row>
    <row r="102" spans="1:12" ht="15.6">
      <c r="A102" s="34" t="s">
        <v>92</v>
      </c>
      <c r="B102" s="35">
        <v>0.3</v>
      </c>
      <c r="C102" s="35">
        <v>0.3</v>
      </c>
      <c r="D102" s="35">
        <v>0.3</v>
      </c>
      <c r="E102" s="544">
        <v>0.3</v>
      </c>
      <c r="F102" s="544">
        <v>0.3</v>
      </c>
      <c r="G102" s="544">
        <v>0.3</v>
      </c>
      <c r="H102" s="544">
        <v>0.3</v>
      </c>
      <c r="I102" s="545">
        <v>0.3</v>
      </c>
      <c r="J102" s="627">
        <v>0.3</v>
      </c>
      <c r="K102" s="627">
        <v>0.3</v>
      </c>
      <c r="L102" s="627">
        <v>0.3</v>
      </c>
    </row>
    <row r="103" spans="1:12" ht="15.6">
      <c r="A103" s="34" t="s">
        <v>196</v>
      </c>
      <c r="B103" s="35">
        <v>0.12</v>
      </c>
      <c r="C103" s="35">
        <v>0.12</v>
      </c>
      <c r="D103" s="35">
        <v>0.12</v>
      </c>
      <c r="E103" s="544">
        <v>0.12</v>
      </c>
      <c r="F103" s="544">
        <v>0.12</v>
      </c>
      <c r="G103" s="544">
        <v>0.12</v>
      </c>
      <c r="H103" s="544">
        <v>0.12</v>
      </c>
      <c r="I103" s="545">
        <v>0.12</v>
      </c>
      <c r="J103" s="627">
        <v>0.12</v>
      </c>
      <c r="K103" s="627">
        <v>0.12</v>
      </c>
      <c r="L103" s="627">
        <v>0.12</v>
      </c>
    </row>
    <row r="104" spans="1:12" ht="15.6">
      <c r="A104" s="34" t="s">
        <v>197</v>
      </c>
      <c r="B104" s="35">
        <v>0</v>
      </c>
      <c r="C104" s="35">
        <v>0</v>
      </c>
      <c r="D104" s="35">
        <v>0.33329999999999999</v>
      </c>
      <c r="E104" s="544">
        <v>0.33</v>
      </c>
      <c r="F104" s="544">
        <v>0.33</v>
      </c>
      <c r="G104" s="544">
        <v>0.33</v>
      </c>
      <c r="H104" s="544">
        <v>0.33</v>
      </c>
      <c r="I104" s="545">
        <v>0.33</v>
      </c>
      <c r="J104" s="627">
        <v>0.33</v>
      </c>
      <c r="K104" s="627">
        <v>0.25</v>
      </c>
      <c r="L104" s="627">
        <v>0.25</v>
      </c>
    </row>
    <row r="105" spans="1:12" ht="15.6">
      <c r="A105" s="34" t="s">
        <v>198</v>
      </c>
      <c r="B105" s="35">
        <v>0</v>
      </c>
      <c r="C105" s="35">
        <v>0</v>
      </c>
      <c r="D105" s="35">
        <v>0.25</v>
      </c>
      <c r="E105" s="544">
        <v>0.25</v>
      </c>
      <c r="F105" s="544">
        <v>0.25</v>
      </c>
      <c r="G105" s="544">
        <v>0.25</v>
      </c>
      <c r="H105" s="544">
        <v>0.25</v>
      </c>
      <c r="I105" s="545">
        <v>0.25</v>
      </c>
      <c r="J105" s="627">
        <v>0.25</v>
      </c>
      <c r="K105" s="627">
        <v>0.25</v>
      </c>
      <c r="L105" s="627">
        <v>0.25</v>
      </c>
    </row>
    <row r="106" spans="1:12" ht="15.6">
      <c r="A106" s="34" t="s">
        <v>199</v>
      </c>
      <c r="B106" s="35">
        <v>0.09</v>
      </c>
      <c r="C106" s="35">
        <v>0.09</v>
      </c>
      <c r="D106" s="35">
        <v>0.09</v>
      </c>
      <c r="E106" s="544">
        <v>0.09</v>
      </c>
      <c r="F106" s="544">
        <v>0.09</v>
      </c>
      <c r="G106" s="544">
        <v>0.09</v>
      </c>
      <c r="H106" s="544">
        <v>0.09</v>
      </c>
      <c r="I106" s="545">
        <v>0.15</v>
      </c>
      <c r="J106" s="627">
        <v>0.15</v>
      </c>
      <c r="K106" s="627">
        <v>0.15</v>
      </c>
      <c r="L106" s="627">
        <v>0.15</v>
      </c>
    </row>
    <row r="107" spans="1:12" ht="15.6">
      <c r="A107" s="34" t="s">
        <v>200</v>
      </c>
      <c r="B107" s="35">
        <v>0.31</v>
      </c>
      <c r="C107" s="35">
        <v>0.31</v>
      </c>
      <c r="D107" s="35">
        <v>0.31</v>
      </c>
      <c r="E107" s="544">
        <v>0.31</v>
      </c>
      <c r="F107" s="544">
        <v>0.31</v>
      </c>
      <c r="G107" s="544">
        <v>0.31</v>
      </c>
      <c r="H107" s="544">
        <v>0.31</v>
      </c>
      <c r="I107" s="545">
        <v>0.31</v>
      </c>
      <c r="J107" s="627">
        <v>0.31</v>
      </c>
      <c r="K107" s="627">
        <v>0.32</v>
      </c>
      <c r="L107" s="627">
        <v>0.32</v>
      </c>
    </row>
    <row r="108" spans="1:12" ht="15.6">
      <c r="A108" s="34" t="s">
        <v>201</v>
      </c>
      <c r="B108" s="35">
        <v>0.32</v>
      </c>
      <c r="C108" s="35">
        <v>0.32</v>
      </c>
      <c r="D108" s="35">
        <v>0.32</v>
      </c>
      <c r="E108" s="544">
        <v>0.32</v>
      </c>
      <c r="F108" s="544">
        <v>0.32</v>
      </c>
      <c r="G108" s="544">
        <v>0.32</v>
      </c>
      <c r="H108" s="544">
        <v>0.32</v>
      </c>
      <c r="I108" s="545">
        <v>0.32</v>
      </c>
      <c r="J108" s="627">
        <v>0.32</v>
      </c>
      <c r="K108" s="627">
        <v>0.32</v>
      </c>
      <c r="L108" s="627">
        <v>0.32</v>
      </c>
    </row>
    <row r="109" spans="1:12" ht="15.6">
      <c r="A109" s="34" t="s">
        <v>202</v>
      </c>
      <c r="B109" s="35">
        <v>0</v>
      </c>
      <c r="C109" s="35">
        <v>0</v>
      </c>
      <c r="D109" s="35">
        <v>0.25</v>
      </c>
      <c r="E109" s="544">
        <v>0.25</v>
      </c>
      <c r="F109" s="544">
        <v>0.25</v>
      </c>
      <c r="G109" s="544">
        <v>0.25</v>
      </c>
      <c r="H109" s="544">
        <v>0.25</v>
      </c>
      <c r="I109" s="545">
        <v>0.22</v>
      </c>
      <c r="J109" s="627">
        <v>0.22</v>
      </c>
      <c r="K109" s="627">
        <v>0.22</v>
      </c>
      <c r="L109" s="627">
        <v>0.22</v>
      </c>
    </row>
    <row r="110" spans="1:12" ht="15.6">
      <c r="A110" s="34" t="s">
        <v>203</v>
      </c>
      <c r="B110" s="35">
        <v>0.33</v>
      </c>
      <c r="C110" s="35">
        <v>0.32</v>
      </c>
      <c r="D110" s="35">
        <v>0.32</v>
      </c>
      <c r="E110" s="544">
        <v>0.32</v>
      </c>
      <c r="F110" s="544">
        <v>0.32</v>
      </c>
      <c r="G110" s="544">
        <v>0.32</v>
      </c>
      <c r="H110" s="544">
        <v>0.32</v>
      </c>
      <c r="I110" s="545">
        <v>0.32</v>
      </c>
      <c r="J110" s="627">
        <v>0.32</v>
      </c>
      <c r="K110" s="627">
        <v>0.32</v>
      </c>
      <c r="L110" s="627">
        <v>0.32</v>
      </c>
    </row>
    <row r="111" spans="1:12" ht="15.6">
      <c r="A111" s="34" t="s">
        <v>204</v>
      </c>
      <c r="B111" s="35">
        <v>0.25</v>
      </c>
      <c r="C111" s="35">
        <v>0.25</v>
      </c>
      <c r="D111" s="35">
        <v>0.25</v>
      </c>
      <c r="E111" s="544">
        <v>0.25</v>
      </c>
      <c r="F111" s="544">
        <v>0.25</v>
      </c>
      <c r="G111" s="544">
        <v>0.25</v>
      </c>
      <c r="H111" s="544">
        <v>0.25</v>
      </c>
      <c r="I111" s="545">
        <v>0.25800000000000001</v>
      </c>
      <c r="J111" s="627">
        <v>0.25800000000000001</v>
      </c>
      <c r="K111" s="627">
        <v>0.25800000000000001</v>
      </c>
      <c r="L111" s="627">
        <v>0.25800000000000001</v>
      </c>
    </row>
    <row r="112" spans="1:12" ht="15.6">
      <c r="A112" s="34" t="s">
        <v>205</v>
      </c>
      <c r="B112" s="35">
        <v>0.28000000000000003</v>
      </c>
      <c r="C112" s="35">
        <v>0.28000000000000003</v>
      </c>
      <c r="D112" s="35">
        <v>0.28000000000000003</v>
      </c>
      <c r="E112" s="544">
        <v>0.28000000000000003</v>
      </c>
      <c r="F112" s="544">
        <v>0.28000000000000003</v>
      </c>
      <c r="G112" s="544">
        <v>0.28000000000000003</v>
      </c>
      <c r="H112" s="544">
        <v>0.28000000000000003</v>
      </c>
      <c r="I112" s="545">
        <v>0.28000000000000003</v>
      </c>
      <c r="J112" s="627">
        <v>0.28000000000000003</v>
      </c>
      <c r="K112" s="627">
        <v>0.28000000000000003</v>
      </c>
      <c r="L112" s="627">
        <v>0.28000000000000003</v>
      </c>
    </row>
    <row r="113" spans="1:12" ht="15.6">
      <c r="A113" s="34" t="s">
        <v>206</v>
      </c>
      <c r="B113" s="35">
        <v>0</v>
      </c>
      <c r="C113" s="35">
        <v>0</v>
      </c>
      <c r="D113" s="35">
        <v>0.3</v>
      </c>
      <c r="E113" s="544">
        <v>0.3</v>
      </c>
      <c r="F113" s="544">
        <v>0.3</v>
      </c>
      <c r="G113" s="544">
        <v>0.3</v>
      </c>
      <c r="H113" s="544">
        <v>0.3</v>
      </c>
      <c r="I113" s="545">
        <v>0.3</v>
      </c>
      <c r="J113" s="627">
        <v>0.3</v>
      </c>
      <c r="K113" s="627">
        <v>0.3</v>
      </c>
      <c r="L113" s="627">
        <v>0.3</v>
      </c>
    </row>
    <row r="114" spans="1:12" ht="15.6">
      <c r="A114" s="34" t="s">
        <v>207</v>
      </c>
      <c r="B114" s="35">
        <v>0.3</v>
      </c>
      <c r="C114" s="35">
        <v>0.3</v>
      </c>
      <c r="D114" s="35">
        <v>0.3</v>
      </c>
      <c r="E114" s="544">
        <v>0.3</v>
      </c>
      <c r="F114" s="544">
        <v>0.3</v>
      </c>
      <c r="G114" s="544">
        <v>0.3</v>
      </c>
      <c r="H114" s="544">
        <v>0.3</v>
      </c>
      <c r="I114" s="545">
        <v>0.3</v>
      </c>
      <c r="J114" s="627">
        <v>0.3</v>
      </c>
      <c r="K114" s="627">
        <v>0.3</v>
      </c>
      <c r="L114" s="627">
        <v>0.3</v>
      </c>
    </row>
    <row r="115" spans="1:12" ht="15.6">
      <c r="A115" s="34" t="s">
        <v>208</v>
      </c>
      <c r="B115" s="35">
        <v>0.27</v>
      </c>
      <c r="C115" s="35">
        <v>0.25</v>
      </c>
      <c r="D115" s="35">
        <v>0.24</v>
      </c>
      <c r="E115" s="544">
        <v>0.23</v>
      </c>
      <c r="F115" s="544">
        <v>0.22</v>
      </c>
      <c r="G115" s="544">
        <v>0.22</v>
      </c>
      <c r="H115" s="544">
        <v>0.22</v>
      </c>
      <c r="I115" s="545">
        <v>0.22</v>
      </c>
      <c r="J115" s="627">
        <v>0.22</v>
      </c>
      <c r="K115" s="627">
        <v>0.22</v>
      </c>
      <c r="L115" s="627">
        <v>0.22</v>
      </c>
    </row>
    <row r="116" spans="1:12" ht="15.6">
      <c r="A116" s="34" t="s">
        <v>209</v>
      </c>
      <c r="B116" s="35">
        <v>0.12</v>
      </c>
      <c r="C116" s="35">
        <v>0.12</v>
      </c>
      <c r="D116" s="35">
        <v>0.15</v>
      </c>
      <c r="E116" s="544">
        <v>0.15</v>
      </c>
      <c r="F116" s="544">
        <v>0.15</v>
      </c>
      <c r="G116" s="544">
        <v>0.15</v>
      </c>
      <c r="H116" s="544">
        <v>0.15</v>
      </c>
      <c r="I116" s="545">
        <v>0.15</v>
      </c>
      <c r="J116" s="627">
        <v>0.15</v>
      </c>
      <c r="K116" s="627">
        <v>0.15</v>
      </c>
      <c r="L116" s="627">
        <v>0.15</v>
      </c>
    </row>
    <row r="117" spans="1:12" ht="15.6">
      <c r="A117" s="34" t="s">
        <v>210</v>
      </c>
      <c r="B117" s="35">
        <v>0.33</v>
      </c>
      <c r="C117" s="35">
        <v>0.32</v>
      </c>
      <c r="D117" s="35">
        <v>0.31</v>
      </c>
      <c r="E117" s="544">
        <v>0.3</v>
      </c>
      <c r="F117" s="544">
        <v>0.3</v>
      </c>
      <c r="G117" s="544">
        <v>0.35</v>
      </c>
      <c r="H117" s="544">
        <v>0.28999999999999998</v>
      </c>
      <c r="I117" s="545">
        <v>0.28999999999999998</v>
      </c>
      <c r="J117" s="627">
        <v>0.28999999999999998</v>
      </c>
      <c r="K117" s="627">
        <v>0.28999999999999998</v>
      </c>
      <c r="L117" s="627">
        <v>0.28999999999999998</v>
      </c>
    </row>
    <row r="118" spans="1:12" ht="15.6">
      <c r="A118" s="34" t="s">
        <v>211</v>
      </c>
      <c r="B118" s="35">
        <v>0</v>
      </c>
      <c r="C118" s="35">
        <v>0</v>
      </c>
      <c r="D118" s="35">
        <v>0.15</v>
      </c>
      <c r="E118" s="544">
        <v>0.15</v>
      </c>
      <c r="F118" s="544">
        <v>0.15</v>
      </c>
      <c r="G118" s="544">
        <v>0.15</v>
      </c>
      <c r="H118" s="544">
        <v>0.15</v>
      </c>
      <c r="I118" s="545">
        <v>0.15</v>
      </c>
      <c r="J118" s="627">
        <v>0.15</v>
      </c>
      <c r="K118" s="627">
        <v>0.15</v>
      </c>
      <c r="L118" s="627">
        <v>0.15</v>
      </c>
    </row>
    <row r="119" spans="1:12" ht="15.6">
      <c r="A119" s="34" t="s">
        <v>212</v>
      </c>
      <c r="B119" s="35">
        <v>0.25</v>
      </c>
      <c r="C119" s="35">
        <v>0.25</v>
      </c>
      <c r="D119" s="35">
        <v>0.25</v>
      </c>
      <c r="E119" s="544">
        <v>0.25</v>
      </c>
      <c r="F119" s="544">
        <v>0.25</v>
      </c>
      <c r="G119" s="544">
        <v>0.25</v>
      </c>
      <c r="H119" s="544">
        <v>0.25</v>
      </c>
      <c r="I119" s="545">
        <v>0.25</v>
      </c>
      <c r="J119" s="627">
        <v>0.25</v>
      </c>
      <c r="K119" s="627">
        <v>0.25</v>
      </c>
      <c r="L119" s="627">
        <v>0.25</v>
      </c>
    </row>
    <row r="120" spans="1:12" ht="15.6">
      <c r="A120" s="34" t="s">
        <v>213</v>
      </c>
      <c r="B120" s="35">
        <v>0.3</v>
      </c>
      <c r="C120" s="35">
        <v>0.3</v>
      </c>
      <c r="D120" s="35">
        <v>0.3</v>
      </c>
      <c r="E120" s="544">
        <v>0.3</v>
      </c>
      <c r="F120" s="544">
        <v>0.3</v>
      </c>
      <c r="G120" s="544">
        <v>0.3</v>
      </c>
      <c r="H120" s="544">
        <v>0.3</v>
      </c>
      <c r="I120" s="545">
        <v>0.3</v>
      </c>
      <c r="J120" s="627">
        <v>0.3</v>
      </c>
      <c r="K120" s="627">
        <v>0.3</v>
      </c>
      <c r="L120" s="627">
        <v>0.3</v>
      </c>
    </row>
    <row r="121" spans="1:12" ht="15.6">
      <c r="A121" s="34" t="s">
        <v>214</v>
      </c>
      <c r="B121" s="35">
        <v>0.1</v>
      </c>
      <c r="C121" s="35">
        <v>0.1</v>
      </c>
      <c r="D121" s="35">
        <v>0.1</v>
      </c>
      <c r="E121" s="544">
        <v>0.1</v>
      </c>
      <c r="F121" s="544">
        <v>0.1</v>
      </c>
      <c r="G121" s="544">
        <v>0.1</v>
      </c>
      <c r="H121" s="544">
        <v>0.1</v>
      </c>
      <c r="I121" s="545">
        <v>0.1</v>
      </c>
      <c r="J121" s="627">
        <v>0.1</v>
      </c>
      <c r="K121" s="627">
        <v>0.1</v>
      </c>
      <c r="L121" s="627">
        <v>0.1</v>
      </c>
    </row>
    <row r="122" spans="1:12" ht="15.6">
      <c r="A122" s="34" t="s">
        <v>10</v>
      </c>
      <c r="B122" s="35">
        <v>0.28000000000000003</v>
      </c>
      <c r="C122" s="35">
        <v>0.28000000000000003</v>
      </c>
      <c r="D122" s="35">
        <v>0.29499999999999998</v>
      </c>
      <c r="E122" s="544">
        <v>0.29499999999999998</v>
      </c>
      <c r="F122" s="544">
        <v>0.29499999999999998</v>
      </c>
      <c r="G122" s="544">
        <v>0.29499999999999998</v>
      </c>
      <c r="H122" s="544">
        <v>0.29499999999999998</v>
      </c>
      <c r="I122" s="545">
        <v>0.29499999999999998</v>
      </c>
      <c r="J122" s="627">
        <v>0.29499999999999998</v>
      </c>
      <c r="K122" s="627">
        <v>0.29499999999999998</v>
      </c>
      <c r="L122" s="627">
        <v>0.29499999999999998</v>
      </c>
    </row>
    <row r="123" spans="1:12" ht="15.6">
      <c r="A123" s="34" t="s">
        <v>215</v>
      </c>
      <c r="B123" s="35">
        <v>0.3</v>
      </c>
      <c r="C123" s="35">
        <v>0.3</v>
      </c>
      <c r="D123" s="35">
        <v>0.3</v>
      </c>
      <c r="E123" s="544">
        <v>0.3</v>
      </c>
      <c r="F123" s="544">
        <v>0.3</v>
      </c>
      <c r="G123" s="544">
        <v>0.3</v>
      </c>
      <c r="H123" s="544">
        <v>0.3</v>
      </c>
      <c r="I123" s="545">
        <v>0.25</v>
      </c>
      <c r="J123" s="627">
        <v>0.25</v>
      </c>
      <c r="K123" s="627">
        <v>0.25</v>
      </c>
      <c r="L123" s="627">
        <v>0.25</v>
      </c>
    </row>
    <row r="124" spans="1:12" ht="15.6">
      <c r="A124" s="34" t="s">
        <v>216</v>
      </c>
      <c r="B124" s="35">
        <v>0.19</v>
      </c>
      <c r="C124" s="35">
        <v>0.19</v>
      </c>
      <c r="D124" s="35">
        <v>0.19</v>
      </c>
      <c r="E124" s="544">
        <v>0.19</v>
      </c>
      <c r="F124" s="544">
        <v>0.19</v>
      </c>
      <c r="G124" s="544">
        <v>0.19</v>
      </c>
      <c r="H124" s="544">
        <v>0.19</v>
      </c>
      <c r="I124" s="545">
        <v>0.19</v>
      </c>
      <c r="J124" s="627">
        <v>0.19</v>
      </c>
      <c r="K124" s="627">
        <v>0.19</v>
      </c>
      <c r="L124" s="627">
        <v>0.19</v>
      </c>
    </row>
    <row r="125" spans="1:12" ht="15.6">
      <c r="A125" s="34" t="s">
        <v>217</v>
      </c>
      <c r="B125" s="35">
        <v>0.21</v>
      </c>
      <c r="C125" s="35">
        <v>0.21</v>
      </c>
      <c r="D125" s="35">
        <v>0.21</v>
      </c>
      <c r="E125" s="544">
        <v>0.21</v>
      </c>
      <c r="F125" s="544">
        <v>0.21</v>
      </c>
      <c r="G125" s="544">
        <v>0.21</v>
      </c>
      <c r="H125" s="544">
        <v>0.21</v>
      </c>
      <c r="I125" s="545">
        <v>0.21</v>
      </c>
      <c r="J125" s="627">
        <v>0.21</v>
      </c>
      <c r="K125" s="627">
        <v>0.315</v>
      </c>
      <c r="L125" s="627">
        <v>0.315</v>
      </c>
    </row>
    <row r="126" spans="1:12" ht="15.6">
      <c r="A126" s="34" t="s">
        <v>218</v>
      </c>
      <c r="B126" s="35">
        <v>0.1</v>
      </c>
      <c r="C126" s="35">
        <v>0</v>
      </c>
      <c r="D126" s="35">
        <v>0.1</v>
      </c>
      <c r="E126" s="544">
        <v>0.1</v>
      </c>
      <c r="F126" s="544">
        <v>0.1</v>
      </c>
      <c r="G126" s="544">
        <v>0.1</v>
      </c>
      <c r="H126" s="544">
        <v>0.1</v>
      </c>
      <c r="I126" s="545">
        <v>0.1</v>
      </c>
      <c r="J126" s="627">
        <v>0.1</v>
      </c>
      <c r="K126" s="627">
        <v>0.1</v>
      </c>
      <c r="L126" s="627">
        <v>0.1</v>
      </c>
    </row>
    <row r="127" spans="1:12" ht="15.6">
      <c r="A127" s="34" t="s">
        <v>219</v>
      </c>
      <c r="B127" s="35">
        <v>0.16</v>
      </c>
      <c r="C127" s="35">
        <v>0.16</v>
      </c>
      <c r="D127" s="35">
        <v>0.16</v>
      </c>
      <c r="E127" s="544">
        <v>0.16</v>
      </c>
      <c r="F127" s="544">
        <v>0.16</v>
      </c>
      <c r="G127" s="544">
        <v>0.16</v>
      </c>
      <c r="H127" s="544">
        <v>0.16</v>
      </c>
      <c r="I127" s="545">
        <v>0.16</v>
      </c>
      <c r="J127" s="627">
        <v>0.16</v>
      </c>
      <c r="K127" s="627">
        <v>0.16</v>
      </c>
      <c r="L127" s="627">
        <v>0.16</v>
      </c>
    </row>
    <row r="128" spans="1:12" ht="15.6">
      <c r="A128" s="34" t="s">
        <v>220</v>
      </c>
      <c r="B128" s="35">
        <v>0.2</v>
      </c>
      <c r="C128" s="35">
        <v>0.2</v>
      </c>
      <c r="D128" s="35">
        <v>0.2</v>
      </c>
      <c r="E128" s="544">
        <v>0.2</v>
      </c>
      <c r="F128" s="544">
        <v>0.2</v>
      </c>
      <c r="G128" s="544">
        <v>0.2</v>
      </c>
      <c r="H128" s="544">
        <v>0.2</v>
      </c>
      <c r="I128" s="545">
        <v>0.2</v>
      </c>
      <c r="J128" s="627">
        <v>0.2</v>
      </c>
      <c r="K128" s="627">
        <v>0.2</v>
      </c>
      <c r="L128" s="627">
        <v>0.2</v>
      </c>
    </row>
    <row r="129" spans="1:12" ht="15.6">
      <c r="A129" s="34" t="s">
        <v>221</v>
      </c>
      <c r="B129" s="35">
        <v>0</v>
      </c>
      <c r="C129" s="35">
        <v>0</v>
      </c>
      <c r="D129" s="35">
        <v>0.3</v>
      </c>
      <c r="E129" s="544">
        <v>0.3</v>
      </c>
      <c r="F129" s="544">
        <v>0.3</v>
      </c>
      <c r="G129" s="544">
        <v>0.3</v>
      </c>
      <c r="H129" s="544">
        <v>0.3</v>
      </c>
      <c r="I129" s="545">
        <v>0.3</v>
      </c>
      <c r="J129" s="627">
        <v>0.3</v>
      </c>
      <c r="K129" s="627">
        <v>0.3</v>
      </c>
      <c r="L129" s="627">
        <v>0.3</v>
      </c>
    </row>
    <row r="130" spans="1:12" ht="15.6">
      <c r="A130" s="34" t="s">
        <v>222</v>
      </c>
      <c r="B130" s="35">
        <v>0</v>
      </c>
      <c r="C130" s="35">
        <v>0</v>
      </c>
      <c r="D130" s="35">
        <v>0.33</v>
      </c>
      <c r="E130" s="544">
        <v>0.33</v>
      </c>
      <c r="F130" s="544">
        <v>0.33</v>
      </c>
      <c r="G130" s="544">
        <v>0.33</v>
      </c>
      <c r="H130" s="544">
        <v>0.33</v>
      </c>
      <c r="I130" s="545">
        <v>0.33</v>
      </c>
      <c r="J130" s="627">
        <v>0.33</v>
      </c>
      <c r="K130" s="627">
        <v>0.33</v>
      </c>
      <c r="L130" s="627">
        <v>0.33</v>
      </c>
    </row>
    <row r="131" spans="1:12" ht="15.6">
      <c r="A131" s="34" t="s">
        <v>223</v>
      </c>
      <c r="B131" s="35">
        <v>0</v>
      </c>
      <c r="C131" s="35">
        <v>0</v>
      </c>
      <c r="D131" s="35">
        <v>0.3</v>
      </c>
      <c r="E131" s="544">
        <v>0.3</v>
      </c>
      <c r="F131" s="544">
        <v>0.3</v>
      </c>
      <c r="G131" s="544">
        <v>0.3</v>
      </c>
      <c r="H131" s="544">
        <v>0.3</v>
      </c>
      <c r="I131" s="545">
        <v>0.3</v>
      </c>
      <c r="J131" s="627">
        <v>0.3</v>
      </c>
      <c r="K131" s="627">
        <v>0.3</v>
      </c>
      <c r="L131" s="627">
        <v>0.3</v>
      </c>
    </row>
    <row r="132" spans="1:12" ht="15.6">
      <c r="A132" s="34" t="s">
        <v>224</v>
      </c>
      <c r="B132" s="35">
        <v>0</v>
      </c>
      <c r="C132" s="35">
        <v>0</v>
      </c>
      <c r="D132" s="35">
        <v>0.32500000000000001</v>
      </c>
      <c r="E132" s="544">
        <v>0.33</v>
      </c>
      <c r="F132" s="544">
        <v>0.3</v>
      </c>
      <c r="G132" s="544">
        <v>0.3</v>
      </c>
      <c r="H132" s="544">
        <v>0.3</v>
      </c>
      <c r="I132" s="545">
        <v>0.3</v>
      </c>
      <c r="J132" s="627">
        <v>0.3</v>
      </c>
      <c r="K132" s="627">
        <v>0.28000000000000003</v>
      </c>
      <c r="L132" s="627">
        <v>0.28000000000000003</v>
      </c>
    </row>
    <row r="133" spans="1:12" ht="15.6">
      <c r="A133" s="34" t="s">
        <v>225</v>
      </c>
      <c r="B133" s="35">
        <v>0.27</v>
      </c>
      <c r="C133" s="35">
        <v>0.27</v>
      </c>
      <c r="D133" s="35">
        <v>0.27</v>
      </c>
      <c r="E133" s="544">
        <v>0.27</v>
      </c>
      <c r="F133" s="544">
        <v>0.27</v>
      </c>
      <c r="G133" s="544">
        <v>0.27</v>
      </c>
      <c r="H133" s="544">
        <v>0.27</v>
      </c>
      <c r="I133" s="545">
        <v>0.27</v>
      </c>
      <c r="J133" s="627">
        <v>0.27</v>
      </c>
      <c r="K133" s="627">
        <v>0.27</v>
      </c>
      <c r="L133" s="627">
        <v>0.27</v>
      </c>
    </row>
    <row r="134" spans="1:12" ht="15.6">
      <c r="A134" s="34" t="s">
        <v>226</v>
      </c>
      <c r="B134" s="35">
        <v>0.2</v>
      </c>
      <c r="C134" s="35">
        <v>0.2</v>
      </c>
      <c r="D134" s="35">
        <v>0.2</v>
      </c>
      <c r="E134" s="544">
        <v>0.2</v>
      </c>
      <c r="F134" s="544">
        <v>0.2</v>
      </c>
      <c r="G134" s="544">
        <v>0.2</v>
      </c>
      <c r="H134" s="544">
        <v>0.2</v>
      </c>
      <c r="I134" s="545">
        <v>0.2</v>
      </c>
      <c r="J134" s="627">
        <v>0.2</v>
      </c>
      <c r="K134" s="627">
        <v>0.2</v>
      </c>
      <c r="L134" s="627">
        <v>0.2</v>
      </c>
    </row>
    <row r="135" spans="1:12" ht="15.6">
      <c r="A135" s="34" t="s">
        <v>227</v>
      </c>
      <c r="B135" s="35">
        <v>0</v>
      </c>
      <c r="C135" s="35">
        <v>0</v>
      </c>
      <c r="D135" s="35">
        <v>0.3</v>
      </c>
      <c r="E135" s="544">
        <v>0.3</v>
      </c>
      <c r="F135" s="544">
        <v>0.3</v>
      </c>
      <c r="G135" s="544">
        <v>0.3</v>
      </c>
      <c r="H135" s="544">
        <v>0.3</v>
      </c>
      <c r="I135" s="545">
        <v>0.3</v>
      </c>
      <c r="J135" s="627">
        <v>0.3</v>
      </c>
      <c r="K135" s="627">
        <v>0.3</v>
      </c>
      <c r="L135" s="627">
        <v>0.3</v>
      </c>
    </row>
    <row r="136" spans="1:12" ht="15.6">
      <c r="A136" s="34" t="s">
        <v>228</v>
      </c>
      <c r="B136" s="35">
        <v>0.15</v>
      </c>
      <c r="C136" s="35">
        <v>0.15</v>
      </c>
      <c r="D136" s="35">
        <v>0.15</v>
      </c>
      <c r="E136" s="544">
        <v>0.15</v>
      </c>
      <c r="F136" s="544">
        <v>0.15</v>
      </c>
      <c r="G136" s="544">
        <v>0.15</v>
      </c>
      <c r="H136" s="544">
        <v>0.15</v>
      </c>
      <c r="I136" s="545">
        <v>0.15</v>
      </c>
      <c r="J136" s="627">
        <v>0.15</v>
      </c>
      <c r="K136" s="627">
        <v>0.15</v>
      </c>
      <c r="L136" s="627">
        <v>0.15</v>
      </c>
    </row>
    <row r="137" spans="1:12" ht="15.6">
      <c r="A137" s="34" t="s">
        <v>229</v>
      </c>
      <c r="B137" s="35">
        <v>0.3</v>
      </c>
      <c r="C137" s="35">
        <v>0.3</v>
      </c>
      <c r="D137" s="35">
        <v>0.3</v>
      </c>
      <c r="E137" s="544">
        <v>0.3</v>
      </c>
      <c r="F137" s="544">
        <v>0.3</v>
      </c>
      <c r="G137" s="544">
        <v>0.3</v>
      </c>
      <c r="H137" s="544">
        <v>0.3</v>
      </c>
      <c r="I137" s="545">
        <v>0.3</v>
      </c>
      <c r="J137" s="627">
        <v>0.3</v>
      </c>
      <c r="K137" s="627">
        <v>0.25</v>
      </c>
      <c r="L137" s="627">
        <v>0.25</v>
      </c>
    </row>
    <row r="138" spans="1:12" ht="15.6">
      <c r="A138" s="34" t="s">
        <v>230</v>
      </c>
      <c r="B138" s="35">
        <v>0.17</v>
      </c>
      <c r="C138" s="35">
        <v>0.17</v>
      </c>
      <c r="D138" s="35">
        <v>0.17</v>
      </c>
      <c r="E138" s="544">
        <v>0.17</v>
      </c>
      <c r="F138" s="544">
        <v>0.17</v>
      </c>
      <c r="G138" s="544">
        <v>0.17</v>
      </c>
      <c r="H138" s="544">
        <v>0.17</v>
      </c>
      <c r="I138" s="545">
        <v>0.17</v>
      </c>
      <c r="J138" s="627">
        <v>0.17</v>
      </c>
      <c r="K138" s="627">
        <v>0.17</v>
      </c>
      <c r="L138" s="627">
        <v>0.17</v>
      </c>
    </row>
    <row r="139" spans="1:12" ht="15.6">
      <c r="A139" s="34" t="s">
        <v>231</v>
      </c>
      <c r="B139" s="35">
        <v>0.34499999999999997</v>
      </c>
      <c r="C139" s="35">
        <v>0.34499999999999997</v>
      </c>
      <c r="D139" s="35">
        <v>0.34499999999999997</v>
      </c>
      <c r="E139" s="544">
        <v>0.35</v>
      </c>
      <c r="F139" s="544">
        <v>0.35</v>
      </c>
      <c r="G139" s="544">
        <v>0.35</v>
      </c>
      <c r="H139" s="544">
        <v>0.35</v>
      </c>
      <c r="I139" s="545">
        <v>0.35</v>
      </c>
      <c r="J139" s="627">
        <v>0.35</v>
      </c>
      <c r="K139" s="627">
        <v>0.34499999999999997</v>
      </c>
      <c r="L139" s="627">
        <v>0.34499999999999997</v>
      </c>
    </row>
    <row r="140" spans="1:12" ht="15.6">
      <c r="A140" s="34" t="s">
        <v>232</v>
      </c>
      <c r="B140" s="35">
        <v>0.22</v>
      </c>
      <c r="C140" s="35">
        <v>0.22</v>
      </c>
      <c r="D140" s="35">
        <v>0.21</v>
      </c>
      <c r="E140" s="544">
        <v>0.21</v>
      </c>
      <c r="F140" s="544">
        <v>0.21</v>
      </c>
      <c r="G140" s="544">
        <v>0.21</v>
      </c>
      <c r="H140" s="544">
        <v>0.21</v>
      </c>
      <c r="I140" s="545">
        <v>0.21</v>
      </c>
      <c r="J140" s="627">
        <v>0.21</v>
      </c>
      <c r="K140" s="627">
        <v>0.21</v>
      </c>
      <c r="L140" s="627">
        <v>0.21</v>
      </c>
    </row>
    <row r="141" spans="1:12" ht="15.6">
      <c r="A141" s="34" t="s">
        <v>233</v>
      </c>
      <c r="B141" s="35">
        <v>0.17</v>
      </c>
      <c r="C141" s="35">
        <v>0.17</v>
      </c>
      <c r="D141" s="35">
        <v>0.19</v>
      </c>
      <c r="E141" s="544">
        <v>0.19</v>
      </c>
      <c r="F141" s="544">
        <v>0.19</v>
      </c>
      <c r="G141" s="544">
        <v>0.19</v>
      </c>
      <c r="H141" s="544">
        <v>0.19</v>
      </c>
      <c r="I141" s="545">
        <v>0.19</v>
      </c>
      <c r="J141" s="627">
        <v>0.19</v>
      </c>
      <c r="K141" s="627">
        <v>0.19</v>
      </c>
      <c r="L141" s="627">
        <v>0.19</v>
      </c>
    </row>
    <row r="142" spans="1:12" ht="15.6">
      <c r="A142" s="34" t="s">
        <v>234</v>
      </c>
      <c r="B142" s="35">
        <v>0</v>
      </c>
      <c r="C142" s="35">
        <v>0</v>
      </c>
      <c r="D142" s="35">
        <v>0.3</v>
      </c>
      <c r="E142" s="544">
        <v>0.3</v>
      </c>
      <c r="F142" s="544">
        <v>0.3</v>
      </c>
      <c r="G142" s="544">
        <v>0.3</v>
      </c>
      <c r="H142" s="544">
        <v>0.3</v>
      </c>
      <c r="I142" s="545">
        <v>0.3</v>
      </c>
      <c r="J142" s="627">
        <v>0.3</v>
      </c>
      <c r="K142" s="627">
        <v>0.3</v>
      </c>
      <c r="L142" s="627">
        <v>0.3</v>
      </c>
    </row>
    <row r="143" spans="1:12" ht="15.6">
      <c r="A143" s="34" t="s">
        <v>235</v>
      </c>
      <c r="B143" s="35">
        <v>0.28000000000000003</v>
      </c>
      <c r="C143" s="35">
        <v>0.28000000000000003</v>
      </c>
      <c r="D143" s="35">
        <v>0.28000000000000003</v>
      </c>
      <c r="E143" s="544">
        <v>0.28000000000000003</v>
      </c>
      <c r="F143" s="544">
        <v>0.28000000000000003</v>
      </c>
      <c r="G143" s="544">
        <v>0.28000000000000003</v>
      </c>
      <c r="H143" s="544">
        <v>0.28000000000000003</v>
      </c>
      <c r="I143" s="545">
        <v>0.27</v>
      </c>
      <c r="J143" s="627">
        <v>0.27</v>
      </c>
      <c r="K143" s="627">
        <v>0.27</v>
      </c>
      <c r="L143" s="627">
        <v>0.27</v>
      </c>
    </row>
    <row r="144" spans="1:12" ht="15.6">
      <c r="A144" s="34" t="s">
        <v>236</v>
      </c>
      <c r="B144" s="35">
        <v>0.28000000000000003</v>
      </c>
      <c r="C144" s="35">
        <v>0.25</v>
      </c>
      <c r="D144" s="35">
        <v>0.25</v>
      </c>
      <c r="E144" s="544">
        <v>0.25</v>
      </c>
      <c r="F144" s="544">
        <v>0.25</v>
      </c>
      <c r="G144" s="544">
        <v>0.25</v>
      </c>
      <c r="H144" s="544">
        <v>0.25</v>
      </c>
      <c r="I144" s="545">
        <v>0.25</v>
      </c>
      <c r="J144" s="627">
        <v>0.25</v>
      </c>
      <c r="K144" s="627">
        <v>0.25</v>
      </c>
      <c r="L144" s="627">
        <v>0.25</v>
      </c>
    </row>
    <row r="145" spans="1:12" ht="15.6">
      <c r="A145" s="34" t="s">
        <v>237</v>
      </c>
      <c r="B145" s="35">
        <v>0.28000000000000003</v>
      </c>
      <c r="C145" s="35">
        <v>0.15</v>
      </c>
      <c r="D145" s="35">
        <v>0.28000000000000003</v>
      </c>
      <c r="E145" s="544">
        <v>0.28000000000000003</v>
      </c>
      <c r="F145" s="544">
        <v>0.28000000000000003</v>
      </c>
      <c r="G145" s="544">
        <v>0.28000000000000003</v>
      </c>
      <c r="H145" s="544">
        <v>0.24</v>
      </c>
      <c r="I145" s="545">
        <v>0.24</v>
      </c>
      <c r="J145" s="627">
        <v>0.24</v>
      </c>
      <c r="K145" s="627">
        <v>0.3</v>
      </c>
      <c r="L145" s="627">
        <v>0.3</v>
      </c>
    </row>
    <row r="146" spans="1:12" ht="15.6">
      <c r="A146" s="34" t="s">
        <v>238</v>
      </c>
      <c r="B146" s="35">
        <v>0.245</v>
      </c>
      <c r="C146" s="35">
        <v>0.34499999999999997</v>
      </c>
      <c r="D146" s="35">
        <v>0.34499999999999997</v>
      </c>
      <c r="E146" s="544">
        <v>0.35</v>
      </c>
      <c r="F146" s="544">
        <v>0.35</v>
      </c>
      <c r="G146" s="544">
        <v>0.35</v>
      </c>
      <c r="H146" s="544">
        <v>0.35</v>
      </c>
      <c r="I146" s="545">
        <v>0.35</v>
      </c>
      <c r="J146" s="627">
        <v>0.35</v>
      </c>
      <c r="K146" s="627">
        <v>0.34499999999999997</v>
      </c>
      <c r="L146" s="627">
        <v>0.34499999999999997</v>
      </c>
    </row>
    <row r="147" spans="1:12" ht="15.6">
      <c r="A147" s="34" t="s">
        <v>239</v>
      </c>
      <c r="B147" s="35">
        <v>0.35</v>
      </c>
      <c r="C147" s="35">
        <v>0.35</v>
      </c>
      <c r="D147" s="35">
        <v>0.35</v>
      </c>
      <c r="E147" s="544">
        <v>0.35</v>
      </c>
      <c r="F147" s="544">
        <v>0.35</v>
      </c>
      <c r="G147" s="544">
        <v>0.35</v>
      </c>
      <c r="H147" s="544">
        <v>0.35</v>
      </c>
      <c r="I147" s="545">
        <v>0.35</v>
      </c>
      <c r="J147" s="627">
        <v>0.35</v>
      </c>
      <c r="K147" s="627">
        <v>0.35</v>
      </c>
      <c r="L147" s="627">
        <v>0.35</v>
      </c>
    </row>
    <row r="148" spans="1:12" ht="15.6">
      <c r="A148" s="34" t="s">
        <v>240</v>
      </c>
      <c r="B148" s="35">
        <v>0.34499999999999997</v>
      </c>
      <c r="C148" s="35">
        <v>0.34499999999999997</v>
      </c>
      <c r="D148" s="35">
        <v>0.36</v>
      </c>
      <c r="E148" s="544">
        <v>0.36</v>
      </c>
      <c r="F148" s="544">
        <v>0.36</v>
      </c>
      <c r="G148" s="544">
        <v>0.36</v>
      </c>
      <c r="H148" s="544">
        <v>0.36</v>
      </c>
      <c r="I148" s="545">
        <v>0.36</v>
      </c>
      <c r="J148" s="627">
        <v>0.36</v>
      </c>
      <c r="K148" s="627">
        <v>0.36</v>
      </c>
      <c r="L148" s="627">
        <v>0.36</v>
      </c>
    </row>
    <row r="149" spans="1:12" ht="15.6">
      <c r="A149" s="34" t="s">
        <v>241</v>
      </c>
      <c r="B149" s="35">
        <v>0</v>
      </c>
      <c r="C149" s="35">
        <v>0</v>
      </c>
      <c r="D149" s="35">
        <v>0.27500000000000002</v>
      </c>
      <c r="E149" s="544">
        <v>0.28000000000000003</v>
      </c>
      <c r="F149" s="544">
        <v>0.27500000000000002</v>
      </c>
      <c r="G149" s="544">
        <v>0.27500000000000002</v>
      </c>
      <c r="H149" s="544">
        <v>0.27500000000000002</v>
      </c>
      <c r="I149" s="545">
        <v>0.27500000000000002</v>
      </c>
      <c r="J149" s="627">
        <v>0.27500000000000002</v>
      </c>
      <c r="K149" s="627">
        <v>0.27500000000000002</v>
      </c>
      <c r="L149" s="627">
        <v>0.27500000000000002</v>
      </c>
    </row>
    <row r="150" spans="1:12" ht="15.6">
      <c r="A150" s="34" t="s">
        <v>242</v>
      </c>
      <c r="B150" s="35">
        <v>0.22</v>
      </c>
      <c r="C150" s="35">
        <v>0.22</v>
      </c>
      <c r="D150" s="35">
        <v>0.22</v>
      </c>
      <c r="E150" s="544">
        <v>0.22</v>
      </c>
      <c r="F150" s="544">
        <v>0.214</v>
      </c>
      <c r="G150" s="544">
        <v>0.214</v>
      </c>
      <c r="H150" s="544">
        <v>0.20599999999999999</v>
      </c>
      <c r="I150" s="545">
        <v>0.20599999999999999</v>
      </c>
      <c r="J150" s="627">
        <v>0.20599999999999999</v>
      </c>
      <c r="K150" s="627">
        <v>0.20600000000000002</v>
      </c>
      <c r="L150" s="627">
        <v>0.20600000000000002</v>
      </c>
    </row>
    <row r="151" spans="1:12" ht="15.6">
      <c r="A151" s="34" t="s">
        <v>243</v>
      </c>
      <c r="B151" s="35">
        <v>0.1792</v>
      </c>
      <c r="C151" s="35">
        <v>0.1792</v>
      </c>
      <c r="D151" s="35">
        <v>0.1777</v>
      </c>
      <c r="E151" s="544">
        <v>0.18</v>
      </c>
      <c r="F151" s="544">
        <v>0.18</v>
      </c>
      <c r="G151" s="544">
        <v>0.1484</v>
      </c>
      <c r="H151" s="544">
        <v>0.14929999999999999</v>
      </c>
      <c r="I151" s="545">
        <v>0.18</v>
      </c>
      <c r="J151" s="627">
        <v>0.18</v>
      </c>
      <c r="K151" s="627">
        <v>0.19652999999999998</v>
      </c>
      <c r="L151" s="627">
        <v>0.19652999999999998</v>
      </c>
    </row>
    <row r="152" spans="1:12" ht="15.6">
      <c r="A152" s="34" t="s">
        <v>244</v>
      </c>
      <c r="B152" s="35">
        <v>0.22</v>
      </c>
      <c r="C152" s="35">
        <v>0.22</v>
      </c>
      <c r="D152" s="35">
        <v>0.28000000000000003</v>
      </c>
      <c r="E152" s="544">
        <v>0.28000000000000003</v>
      </c>
      <c r="F152" s="544">
        <v>0.28000000000000003</v>
      </c>
      <c r="G152" s="544">
        <v>0.28000000000000003</v>
      </c>
      <c r="H152" s="544">
        <v>0.28000000000000003</v>
      </c>
      <c r="I152" s="545">
        <v>0.28000000000000003</v>
      </c>
      <c r="J152" s="627">
        <v>0.28000000000000003</v>
      </c>
      <c r="K152" s="627">
        <v>0.28000000000000003</v>
      </c>
      <c r="L152" s="627">
        <v>0.28000000000000003</v>
      </c>
    </row>
    <row r="153" spans="1:12" ht="15.6">
      <c r="A153" s="34" t="s">
        <v>245</v>
      </c>
      <c r="B153" s="35">
        <v>0.17</v>
      </c>
      <c r="C153" s="35">
        <v>0.17</v>
      </c>
      <c r="D153" s="35">
        <v>0.17</v>
      </c>
      <c r="E153" s="544">
        <v>0.2</v>
      </c>
      <c r="F153" s="544">
        <v>0.2</v>
      </c>
      <c r="G153" s="544">
        <v>0.2</v>
      </c>
      <c r="H153" s="544">
        <v>0.2</v>
      </c>
      <c r="I153" s="545">
        <v>0.2</v>
      </c>
      <c r="J153" s="627">
        <v>0.2</v>
      </c>
      <c r="K153" s="627">
        <v>0.2</v>
      </c>
      <c r="L153" s="627">
        <v>0.2</v>
      </c>
    </row>
    <row r="154" spans="1:12" ht="15.6">
      <c r="A154" s="34" t="s">
        <v>246</v>
      </c>
      <c r="B154" s="35">
        <v>0.3</v>
      </c>
      <c r="C154" s="35">
        <v>0.3</v>
      </c>
      <c r="D154" s="35">
        <v>0.3</v>
      </c>
      <c r="E154" s="544">
        <v>0.3</v>
      </c>
      <c r="F154" s="544">
        <v>0.3</v>
      </c>
      <c r="G154" s="544">
        <v>0.3</v>
      </c>
      <c r="H154" s="544">
        <v>0.3</v>
      </c>
      <c r="I154" s="545">
        <v>0.3</v>
      </c>
      <c r="J154" s="627">
        <v>0.3</v>
      </c>
      <c r="K154" s="627">
        <v>0.3</v>
      </c>
      <c r="L154" s="627">
        <v>0.3</v>
      </c>
    </row>
    <row r="155" spans="1:12" ht="15.6">
      <c r="A155" s="34" t="s">
        <v>247</v>
      </c>
      <c r="B155" s="35">
        <v>0.2</v>
      </c>
      <c r="C155" s="35">
        <v>0.2</v>
      </c>
      <c r="D155" s="35">
        <v>0.2</v>
      </c>
      <c r="E155" s="544">
        <v>0.2</v>
      </c>
      <c r="F155" s="544">
        <v>0.2</v>
      </c>
      <c r="G155" s="544">
        <v>0.2</v>
      </c>
      <c r="H155" s="544">
        <v>0.2</v>
      </c>
      <c r="I155" s="545">
        <v>0.2</v>
      </c>
      <c r="J155" s="627">
        <v>0.2</v>
      </c>
      <c r="K155" s="627">
        <v>0.2</v>
      </c>
      <c r="L155" s="627">
        <v>0.2</v>
      </c>
    </row>
    <row r="156" spans="1:12" ht="15.6">
      <c r="A156" s="34" t="s">
        <v>248</v>
      </c>
      <c r="B156" s="35">
        <v>0.25</v>
      </c>
      <c r="C156" s="35">
        <v>0.25</v>
      </c>
      <c r="D156" s="35">
        <v>0.25</v>
      </c>
      <c r="E156" s="544">
        <v>0.25</v>
      </c>
      <c r="F156" s="544">
        <v>0.25</v>
      </c>
      <c r="G156" s="544">
        <v>0.3</v>
      </c>
      <c r="H156" s="544">
        <v>0.3</v>
      </c>
      <c r="I156" s="545">
        <v>0.3</v>
      </c>
      <c r="J156" s="627">
        <v>0.3</v>
      </c>
      <c r="K156" s="627">
        <v>0.3</v>
      </c>
      <c r="L156" s="627">
        <v>0.3</v>
      </c>
    </row>
    <row r="157" spans="1:12" ht="15.6">
      <c r="A157" s="34" t="s">
        <v>249</v>
      </c>
      <c r="B157" s="35">
        <v>0.25</v>
      </c>
      <c r="C157" s="35">
        <v>0.25</v>
      </c>
      <c r="D157" s="35">
        <v>0.25</v>
      </c>
      <c r="E157" s="544">
        <v>0.25</v>
      </c>
      <c r="F157" s="544">
        <v>0.25</v>
      </c>
      <c r="G157" s="544">
        <v>0.25</v>
      </c>
      <c r="H157" s="544">
        <v>0.15</v>
      </c>
      <c r="I157" s="545">
        <v>0.15</v>
      </c>
      <c r="J157" s="627">
        <v>0.15</v>
      </c>
      <c r="K157" s="627">
        <v>0.15</v>
      </c>
      <c r="L157" s="627">
        <v>0.15</v>
      </c>
    </row>
    <row r="158" spans="1:12" ht="15.6">
      <c r="A158" s="34" t="s">
        <v>250</v>
      </c>
      <c r="B158" s="35">
        <v>0.2</v>
      </c>
      <c r="C158" s="35">
        <v>0.2</v>
      </c>
      <c r="D158" s="35">
        <v>0.2</v>
      </c>
      <c r="E158" s="544">
        <v>0.22</v>
      </c>
      <c r="F158" s="544">
        <v>0.22</v>
      </c>
      <c r="G158" s="544">
        <v>0.22</v>
      </c>
      <c r="H158" s="544">
        <v>0.2</v>
      </c>
      <c r="I158" s="545">
        <v>0.23</v>
      </c>
      <c r="J158" s="627">
        <v>0.23</v>
      </c>
      <c r="K158" s="627">
        <v>0.25</v>
      </c>
      <c r="L158" s="627">
        <v>0.25</v>
      </c>
    </row>
    <row r="159" spans="1:12" ht="15.6">
      <c r="A159" s="34" t="s">
        <v>251</v>
      </c>
      <c r="B159" s="35">
        <v>0</v>
      </c>
      <c r="C159" s="35">
        <v>0</v>
      </c>
      <c r="D159" s="35">
        <v>0.2</v>
      </c>
      <c r="E159" s="544">
        <v>0.2</v>
      </c>
      <c r="F159" s="544">
        <v>0.2</v>
      </c>
      <c r="G159" s="544">
        <v>0.2</v>
      </c>
      <c r="H159" s="544">
        <v>0.2</v>
      </c>
      <c r="I159" s="545">
        <v>0.2</v>
      </c>
      <c r="J159" s="627">
        <v>0.2</v>
      </c>
      <c r="K159" s="627">
        <v>0.08</v>
      </c>
      <c r="L159" s="627">
        <v>0.08</v>
      </c>
    </row>
    <row r="160" spans="1:12" ht="15.6">
      <c r="A160" s="34" t="s">
        <v>252</v>
      </c>
      <c r="B160" s="35">
        <v>0</v>
      </c>
      <c r="C160" s="35">
        <v>0</v>
      </c>
      <c r="D160" s="35">
        <v>0</v>
      </c>
      <c r="E160" s="544">
        <v>0</v>
      </c>
      <c r="F160" s="544">
        <v>0</v>
      </c>
      <c r="G160" s="544">
        <v>0</v>
      </c>
      <c r="H160" s="544">
        <v>0</v>
      </c>
      <c r="I160" s="545">
        <v>0</v>
      </c>
      <c r="J160" s="627">
        <v>0</v>
      </c>
      <c r="K160" s="627">
        <v>0</v>
      </c>
      <c r="L160" s="627">
        <v>0</v>
      </c>
    </row>
    <row r="161" spans="1:12" ht="15.6">
      <c r="A161" s="34" t="s">
        <v>253</v>
      </c>
      <c r="B161" s="35">
        <v>0.3</v>
      </c>
      <c r="C161" s="35">
        <v>0.3</v>
      </c>
      <c r="D161" s="35">
        <v>0.3</v>
      </c>
      <c r="E161" s="544">
        <v>0.3</v>
      </c>
      <c r="F161" s="544">
        <v>0.3</v>
      </c>
      <c r="G161" s="544">
        <v>0.3</v>
      </c>
      <c r="H161" s="544">
        <v>0.3</v>
      </c>
      <c r="I161" s="545">
        <v>0.3</v>
      </c>
      <c r="J161" s="627">
        <v>0.3</v>
      </c>
      <c r="K161" s="627">
        <v>0.3</v>
      </c>
      <c r="L161" s="627">
        <v>0.3</v>
      </c>
    </row>
    <row r="162" spans="1:12" ht="15.6">
      <c r="A162" s="34" t="s">
        <v>254</v>
      </c>
      <c r="B162" s="35">
        <v>0.18</v>
      </c>
      <c r="C162" s="35">
        <v>0.18</v>
      </c>
      <c r="D162" s="35">
        <v>0.18</v>
      </c>
      <c r="E162" s="544">
        <v>0.18</v>
      </c>
      <c r="F162" s="544">
        <v>0.18</v>
      </c>
      <c r="G162" s="544">
        <v>0.18</v>
      </c>
      <c r="H162" s="544">
        <v>0.18</v>
      </c>
      <c r="I162" s="545">
        <v>0.18</v>
      </c>
      <c r="J162" s="627">
        <v>0.18</v>
      </c>
      <c r="K162" s="627">
        <v>0.18</v>
      </c>
      <c r="L162" s="627">
        <v>0.18</v>
      </c>
    </row>
    <row r="163" spans="1:12" ht="15.6">
      <c r="A163" s="34" t="s">
        <v>255</v>
      </c>
      <c r="B163" s="35">
        <v>0.55000000000000004</v>
      </c>
      <c r="C163" s="35">
        <v>0.55000000000000004</v>
      </c>
      <c r="D163" s="35">
        <v>0.55000000000000004</v>
      </c>
      <c r="E163" s="544">
        <v>0.55000000000000004</v>
      </c>
      <c r="F163" s="544">
        <v>0.55000000000000004</v>
      </c>
      <c r="G163" s="544">
        <v>0.55000000000000004</v>
      </c>
      <c r="H163" s="544">
        <v>0.55000000000000004</v>
      </c>
      <c r="I163" s="545">
        <v>0</v>
      </c>
      <c r="J163" s="627">
        <v>0</v>
      </c>
      <c r="K163" s="627">
        <v>0.09</v>
      </c>
      <c r="L163" s="627">
        <v>0.09</v>
      </c>
    </row>
    <row r="164" spans="1:12" ht="15.6">
      <c r="A164" s="34" t="s">
        <v>256</v>
      </c>
      <c r="B164" s="35">
        <v>0.2</v>
      </c>
      <c r="C164" s="35">
        <v>0.2</v>
      </c>
      <c r="D164" s="35">
        <v>0.19</v>
      </c>
      <c r="E164" s="544">
        <v>0.19</v>
      </c>
      <c r="F164" s="544">
        <v>0.19</v>
      </c>
      <c r="G164" s="544">
        <v>0.19</v>
      </c>
      <c r="H164" s="544">
        <v>0.19</v>
      </c>
      <c r="I164" s="545">
        <v>0.19</v>
      </c>
      <c r="J164" s="627">
        <v>0.25</v>
      </c>
      <c r="K164" s="627">
        <v>0.25</v>
      </c>
      <c r="L164" s="627">
        <v>0.25</v>
      </c>
    </row>
    <row r="165" spans="1:12" ht="15.6">
      <c r="A165" s="34" t="s">
        <v>257</v>
      </c>
      <c r="B165" s="35">
        <v>0.4</v>
      </c>
      <c r="C165" s="35">
        <v>0.4</v>
      </c>
      <c r="D165" s="35">
        <v>0.4</v>
      </c>
      <c r="E165" s="544">
        <v>0.27</v>
      </c>
      <c r="F165" s="544">
        <v>0.27</v>
      </c>
      <c r="G165" s="544">
        <v>0.27</v>
      </c>
      <c r="H165" s="544">
        <v>0.27</v>
      </c>
      <c r="I165" s="545">
        <v>0.25</v>
      </c>
      <c r="J165" s="627">
        <v>0.25</v>
      </c>
      <c r="K165" s="627">
        <v>0.25768000000000002</v>
      </c>
      <c r="L165" s="627">
        <v>0.25768000000000002</v>
      </c>
    </row>
    <row r="166" spans="1:12" ht="15.6">
      <c r="A166" s="34" t="s">
        <v>258</v>
      </c>
      <c r="B166" s="35">
        <v>0.25</v>
      </c>
      <c r="C166" s="35">
        <v>0.25</v>
      </c>
      <c r="D166" s="35">
        <v>0.25</v>
      </c>
      <c r="E166" s="544">
        <v>0.25</v>
      </c>
      <c r="F166" s="544">
        <v>0.25</v>
      </c>
      <c r="G166" s="544">
        <v>0.25</v>
      </c>
      <c r="H166" s="544">
        <v>0.25</v>
      </c>
      <c r="I166" s="545">
        <v>0.25</v>
      </c>
      <c r="J166" s="627">
        <v>0.25</v>
      </c>
      <c r="K166" s="627">
        <v>0.25</v>
      </c>
      <c r="L166" s="627">
        <v>0.25</v>
      </c>
    </row>
    <row r="167" spans="1:12" ht="15.6">
      <c r="A167" s="34" t="s">
        <v>259</v>
      </c>
      <c r="B167" s="35">
        <v>0</v>
      </c>
      <c r="C167" s="35">
        <v>7.4999999999999997E-2</v>
      </c>
      <c r="D167" s="35">
        <v>7.4999999999999997E-2</v>
      </c>
      <c r="E167" s="544">
        <v>7.4999999999999997E-2</v>
      </c>
      <c r="F167" s="544">
        <v>7.4999999999999997E-2</v>
      </c>
      <c r="G167" s="544">
        <v>7.4999999999999997E-2</v>
      </c>
      <c r="H167" s="544">
        <v>7.4999999999999997E-2</v>
      </c>
      <c r="I167" s="545">
        <v>0.15</v>
      </c>
      <c r="J167" s="627">
        <v>0.15</v>
      </c>
      <c r="K167" s="627">
        <v>0.15</v>
      </c>
      <c r="L167" s="627">
        <v>0.15</v>
      </c>
    </row>
    <row r="168" spans="1:12" ht="15.6">
      <c r="A168" s="34" t="s">
        <v>260</v>
      </c>
      <c r="B168" s="35">
        <v>0</v>
      </c>
      <c r="C168" s="35">
        <v>0</v>
      </c>
      <c r="D168" s="35">
        <v>0.34</v>
      </c>
      <c r="E168" s="544">
        <v>0</v>
      </c>
      <c r="F168" s="544">
        <v>0</v>
      </c>
      <c r="G168" s="544">
        <v>0</v>
      </c>
      <c r="H168" s="544">
        <v>0</v>
      </c>
      <c r="I168" s="545">
        <v>0</v>
      </c>
      <c r="J168" s="627">
        <v>0</v>
      </c>
      <c r="K168" s="627">
        <v>0</v>
      </c>
      <c r="L168" s="627">
        <v>0</v>
      </c>
    </row>
    <row r="169" spans="1:12" ht="15.6">
      <c r="A169" s="34" t="s">
        <v>93</v>
      </c>
      <c r="B169" s="35">
        <v>0.34</v>
      </c>
      <c r="C169" s="35">
        <v>0.34</v>
      </c>
      <c r="D169" s="35">
        <v>0.34</v>
      </c>
      <c r="E169" s="544">
        <v>0.34</v>
      </c>
      <c r="F169" s="544">
        <v>0.34</v>
      </c>
      <c r="G169" s="544">
        <v>0.34</v>
      </c>
      <c r="H169" s="544">
        <v>0.34</v>
      </c>
      <c r="I169" s="545">
        <v>0.34</v>
      </c>
      <c r="J169" s="627">
        <v>0.34</v>
      </c>
      <c r="K169" s="627">
        <v>0.34</v>
      </c>
      <c r="L169" s="627">
        <v>0.34</v>
      </c>
    </row>
    <row r="170" spans="1:12" ht="15.6">
      <c r="A170" s="34" t="s">
        <v>261</v>
      </c>
      <c r="B170" s="35">
        <v>0.22</v>
      </c>
      <c r="C170" s="35">
        <v>0.22</v>
      </c>
      <c r="D170" s="35">
        <v>0.2</v>
      </c>
      <c r="E170" s="544">
        <v>0.2</v>
      </c>
      <c r="F170" s="544">
        <v>0.2</v>
      </c>
      <c r="G170" s="544">
        <v>0.2</v>
      </c>
      <c r="H170" s="544">
        <v>0.2</v>
      </c>
      <c r="I170" s="545">
        <v>0.2</v>
      </c>
      <c r="J170" s="627">
        <v>0.2</v>
      </c>
      <c r="K170" s="627">
        <v>0.2</v>
      </c>
      <c r="L170" s="627">
        <v>0.2</v>
      </c>
    </row>
    <row r="171" spans="1:12" ht="15.6">
      <c r="A171" s="34" t="s">
        <v>262</v>
      </c>
      <c r="B171" s="35">
        <v>0.2</v>
      </c>
      <c r="C171" s="35">
        <v>0.2</v>
      </c>
      <c r="D171" s="35">
        <v>0.2</v>
      </c>
      <c r="E171" s="544">
        <v>0.2</v>
      </c>
      <c r="F171" s="544">
        <v>0.2</v>
      </c>
      <c r="G171" s="544">
        <v>0.2</v>
      </c>
      <c r="H171" s="544">
        <v>0.2</v>
      </c>
      <c r="I171" s="545">
        <v>0.2</v>
      </c>
      <c r="J171" s="627">
        <v>0.2</v>
      </c>
      <c r="K171" s="627">
        <v>0.2</v>
      </c>
      <c r="L171" s="627">
        <v>0.2</v>
      </c>
    </row>
    <row r="172" spans="1:12" ht="15.6">
      <c r="A172" s="34" t="s">
        <v>263</v>
      </c>
      <c r="B172" s="35">
        <v>0.35</v>
      </c>
      <c r="C172" s="35">
        <v>0.35</v>
      </c>
      <c r="D172" s="35">
        <v>0.35</v>
      </c>
      <c r="E172" s="544">
        <v>0.35</v>
      </c>
      <c r="F172" s="544">
        <v>0.35</v>
      </c>
      <c r="G172" s="544">
        <v>0.35</v>
      </c>
      <c r="H172" s="544">
        <v>0.35</v>
      </c>
      <c r="I172" s="545">
        <v>0.35</v>
      </c>
      <c r="J172" s="627">
        <v>0.35</v>
      </c>
      <c r="K172" s="627">
        <v>0.3</v>
      </c>
      <c r="L172" s="627">
        <v>0.3</v>
      </c>
    </row>
    <row r="173" spans="1:12" ht="15.6">
      <c r="A173" s="34" t="s">
        <v>264</v>
      </c>
      <c r="B173" s="35">
        <v>0.25750000000000001</v>
      </c>
      <c r="C173" s="35">
        <v>0.25750000000000001</v>
      </c>
      <c r="D173" s="35">
        <v>0.25</v>
      </c>
      <c r="E173" s="544">
        <v>0.25</v>
      </c>
      <c r="F173" s="544">
        <v>0.25</v>
      </c>
      <c r="G173" s="544">
        <v>0.24</v>
      </c>
      <c r="H173" s="544">
        <v>0.24</v>
      </c>
      <c r="I173" s="545">
        <v>0.2472</v>
      </c>
      <c r="J173" s="627">
        <v>0.2472</v>
      </c>
      <c r="K173" s="627">
        <v>0.24719999999999998</v>
      </c>
      <c r="L173" s="627">
        <v>0.24719999999999998</v>
      </c>
    </row>
    <row r="174" spans="1:12">
      <c r="A174" s="34" t="s">
        <v>265</v>
      </c>
      <c r="B174" s="35">
        <v>0.28139999999999998</v>
      </c>
      <c r="C174" s="35">
        <v>0.28029999999999999</v>
      </c>
      <c r="D174" s="35">
        <v>0.28210000000000002</v>
      </c>
      <c r="E174" s="35">
        <v>0.28260000000000002</v>
      </c>
      <c r="F174" s="35">
        <v>0.2823</v>
      </c>
      <c r="G174" s="36">
        <v>0.28249999999999997</v>
      </c>
      <c r="H174" s="36">
        <v>0.24</v>
      </c>
      <c r="I174" s="36">
        <v>0.24</v>
      </c>
      <c r="J174" s="545"/>
    </row>
    <row r="175" spans="1:12">
      <c r="A175" s="34" t="s">
        <v>266</v>
      </c>
      <c r="B175" s="35">
        <v>0.27610000000000001</v>
      </c>
      <c r="C175" s="35">
        <v>0.27710000000000001</v>
      </c>
      <c r="D175" s="35">
        <v>0.28289999999999998</v>
      </c>
      <c r="E175" s="35">
        <v>0.28110000000000002</v>
      </c>
      <c r="F175" s="35">
        <v>0.27360000000000001</v>
      </c>
      <c r="G175" s="36">
        <v>0.27329999999999999</v>
      </c>
      <c r="H175" s="36">
        <v>0.27329999999999999</v>
      </c>
      <c r="I175" s="36">
        <v>0.27329999999999999</v>
      </c>
    </row>
    <row r="176" spans="1:12">
      <c r="A176" s="34" t="s">
        <v>267</v>
      </c>
      <c r="B176" s="35">
        <v>0.2198</v>
      </c>
      <c r="C176" s="35">
        <v>0.21410000000000001</v>
      </c>
      <c r="D176" s="35">
        <v>0.21079999999999999</v>
      </c>
      <c r="E176" s="35">
        <v>0.21210000000000001</v>
      </c>
      <c r="F176" s="35">
        <v>0.21179999999999999</v>
      </c>
      <c r="G176" s="36">
        <v>0.21129999999999999</v>
      </c>
      <c r="H176" s="36">
        <v>0.21129999999999999</v>
      </c>
      <c r="I176" s="36">
        <v>0.21129999999999999</v>
      </c>
    </row>
    <row r="177" spans="1:9">
      <c r="A177" s="34" t="s">
        <v>268</v>
      </c>
      <c r="B177" s="35">
        <v>0.2215</v>
      </c>
      <c r="C177" s="35">
        <v>0.22090000000000001</v>
      </c>
      <c r="D177" s="35">
        <v>0.21329999999999999</v>
      </c>
      <c r="E177" s="35">
        <v>0.21290000000000001</v>
      </c>
      <c r="F177" s="35">
        <v>0.20979999999999999</v>
      </c>
      <c r="G177" s="36">
        <v>0.2087</v>
      </c>
      <c r="H177" s="36">
        <v>0.2087</v>
      </c>
      <c r="I177" s="36">
        <v>0.2087</v>
      </c>
    </row>
    <row r="178" spans="1:9">
      <c r="A178" s="34" t="s">
        <v>269</v>
      </c>
      <c r="B178" s="35">
        <v>0.20050000000000001</v>
      </c>
      <c r="C178" s="35">
        <v>0.19969999999999999</v>
      </c>
      <c r="D178" s="35">
        <v>0.1953</v>
      </c>
      <c r="E178" s="35">
        <v>0.1948</v>
      </c>
      <c r="F178" s="35">
        <v>0.19259999999999999</v>
      </c>
      <c r="G178" s="36">
        <v>0.19120000000000001</v>
      </c>
      <c r="H178" s="36">
        <v>0.19120000000000001</v>
      </c>
      <c r="I178" s="36">
        <v>0.19120000000000001</v>
      </c>
    </row>
    <row r="179" spans="1:9">
      <c r="A179" s="628" t="s">
        <v>270</v>
      </c>
      <c r="B179" s="629">
        <v>0.23769999999999999</v>
      </c>
      <c r="C179" s="629">
        <v>0.23619999999999999</v>
      </c>
      <c r="D179" s="629">
        <v>0.24060000000000001</v>
      </c>
      <c r="E179" s="629">
        <v>0.24049999999999999</v>
      </c>
      <c r="F179" s="629">
        <v>0.23810000000000001</v>
      </c>
      <c r="G179" s="629">
        <v>0.2379</v>
      </c>
      <c r="H179" s="629">
        <v>0.2379</v>
      </c>
      <c r="I179" s="629">
        <v>0.2379</v>
      </c>
    </row>
    <row r="180" spans="1:9">
      <c r="A180" s="628" t="s">
        <v>271</v>
      </c>
      <c r="B180" s="629">
        <v>0.27160000000000001</v>
      </c>
      <c r="C180" s="629">
        <v>0.27289999999999998</v>
      </c>
      <c r="D180" s="629">
        <v>0.27979999999999999</v>
      </c>
      <c r="E180" s="629">
        <v>0.28199999999999997</v>
      </c>
      <c r="F180" s="629">
        <v>0.27389999999999998</v>
      </c>
      <c r="G180" s="629">
        <v>0.27360000000000001</v>
      </c>
      <c r="H180" s="629">
        <v>0.27360000000000001</v>
      </c>
      <c r="I180" s="629">
        <v>0.27360000000000001</v>
      </c>
    </row>
    <row r="181" spans="1:9">
      <c r="A181" s="628" t="s">
        <v>272</v>
      </c>
      <c r="B181" s="629">
        <v>0.33250000000000002</v>
      </c>
      <c r="C181" s="629">
        <v>0.33250000000000002</v>
      </c>
      <c r="D181" s="629">
        <v>0.33250000000000002</v>
      </c>
      <c r="E181" s="629">
        <v>0.26750000000000002</v>
      </c>
      <c r="F181" s="629">
        <v>0.26750000000000002</v>
      </c>
      <c r="G181" s="629">
        <v>0.26750000000000002</v>
      </c>
      <c r="H181" s="629">
        <v>0.26750000000000002</v>
      </c>
      <c r="I181" s="629">
        <v>0.26750000000000002</v>
      </c>
    </row>
    <row r="182" spans="1:9">
      <c r="A182" s="628" t="s">
        <v>273</v>
      </c>
      <c r="B182" s="629">
        <v>0.27</v>
      </c>
      <c r="C182" s="629">
        <v>0.27</v>
      </c>
      <c r="D182" s="629">
        <v>0.2843</v>
      </c>
      <c r="E182" s="629">
        <v>0.2843</v>
      </c>
      <c r="F182" s="629">
        <v>0.2843</v>
      </c>
      <c r="G182" s="629">
        <v>0.2843</v>
      </c>
      <c r="H182" s="629">
        <v>0.2843</v>
      </c>
      <c r="I182" s="629">
        <v>0.2843</v>
      </c>
    </row>
    <row r="183" spans="1:9">
      <c r="A183" s="628" t="s">
        <v>274</v>
      </c>
      <c r="B183" s="629">
        <v>0.2477</v>
      </c>
      <c r="C183" s="629">
        <v>0.24690000000000001</v>
      </c>
      <c r="D183" s="629">
        <v>0.23949999999999999</v>
      </c>
      <c r="E183" s="629">
        <v>0.23530000000000001</v>
      </c>
      <c r="F183" s="629">
        <v>0.23230000000000001</v>
      </c>
      <c r="G183" s="629">
        <v>0.23050000000000001</v>
      </c>
      <c r="H183" s="629">
        <v>0.23050000000000001</v>
      </c>
      <c r="I183" s="629">
        <v>0.23050000000000001</v>
      </c>
    </row>
    <row r="184" spans="1:9">
      <c r="A184" s="628" t="s">
        <v>275</v>
      </c>
      <c r="B184" s="629">
        <v>0.27160000000000001</v>
      </c>
      <c r="C184" s="629">
        <v>0.27289999999999998</v>
      </c>
      <c r="D184" s="629">
        <v>0.27979999999999999</v>
      </c>
      <c r="E184" s="629">
        <v>0.28199999999999997</v>
      </c>
      <c r="F184" s="629">
        <v>0.27389999999999998</v>
      </c>
      <c r="G184" s="629">
        <v>0.27360000000000001</v>
      </c>
      <c r="H184" s="629">
        <v>0.27360000000000001</v>
      </c>
      <c r="I184" s="629">
        <v>0.27360000000000001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6">
    <tabColor theme="7" tint="0.79998168889431442"/>
  </sheetPr>
  <dimension ref="A1:DS17"/>
  <sheetViews>
    <sheetView zoomScale="110" zoomScaleNormal="110" workbookViewId="0">
      <selection activeCell="D3" sqref="D3"/>
    </sheetView>
  </sheetViews>
  <sheetFormatPr baseColWidth="10" defaultColWidth="11.44140625" defaultRowHeight="15" customHeight="1" zeroHeight="1"/>
  <cols>
    <col min="1" max="1" width="11.44140625" style="59"/>
    <col min="2" max="2" width="31.33203125" style="59" customWidth="1"/>
    <col min="3" max="3" width="11.44140625" style="59"/>
  </cols>
  <sheetData>
    <row r="1" spans="2:123" ht="12.75" customHeight="1"/>
    <row r="2" spans="2:123" ht="14.4">
      <c r="B2" s="808" t="s">
        <v>276</v>
      </c>
      <c r="C2" s="808"/>
    </row>
    <row r="3" spans="2:123" ht="15.75" customHeight="1"/>
    <row r="4" spans="2:123" ht="15.75" customHeight="1">
      <c r="B4" s="60" t="s">
        <v>277</v>
      </c>
      <c r="C4" s="61">
        <v>5</v>
      </c>
    </row>
    <row r="5" spans="2:123" ht="15.75" customHeight="1">
      <c r="B5" s="62" t="s">
        <v>278</v>
      </c>
      <c r="C5" s="63" t="s">
        <v>279</v>
      </c>
    </row>
    <row r="6" spans="2:123" ht="15.75" customHeight="1">
      <c r="B6" s="60" t="s">
        <v>280</v>
      </c>
      <c r="C6" s="61">
        <f>IF($C$5="Trimestral",$C$4*4,IF($C$5="Anual",$C$4,$C$4*2))</f>
        <v>5</v>
      </c>
      <c r="D6" s="64"/>
    </row>
    <row r="8" spans="2:123" ht="14.4">
      <c r="B8" s="65"/>
    </row>
    <row r="9" spans="2:123" ht="15.75" customHeight="1"/>
    <row r="10" spans="2:123" ht="15.75" customHeight="1">
      <c r="B10" s="60" t="s">
        <v>53</v>
      </c>
      <c r="C10" s="66">
        <v>0</v>
      </c>
      <c r="D10" s="66">
        <v>1</v>
      </c>
      <c r="E10" s="66">
        <v>2</v>
      </c>
      <c r="F10" s="66">
        <v>3</v>
      </c>
      <c r="G10" s="66">
        <v>4</v>
      </c>
      <c r="H10" s="66">
        <v>5</v>
      </c>
      <c r="I10" s="66">
        <v>6</v>
      </c>
      <c r="J10" s="66">
        <v>7</v>
      </c>
      <c r="K10" s="66">
        <v>8</v>
      </c>
      <c r="L10" s="66">
        <v>9</v>
      </c>
      <c r="M10" s="66">
        <v>10</v>
      </c>
      <c r="N10" s="66">
        <v>11</v>
      </c>
      <c r="O10" s="66">
        <v>12</v>
      </c>
      <c r="P10" s="66">
        <v>13</v>
      </c>
      <c r="Q10" s="66">
        <v>14</v>
      </c>
      <c r="R10" s="66">
        <v>15</v>
      </c>
      <c r="S10" s="66">
        <v>16</v>
      </c>
      <c r="T10" s="66">
        <v>17</v>
      </c>
      <c r="U10" s="66">
        <v>18</v>
      </c>
      <c r="V10" s="66">
        <v>19</v>
      </c>
      <c r="W10" s="66">
        <v>20</v>
      </c>
      <c r="X10" s="66">
        <v>21</v>
      </c>
      <c r="Y10" s="66">
        <v>22</v>
      </c>
      <c r="Z10" s="66">
        <v>23</v>
      </c>
      <c r="AA10" s="66">
        <v>24</v>
      </c>
      <c r="AB10" s="66">
        <v>25</v>
      </c>
      <c r="AC10" s="66">
        <v>26</v>
      </c>
      <c r="AD10" s="66">
        <v>27</v>
      </c>
      <c r="AE10" s="66">
        <v>28</v>
      </c>
      <c r="AF10" s="66">
        <v>29</v>
      </c>
      <c r="AG10" s="66">
        <v>30</v>
      </c>
      <c r="AH10" s="66">
        <v>31</v>
      </c>
      <c r="AI10" s="66">
        <v>32</v>
      </c>
      <c r="AJ10" s="66">
        <v>33</v>
      </c>
      <c r="AK10" s="66">
        <v>34</v>
      </c>
      <c r="AL10" s="66">
        <v>35</v>
      </c>
      <c r="AM10" s="66">
        <v>36</v>
      </c>
      <c r="AN10" s="66">
        <v>37</v>
      </c>
      <c r="AO10" s="66">
        <v>38</v>
      </c>
      <c r="AP10" s="66">
        <v>39</v>
      </c>
      <c r="AQ10" s="66">
        <v>40</v>
      </c>
      <c r="AR10" s="66">
        <v>41</v>
      </c>
      <c r="AS10" s="66">
        <v>42</v>
      </c>
      <c r="AT10" s="66">
        <v>43</v>
      </c>
      <c r="AU10" s="66">
        <v>44</v>
      </c>
      <c r="AV10" s="66">
        <v>45</v>
      </c>
      <c r="AW10" s="66">
        <v>46</v>
      </c>
      <c r="AX10" s="66">
        <v>47</v>
      </c>
      <c r="AY10" s="66">
        <v>48</v>
      </c>
      <c r="AZ10" s="66">
        <v>49</v>
      </c>
      <c r="BA10" s="66">
        <v>50</v>
      </c>
      <c r="BB10" s="66">
        <v>51</v>
      </c>
      <c r="BC10" s="66">
        <v>52</v>
      </c>
      <c r="BD10" s="66">
        <v>53</v>
      </c>
      <c r="BE10" s="66">
        <v>54</v>
      </c>
      <c r="BF10" s="66">
        <v>55</v>
      </c>
      <c r="BG10" s="66">
        <v>56</v>
      </c>
      <c r="BH10" s="66">
        <v>57</v>
      </c>
      <c r="BI10" s="66">
        <v>58</v>
      </c>
      <c r="BJ10" s="66">
        <v>59</v>
      </c>
      <c r="BK10" s="66">
        <v>60</v>
      </c>
      <c r="BL10" s="66">
        <v>61</v>
      </c>
      <c r="BM10" s="66">
        <v>62</v>
      </c>
      <c r="BN10" s="66">
        <v>63</v>
      </c>
      <c r="BO10" s="66">
        <v>64</v>
      </c>
      <c r="BP10" s="66">
        <v>65</v>
      </c>
      <c r="BQ10" s="66">
        <v>66</v>
      </c>
      <c r="BR10" s="66">
        <v>67</v>
      </c>
      <c r="BS10" s="66">
        <v>68</v>
      </c>
      <c r="BT10" s="66">
        <v>69</v>
      </c>
      <c r="BU10" s="66">
        <v>70</v>
      </c>
      <c r="BV10" s="66">
        <v>71</v>
      </c>
      <c r="BW10" s="66">
        <v>72</v>
      </c>
      <c r="BX10" s="66">
        <v>73</v>
      </c>
      <c r="BY10" s="66">
        <v>74</v>
      </c>
      <c r="BZ10" s="66">
        <v>75</v>
      </c>
      <c r="CA10" s="66">
        <v>76</v>
      </c>
      <c r="CB10" s="66">
        <v>77</v>
      </c>
      <c r="CC10" s="66">
        <v>78</v>
      </c>
      <c r="CD10" s="66">
        <v>79</v>
      </c>
      <c r="CE10" s="66">
        <v>80</v>
      </c>
      <c r="CF10" s="66">
        <v>81</v>
      </c>
      <c r="CG10" s="66">
        <v>82</v>
      </c>
      <c r="CH10" s="66">
        <v>83</v>
      </c>
      <c r="CI10" s="66">
        <v>84</v>
      </c>
      <c r="CJ10" s="66">
        <v>85</v>
      </c>
      <c r="CK10" s="66">
        <v>86</v>
      </c>
      <c r="CL10" s="66">
        <v>87</v>
      </c>
      <c r="CM10" s="66">
        <v>88</v>
      </c>
      <c r="CN10" s="66">
        <v>89</v>
      </c>
      <c r="CO10" s="66">
        <v>90</v>
      </c>
      <c r="CP10" s="66">
        <v>91</v>
      </c>
      <c r="CQ10" s="66">
        <v>92</v>
      </c>
      <c r="CR10" s="66">
        <v>93</v>
      </c>
      <c r="CS10" s="66">
        <v>94</v>
      </c>
      <c r="CT10" s="66">
        <v>95</v>
      </c>
      <c r="CU10" s="66">
        <v>96</v>
      </c>
      <c r="CV10" s="66">
        <v>97</v>
      </c>
      <c r="CW10" s="66">
        <v>98</v>
      </c>
      <c r="CX10" s="66">
        <v>99</v>
      </c>
      <c r="CY10" s="66">
        <v>100</v>
      </c>
      <c r="CZ10" s="66">
        <v>101</v>
      </c>
      <c r="DA10" s="66">
        <v>102</v>
      </c>
      <c r="DB10" s="66">
        <v>103</v>
      </c>
      <c r="DC10" s="66">
        <v>104</v>
      </c>
      <c r="DD10" s="66">
        <v>105</v>
      </c>
      <c r="DE10" s="66">
        <v>106</v>
      </c>
      <c r="DF10" s="66">
        <v>107</v>
      </c>
      <c r="DG10" s="66">
        <v>108</v>
      </c>
      <c r="DH10" s="66">
        <v>109</v>
      </c>
      <c r="DI10" s="66">
        <v>110</v>
      </c>
      <c r="DJ10" s="66">
        <v>111</v>
      </c>
      <c r="DK10" s="66">
        <v>112</v>
      </c>
      <c r="DL10" s="66">
        <v>113</v>
      </c>
      <c r="DM10" s="66">
        <v>114</v>
      </c>
      <c r="DN10" s="66">
        <v>115</v>
      </c>
      <c r="DO10" s="66">
        <v>116</v>
      </c>
      <c r="DP10" s="66">
        <v>117</v>
      </c>
      <c r="DQ10" s="66">
        <v>118</v>
      </c>
      <c r="DR10" s="66">
        <v>119</v>
      </c>
      <c r="DS10" s="66">
        <v>120</v>
      </c>
    </row>
    <row r="11" spans="2:123" ht="15.75" customHeight="1">
      <c r="B11" s="60" t="s">
        <v>281</v>
      </c>
      <c r="C11" s="67"/>
      <c r="D11" s="67">
        <v>500</v>
      </c>
      <c r="E11" s="67">
        <v>500</v>
      </c>
      <c r="F11" s="67">
        <v>500</v>
      </c>
      <c r="G11" s="67">
        <v>500</v>
      </c>
      <c r="H11" s="67">
        <v>500</v>
      </c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</row>
    <row r="12" spans="2:123" ht="15.75" customHeight="1">
      <c r="B12" s="60" t="s">
        <v>61</v>
      </c>
      <c r="C12" s="67">
        <v>2000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</row>
    <row r="13" spans="2:123" ht="14.4"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</row>
    <row r="17" spans="2:2" ht="14.4">
      <c r="B17" s="69"/>
    </row>
  </sheetData>
  <sheetProtection formatCells="0" formatColumns="0" formatRows="0" insertColumns="0" insertRows="0" insertHyperlinks="0" deleteColumns="0" deleteRows="0" sort="0" autoFilter="0" pivotTables="0"/>
  <mergeCells count="1">
    <mergeCell ref="B2:C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7">
    <tabColor theme="7" tint="0.59999389629810485"/>
  </sheetPr>
  <dimension ref="A1:N65"/>
  <sheetViews>
    <sheetView topLeftCell="A40" workbookViewId="0">
      <selection activeCell="A43" sqref="A43"/>
    </sheetView>
  </sheetViews>
  <sheetFormatPr baseColWidth="10" defaultColWidth="11.44140625" defaultRowHeight="14.4"/>
  <cols>
    <col min="1" max="1" width="24.5546875" customWidth="1"/>
    <col min="3" max="3" width="22.33203125" customWidth="1"/>
    <col min="5" max="5" width="21.5546875" customWidth="1"/>
    <col min="7" max="7" width="23.33203125" customWidth="1"/>
  </cols>
  <sheetData>
    <row r="1" spans="1:14">
      <c r="A1" s="27" t="s">
        <v>282</v>
      </c>
      <c r="B1" s="28"/>
      <c r="C1" s="27" t="s">
        <v>283</v>
      </c>
      <c r="E1" s="27" t="s">
        <v>284</v>
      </c>
      <c r="F1" s="28"/>
      <c r="G1" s="27" t="s">
        <v>285</v>
      </c>
      <c r="I1" s="27" t="s">
        <v>293</v>
      </c>
      <c r="L1" s="27" t="s">
        <v>349</v>
      </c>
      <c r="N1" s="27" t="s">
        <v>501</v>
      </c>
    </row>
    <row r="2" spans="1:14">
      <c r="A2" s="30" t="s">
        <v>1</v>
      </c>
      <c r="C2" s="95" t="s">
        <v>289</v>
      </c>
      <c r="E2" s="29" t="s">
        <v>286</v>
      </c>
      <c r="G2" s="29">
        <v>1</v>
      </c>
      <c r="I2" t="s">
        <v>294</v>
      </c>
      <c r="J2" t="s">
        <v>295</v>
      </c>
      <c r="L2" s="92" t="s">
        <v>11</v>
      </c>
      <c r="N2" s="92" t="s">
        <v>87</v>
      </c>
    </row>
    <row r="3" spans="1:14">
      <c r="A3" s="75" t="s">
        <v>287</v>
      </c>
      <c r="C3" s="93" t="s">
        <v>290</v>
      </c>
      <c r="E3" s="31" t="s">
        <v>288</v>
      </c>
      <c r="G3" s="31">
        <v>2</v>
      </c>
      <c r="I3" s="102">
        <v>44197</v>
      </c>
      <c r="J3" s="102">
        <v>44561</v>
      </c>
      <c r="L3" s="92" t="s">
        <v>407</v>
      </c>
      <c r="N3" s="92" t="s">
        <v>88</v>
      </c>
    </row>
    <row r="4" spans="1:14">
      <c r="C4" s="29">
        <v>1</v>
      </c>
      <c r="E4" s="58" t="s">
        <v>279</v>
      </c>
      <c r="G4" s="29">
        <v>3</v>
      </c>
      <c r="I4" s="102">
        <v>44562</v>
      </c>
      <c r="J4" s="102">
        <v>44926</v>
      </c>
      <c r="N4" s="92" t="s">
        <v>89</v>
      </c>
    </row>
    <row r="5" spans="1:14">
      <c r="C5" s="31">
        <v>2</v>
      </c>
      <c r="G5" s="31">
        <v>4</v>
      </c>
      <c r="I5" s="102">
        <v>44927</v>
      </c>
      <c r="J5" s="102">
        <v>45291</v>
      </c>
      <c r="N5" s="92" t="s">
        <v>90</v>
      </c>
    </row>
    <row r="6" spans="1:14">
      <c r="C6" s="29">
        <v>3</v>
      </c>
      <c r="G6" s="29">
        <v>5</v>
      </c>
      <c r="I6" s="102">
        <v>45292</v>
      </c>
      <c r="J6" s="102">
        <v>46022</v>
      </c>
      <c r="N6" s="92" t="s">
        <v>91</v>
      </c>
    </row>
    <row r="7" spans="1:14">
      <c r="C7" s="31">
        <v>5</v>
      </c>
      <c r="G7" s="31">
        <v>6</v>
      </c>
      <c r="I7" s="102">
        <v>45658</v>
      </c>
      <c r="J7" s="102">
        <v>45658</v>
      </c>
      <c r="N7" s="92" t="s">
        <v>92</v>
      </c>
    </row>
    <row r="8" spans="1:14">
      <c r="C8" s="29">
        <v>7</v>
      </c>
      <c r="G8" s="58">
        <v>7</v>
      </c>
      <c r="N8" s="92" t="s">
        <v>10</v>
      </c>
    </row>
    <row r="9" spans="1:14">
      <c r="C9" s="31">
        <v>10</v>
      </c>
      <c r="G9" s="73">
        <v>8</v>
      </c>
      <c r="N9" s="92" t="s">
        <v>257</v>
      </c>
    </row>
    <row r="10" spans="1:14">
      <c r="C10" s="29">
        <v>20</v>
      </c>
      <c r="G10" s="74">
        <v>9</v>
      </c>
    </row>
    <row r="11" spans="1:14">
      <c r="C11" s="32">
        <v>30</v>
      </c>
      <c r="G11" s="73">
        <v>10</v>
      </c>
    </row>
    <row r="12" spans="1:14">
      <c r="G12" s="74">
        <v>11</v>
      </c>
    </row>
    <row r="13" spans="1:14">
      <c r="G13" s="73">
        <v>12</v>
      </c>
    </row>
    <row r="14" spans="1:14">
      <c r="G14" s="74">
        <v>13</v>
      </c>
    </row>
    <row r="15" spans="1:14">
      <c r="G15" s="73">
        <v>14</v>
      </c>
    </row>
    <row r="16" spans="1:14">
      <c r="G16" s="74">
        <v>15</v>
      </c>
    </row>
    <row r="17" spans="7:7">
      <c r="G17" s="73">
        <v>16</v>
      </c>
    </row>
    <row r="18" spans="7:7">
      <c r="G18" s="74">
        <v>17</v>
      </c>
    </row>
    <row r="19" spans="7:7">
      <c r="G19" s="73">
        <v>18</v>
      </c>
    </row>
    <row r="20" spans="7:7">
      <c r="G20" s="74">
        <v>19</v>
      </c>
    </row>
    <row r="21" spans="7:7">
      <c r="G21" s="73">
        <v>20</v>
      </c>
    </row>
    <row r="22" spans="7:7">
      <c r="G22" s="74">
        <v>21</v>
      </c>
    </row>
    <row r="23" spans="7:7">
      <c r="G23" s="73">
        <v>22</v>
      </c>
    </row>
    <row r="24" spans="7:7">
      <c r="G24" s="74">
        <v>23</v>
      </c>
    </row>
    <row r="25" spans="7:7">
      <c r="G25" s="73">
        <v>24</v>
      </c>
    </row>
    <row r="26" spans="7:7">
      <c r="G26" s="74">
        <v>25</v>
      </c>
    </row>
    <row r="27" spans="7:7">
      <c r="G27" s="73">
        <v>26</v>
      </c>
    </row>
    <row r="28" spans="7:7">
      <c r="G28" s="74">
        <v>27</v>
      </c>
    </row>
    <row r="29" spans="7:7">
      <c r="G29" s="73">
        <v>28</v>
      </c>
    </row>
    <row r="30" spans="7:7">
      <c r="G30" s="74">
        <v>29</v>
      </c>
    </row>
    <row r="31" spans="7:7">
      <c r="G31" s="73">
        <v>30</v>
      </c>
    </row>
    <row r="40" spans="1:1">
      <c r="A40" s="116" t="s">
        <v>291</v>
      </c>
    </row>
    <row r="41" spans="1:1">
      <c r="A41" s="780">
        <v>45838</v>
      </c>
    </row>
    <row r="42" spans="1:1">
      <c r="A42" s="780">
        <v>45747</v>
      </c>
    </row>
    <row r="43" spans="1:1">
      <c r="A43" s="658">
        <v>45657</v>
      </c>
    </row>
    <row r="44" spans="1:1">
      <c r="A44" s="658">
        <v>45565</v>
      </c>
    </row>
    <row r="45" spans="1:1">
      <c r="A45" s="658">
        <v>45473</v>
      </c>
    </row>
    <row r="46" spans="1:1">
      <c r="A46" s="658">
        <v>45382</v>
      </c>
    </row>
    <row r="47" spans="1:1">
      <c r="A47" s="658">
        <v>45291</v>
      </c>
    </row>
    <row r="48" spans="1:1">
      <c r="A48" s="658">
        <v>45199</v>
      </c>
    </row>
    <row r="49" spans="1:3">
      <c r="A49" s="658">
        <v>45107</v>
      </c>
    </row>
    <row r="50" spans="1:3">
      <c r="A50" s="658">
        <v>45016</v>
      </c>
    </row>
    <row r="51" spans="1:3">
      <c r="A51" s="117">
        <v>44926</v>
      </c>
    </row>
    <row r="52" spans="1:3">
      <c r="A52" s="117">
        <v>44834</v>
      </c>
      <c r="B52">
        <f>YEAR(A58)</f>
        <v>2021</v>
      </c>
      <c r="C52">
        <v>3.411</v>
      </c>
    </row>
    <row r="53" spans="1:3">
      <c r="A53" s="117">
        <v>44742</v>
      </c>
      <c r="B53">
        <f>YEAR(A59)</f>
        <v>2016</v>
      </c>
      <c r="C53">
        <v>3.3559999999999999</v>
      </c>
    </row>
    <row r="54" spans="1:3">
      <c r="A54" s="117">
        <v>44651</v>
      </c>
      <c r="B54">
        <f>YEAR(A60)</f>
        <v>2017</v>
      </c>
      <c r="C54">
        <v>3.2410000000000001</v>
      </c>
    </row>
    <row r="55" spans="1:3">
      <c r="A55" s="117">
        <v>44561</v>
      </c>
      <c r="B55">
        <f t="shared" ref="B55:B59" si="0">YEAR(A61)</f>
        <v>2018</v>
      </c>
      <c r="C55">
        <v>3.3730000000000002</v>
      </c>
    </row>
    <row r="56" spans="1:3">
      <c r="A56" s="117">
        <v>44469</v>
      </c>
      <c r="B56">
        <f t="shared" si="0"/>
        <v>2019</v>
      </c>
      <c r="C56">
        <v>3.3140000000000001</v>
      </c>
    </row>
    <row r="57" spans="1:3">
      <c r="A57" s="117">
        <v>44377</v>
      </c>
      <c r="B57">
        <f t="shared" si="0"/>
        <v>2020</v>
      </c>
      <c r="C57">
        <v>3.621</v>
      </c>
    </row>
    <row r="58" spans="1:3">
      <c r="A58" s="117">
        <v>44286</v>
      </c>
      <c r="B58">
        <f t="shared" si="0"/>
        <v>2021</v>
      </c>
      <c r="C58">
        <v>3.9870000000000001</v>
      </c>
    </row>
    <row r="59" spans="1:3">
      <c r="A59" s="102">
        <v>42734</v>
      </c>
      <c r="B59">
        <f t="shared" si="0"/>
        <v>2022</v>
      </c>
      <c r="C59">
        <v>3.8519999999999999</v>
      </c>
    </row>
    <row r="60" spans="1:3">
      <c r="A60" s="102">
        <v>43098</v>
      </c>
    </row>
    <row r="61" spans="1:3">
      <c r="A61" s="102">
        <v>43465</v>
      </c>
    </row>
    <row r="62" spans="1:3">
      <c r="A62" s="102">
        <v>43830</v>
      </c>
    </row>
    <row r="63" spans="1:3">
      <c r="A63" s="102">
        <v>44196</v>
      </c>
    </row>
    <row r="64" spans="1:3">
      <c r="A64" s="102">
        <v>44561</v>
      </c>
    </row>
    <row r="65" spans="1:1">
      <c r="A65" s="102">
        <v>44895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7651-0446-438C-80C4-C9F7E4AB56DC}">
  <sheetPr codeName="Hoja5">
    <tabColor theme="4" tint="0.59999389629810485"/>
  </sheetPr>
  <dimension ref="A2:V57"/>
  <sheetViews>
    <sheetView showGridLines="0" topLeftCell="A28" zoomScale="40" zoomScaleNormal="40" workbookViewId="0">
      <selection activeCell="AH43" sqref="AH43"/>
    </sheetView>
  </sheetViews>
  <sheetFormatPr baseColWidth="10" defaultColWidth="11.5546875" defaultRowHeight="14.4"/>
  <cols>
    <col min="1" max="1" width="11.5546875" style="177"/>
    <col min="2" max="2" width="41.5546875" style="177" customWidth="1"/>
    <col min="3" max="6" width="11.5546875" style="177"/>
    <col min="7" max="7" width="11.5546875" style="205"/>
    <col min="8" max="8" width="11.5546875" style="177" customWidth="1"/>
    <col min="9" max="11" width="11.5546875" style="177"/>
    <col min="12" max="12" width="17" style="177" bestFit="1" customWidth="1"/>
    <col min="13" max="16" width="11.5546875" style="177"/>
    <col min="17" max="17" width="12.5546875" style="177" customWidth="1"/>
    <col min="18" max="19" width="11.5546875" style="177"/>
    <col min="20" max="21" width="11.5546875" style="177" customWidth="1"/>
    <col min="22" max="22" width="12.6640625" style="177" bestFit="1" customWidth="1"/>
    <col min="23" max="16384" width="11.5546875" style="177"/>
  </cols>
  <sheetData>
    <row r="2" spans="2:22" s="283" customFormat="1">
      <c r="B2" s="168" t="s">
        <v>396</v>
      </c>
      <c r="G2" s="284"/>
    </row>
    <row r="3" spans="2:22" s="285" customFormat="1">
      <c r="G3" s="286"/>
    </row>
    <row r="4" spans="2:22" s="171" customFormat="1" ht="15.6">
      <c r="B4" s="170" t="s">
        <v>351</v>
      </c>
      <c r="G4" s="172"/>
    </row>
    <row r="5" spans="2:22" s="285" customFormat="1">
      <c r="G5" s="286"/>
    </row>
    <row r="6" spans="2:22" s="285" customFormat="1">
      <c r="G6" s="286"/>
    </row>
    <row r="7" spans="2:22">
      <c r="B7" s="797" t="s">
        <v>397</v>
      </c>
      <c r="C7" s="287">
        <f>IFERROR('EE.FF Económicos'!D2,"")</f>
        <v>2017</v>
      </c>
      <c r="D7" s="288">
        <f>IFERROR('EE.FF Económicos'!E2,"")</f>
        <v>2018</v>
      </c>
      <c r="E7" s="288">
        <f>IFERROR('EE.FF Económicos'!F2,"")</f>
        <v>2019</v>
      </c>
      <c r="F7" s="288">
        <f>IFERROR('EE.FF Económicos'!G2,"")</f>
        <v>2020</v>
      </c>
      <c r="G7" s="289">
        <f>IFERROR('EE.FF Económicos'!H2,"")</f>
        <v>2021</v>
      </c>
      <c r="H7" s="288">
        <v>2022</v>
      </c>
      <c r="I7" s="288">
        <v>2023</v>
      </c>
      <c r="J7" s="288">
        <v>2024</v>
      </c>
      <c r="K7" s="288">
        <v>2025</v>
      </c>
      <c r="L7" s="288">
        <v>2026</v>
      </c>
      <c r="M7" s="288">
        <v>2027</v>
      </c>
      <c r="N7" s="288">
        <v>2028</v>
      </c>
      <c r="O7" s="288">
        <v>2029</v>
      </c>
      <c r="P7" s="288">
        <v>2030</v>
      </c>
      <c r="Q7" s="288">
        <v>2031</v>
      </c>
      <c r="R7" s="288">
        <v>2032</v>
      </c>
      <c r="S7" s="288">
        <v>2033</v>
      </c>
      <c r="T7" s="288">
        <v>2034</v>
      </c>
      <c r="U7" s="288">
        <v>2035</v>
      </c>
      <c r="V7" s="290">
        <v>2036</v>
      </c>
    </row>
    <row r="8" spans="2:22">
      <c r="B8" s="798"/>
      <c r="C8" s="291">
        <f>IFERROR('EE.FF Económicos'!D3,"")</f>
        <v>1</v>
      </c>
      <c r="D8" s="292">
        <f>IFERROR('EE.FF Económicos'!E3,"")</f>
        <v>2</v>
      </c>
      <c r="E8" s="292">
        <f>IFERROR('EE.FF Económicos'!F3,"")</f>
        <v>3</v>
      </c>
      <c r="F8" s="292">
        <f>IFERROR('EE.FF Económicos'!G3,"")</f>
        <v>4</v>
      </c>
      <c r="G8" s="293">
        <f>IFERROR('EE.FF Económicos'!H3,"")</f>
        <v>5</v>
      </c>
      <c r="H8" s="357">
        <v>6</v>
      </c>
      <c r="I8" s="357">
        <v>7</v>
      </c>
      <c r="J8" s="357">
        <v>8</v>
      </c>
      <c r="K8" s="357">
        <v>9</v>
      </c>
      <c r="L8" s="357">
        <v>10</v>
      </c>
      <c r="M8" s="357">
        <v>11</v>
      </c>
      <c r="N8" s="357">
        <v>12</v>
      </c>
      <c r="O8" s="357">
        <v>13</v>
      </c>
      <c r="P8" s="357">
        <v>14</v>
      </c>
      <c r="Q8" s="357">
        <v>15</v>
      </c>
      <c r="R8" s="357">
        <v>16</v>
      </c>
      <c r="S8" s="357">
        <v>17</v>
      </c>
      <c r="T8" s="357">
        <v>18</v>
      </c>
      <c r="U8" s="357">
        <v>19</v>
      </c>
      <c r="V8" s="294">
        <v>20</v>
      </c>
    </row>
    <row r="9" spans="2:22">
      <c r="B9" s="183" t="s">
        <v>353</v>
      </c>
      <c r="C9" s="184">
        <f>IF('EE.FF Económicos'!D44=0,"",'EE.FF Económicos'!D44)</f>
        <v>688179.76</v>
      </c>
      <c r="D9" s="185">
        <f>IF('EE.FF Económicos'!E44=0,"",'EE.FF Económicos'!E44)</f>
        <v>757098.17</v>
      </c>
      <c r="E9" s="185">
        <f>IF('EE.FF Económicos'!F44=0,"",'EE.FF Económicos'!F44)</f>
        <v>966773.375</v>
      </c>
      <c r="F9" s="185">
        <f>IF('EE.FF Económicos'!G44=0,"",'EE.FF Económicos'!G44)</f>
        <v>845730.31499999994</v>
      </c>
      <c r="G9" s="186">
        <f>IF('EE.FF Económicos'!H44=0,"",'EE.FF Económicos'!H44)</f>
        <v>878655.03</v>
      </c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20"/>
    </row>
    <row r="10" spans="2:22">
      <c r="B10" s="188" t="s">
        <v>354</v>
      </c>
      <c r="C10" s="189"/>
      <c r="D10" s="190">
        <f>IF(C9="","",AVERAGE(C9:D9))</f>
        <v>722638.96500000008</v>
      </c>
      <c r="E10" s="190">
        <f>IF(D9="","",AVERAGE(D9:E9))</f>
        <v>861935.77249999996</v>
      </c>
      <c r="F10" s="190">
        <f>IF(E9="","",AVERAGE(E9:F9))</f>
        <v>906251.84499999997</v>
      </c>
      <c r="G10" s="191">
        <f>IF(F9="","",AVERAGE(F9:G9))</f>
        <v>862192.67249999999</v>
      </c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3"/>
    </row>
    <row r="11" spans="2:22">
      <c r="B11" s="188" t="s">
        <v>355</v>
      </c>
      <c r="C11" s="189"/>
      <c r="D11" s="190"/>
      <c r="E11" s="190"/>
      <c r="F11" s="190"/>
      <c r="G11" s="191">
        <f t="shared" ref="G11:V11" si="0">LN(F8)*$E$16+$F$21</f>
        <v>862192.67249999999</v>
      </c>
      <c r="H11" s="190">
        <f t="shared" si="0"/>
        <v>887775.52360896848</v>
      </c>
      <c r="I11" s="190">
        <f t="shared" si="0"/>
        <v>908678.23495305411</v>
      </c>
      <c r="J11" s="190">
        <f t="shared" si="0"/>
        <v>926351.22557788284</v>
      </c>
      <c r="K11" s="190">
        <f t="shared" si="0"/>
        <v>941660.26639831928</v>
      </c>
      <c r="L11" s="190">
        <f t="shared" si="0"/>
        <v>955163.79740610824</v>
      </c>
      <c r="M11" s="190">
        <f t="shared" si="0"/>
        <v>967243.11750728777</v>
      </c>
      <c r="N11" s="190">
        <f t="shared" si="0"/>
        <v>978170.19169223541</v>
      </c>
      <c r="O11" s="190">
        <f t="shared" si="0"/>
        <v>988145.8288513734</v>
      </c>
      <c r="P11" s="190">
        <f t="shared" si="0"/>
        <v>997322.52546980872</v>
      </c>
      <c r="Q11" s="190">
        <f t="shared" si="0"/>
        <v>1005818.8194762021</v>
      </c>
      <c r="R11" s="190">
        <f t="shared" si="0"/>
        <v>1013728.6799603419</v>
      </c>
      <c r="S11" s="190">
        <f t="shared" si="0"/>
        <v>1021127.8602966384</v>
      </c>
      <c r="T11" s="190">
        <f t="shared" si="0"/>
        <v>1028078.3218463137</v>
      </c>
      <c r="U11" s="190">
        <f t="shared" si="0"/>
        <v>1034631.3913044275</v>
      </c>
      <c r="V11" s="194">
        <f t="shared" si="0"/>
        <v>1040830.0632511934</v>
      </c>
    </row>
    <row r="12" spans="2:22">
      <c r="B12" s="432" t="s">
        <v>356</v>
      </c>
      <c r="C12" s="188"/>
      <c r="D12" s="192"/>
      <c r="E12" s="192"/>
      <c r="F12" s="192"/>
      <c r="G12" s="211"/>
      <c r="H12" s="196">
        <f>IF(H11/G11-1&gt;'EE.FF Económicos'!$D$53,H11/G11-1,'EE.FF Económicos'!$D$53)</f>
        <v>2.9671849373051229E-2</v>
      </c>
      <c r="I12" s="196">
        <f>IF(I11/H11-1&gt;'EE.FF Económicos'!$D$53,I11/H11-1,'EE.FF Económicos'!$D$53)</f>
        <v>2.3545041272496903E-2</v>
      </c>
      <c r="J12" s="196">
        <f>IF(J11/I11-1&gt;'EE.FF Económicos'!$D$53,J11/I11-1,'EE.FF Económicos'!$D$53)</f>
        <v>1.9449118450318936E-2</v>
      </c>
      <c r="K12" s="196">
        <f>IF(K11/J11-1&gt;'EE.FF Económicos'!$D$53,K11/J11-1,'EE.FF Económicos'!$D$53)</f>
        <v>1.6526173224293172E-2</v>
      </c>
      <c r="L12" s="196">
        <f>IF(L11/K11-1&gt;'EE.FF Económicos'!$D$53,L11/K11-1,'EE.FF Económicos'!$D$53)</f>
        <v>1.4999999999999999E-2</v>
      </c>
      <c r="M12" s="196">
        <f>IF(M11/L11-1&gt;'EE.FF Económicos'!$D$53,M11/L11-1,'EE.FF Económicos'!$D$53)</f>
        <v>1.4999999999999999E-2</v>
      </c>
      <c r="N12" s="196">
        <f>IF(N11/M11-1&gt;'EE.FF Económicos'!$D$53,N11/M11-1,'EE.FF Económicos'!$D$53)</f>
        <v>1.4999999999999999E-2</v>
      </c>
      <c r="O12" s="196">
        <f>IF(O11/N11-1&gt;'EE.FF Económicos'!$D$53,O11/N11-1,'EE.FF Económicos'!$D$53)</f>
        <v>1.4999999999999999E-2</v>
      </c>
      <c r="P12" s="196">
        <f>IF(P11/O11-1&gt;'EE.FF Económicos'!$D$53,P11/O11-1,'EE.FF Económicos'!$D$53)</f>
        <v>1.4999999999999999E-2</v>
      </c>
      <c r="Q12" s="196">
        <f>IF(Q11/P11-1&gt;'EE.FF Económicos'!$D$53,Q11/P11-1,'EE.FF Económicos'!$D$53)</f>
        <v>1.4999999999999999E-2</v>
      </c>
      <c r="R12" s="196">
        <f>IF(R11/Q11-1&gt;'EE.FF Económicos'!$D$53,R11/Q11-1,'EE.FF Económicos'!$D$53)</f>
        <v>1.4999999999999999E-2</v>
      </c>
      <c r="S12" s="196">
        <f>IF(S11/R11-1&gt;'EE.FF Económicos'!$D$53,S11/R11-1,'EE.FF Económicos'!$D$53)</f>
        <v>1.4999999999999999E-2</v>
      </c>
      <c r="T12" s="196">
        <f>IF(T11/S11-1&gt;'EE.FF Económicos'!$D$53,T11/S11-1,'EE.FF Económicos'!$D$53)</f>
        <v>1.4999999999999999E-2</v>
      </c>
      <c r="U12" s="196">
        <f>IF(U11/T11-1&gt;'EE.FF Económicos'!$D$53,U11/T11-1,'EE.FF Económicos'!$D$53)</f>
        <v>1.4999999999999999E-2</v>
      </c>
      <c r="V12" s="198">
        <f>IF(V11/U11-1&gt;'EE.FF Económicos'!$D$53,V11/U11-1,'EE.FF Económicos'!$D$53)</f>
        <v>1.4999999999999999E-2</v>
      </c>
    </row>
    <row r="13" spans="2:22">
      <c r="B13" s="200" t="s">
        <v>357</v>
      </c>
      <c r="C13" s="229">
        <f>C9</f>
        <v>688179.76</v>
      </c>
      <c r="D13" s="203">
        <f>D9</f>
        <v>757098.17</v>
      </c>
      <c r="E13" s="203">
        <f>E9</f>
        <v>966773.375</v>
      </c>
      <c r="F13" s="203">
        <f>F9</f>
        <v>845730.31499999994</v>
      </c>
      <c r="G13" s="230">
        <f>G9</f>
        <v>878655.03</v>
      </c>
      <c r="H13" s="203">
        <f>G11*(1+H12)</f>
        <v>887775.52360896848</v>
      </c>
      <c r="I13" s="203">
        <f t="shared" ref="I13:V13" si="1">H13*(1+I12)</f>
        <v>908678.23495305423</v>
      </c>
      <c r="J13" s="203">
        <f t="shared" si="1"/>
        <v>926351.22557788296</v>
      </c>
      <c r="K13" s="203">
        <f t="shared" si="1"/>
        <v>941660.26639831928</v>
      </c>
      <c r="L13" s="203">
        <f t="shared" si="1"/>
        <v>955785.17039429396</v>
      </c>
      <c r="M13" s="203">
        <f t="shared" si="1"/>
        <v>970121.94795020833</v>
      </c>
      <c r="N13" s="203">
        <f t="shared" si="1"/>
        <v>984673.77716946136</v>
      </c>
      <c r="O13" s="203">
        <f t="shared" si="1"/>
        <v>999443.88382700318</v>
      </c>
      <c r="P13" s="203">
        <f t="shared" si="1"/>
        <v>1014435.5420844081</v>
      </c>
      <c r="Q13" s="203">
        <f t="shared" si="1"/>
        <v>1029652.0752156741</v>
      </c>
      <c r="R13" s="203">
        <f t="shared" si="1"/>
        <v>1045096.8563439092</v>
      </c>
      <c r="S13" s="203">
        <f t="shared" si="1"/>
        <v>1060773.3091890677</v>
      </c>
      <c r="T13" s="203">
        <f t="shared" si="1"/>
        <v>1076684.9088269037</v>
      </c>
      <c r="U13" s="203">
        <f t="shared" si="1"/>
        <v>1092835.1824593071</v>
      </c>
      <c r="V13" s="204">
        <f t="shared" si="1"/>
        <v>1109227.7101961966</v>
      </c>
    </row>
    <row r="14" spans="2:22">
      <c r="H14" s="206"/>
      <c r="I14" s="206"/>
      <c r="J14" s="206"/>
      <c r="K14" s="206"/>
      <c r="L14" s="206"/>
      <c r="M14" s="206"/>
      <c r="N14" s="206"/>
      <c r="O14" s="206"/>
      <c r="P14" s="206"/>
      <c r="Q14" s="206"/>
    </row>
    <row r="15" spans="2:22">
      <c r="E15" s="231" t="s">
        <v>358</v>
      </c>
      <c r="F15" s="212" t="s">
        <v>359</v>
      </c>
    </row>
    <row r="16" spans="2:22">
      <c r="E16" s="209" cm="1">
        <f t="array" ref="E16">INDEX(LINEST(INDEX(C10:G10,COUNTBLANK(C10:G10)+1):G10,LN(INDEX(C8:G8,COUNTBLANK(C10:G10)):INDEX(C8:G8,4)),TRUE,),1)</f>
        <v>114647.50362848322</v>
      </c>
      <c r="F16" s="210" cm="1">
        <f t="array" ref="F16">INDEX(LINEST(INDEX(C10:G10,COUNTBLANK(C10:G10)+1):G10,LN(INDEX(C8:G8,COUNTBLANK(C10:G10)):INDEX(C8:G8,4)),TRUE,),2)</f>
        <v>747165.82923841721</v>
      </c>
    </row>
    <row r="18" spans="1:22">
      <c r="E18" s="795" t="s">
        <v>360</v>
      </c>
      <c r="F18" s="796"/>
    </row>
    <row r="19" spans="1:22">
      <c r="E19" s="213" t="s">
        <v>361</v>
      </c>
      <c r="F19" s="214">
        <f>G10</f>
        <v>862192.67249999999</v>
      </c>
      <c r="J19" s="224"/>
    </row>
    <row r="20" spans="1:22">
      <c r="E20" s="215" t="s">
        <v>362</v>
      </c>
      <c r="F20" s="216">
        <f>LN(F8)*E16+F16</f>
        <v>906101.01703505567</v>
      </c>
      <c r="J20" s="224"/>
    </row>
    <row r="21" spans="1:22">
      <c r="E21" s="217" t="s">
        <v>363</v>
      </c>
      <c r="F21" s="209">
        <f>F16+F19-F20</f>
        <v>703257.48470336152</v>
      </c>
    </row>
    <row r="22" spans="1:22">
      <c r="F22" s="224"/>
    </row>
    <row r="23" spans="1:22">
      <c r="F23" s="224"/>
    </row>
    <row r="24" spans="1:22">
      <c r="F24" s="224"/>
    </row>
    <row r="25" spans="1:22" s="171" customFormat="1" ht="15.6">
      <c r="B25" s="170" t="s">
        <v>378</v>
      </c>
      <c r="G25" s="172"/>
    </row>
    <row r="26" spans="1:22" s="295" customFormat="1" ht="15.6">
      <c r="B26" s="296"/>
      <c r="G26" s="297"/>
    </row>
    <row r="27" spans="1:22">
      <c r="A27" s="298"/>
      <c r="B27" s="183" t="s">
        <v>368</v>
      </c>
      <c r="C27" s="227"/>
      <c r="D27" s="227"/>
      <c r="E27" s="227"/>
      <c r="F27" s="227"/>
      <c r="G27" s="299"/>
      <c r="H27" s="300">
        <f>'M. por conceptos'!H171</f>
        <v>-101089.56547802276</v>
      </c>
      <c r="I27" s="300">
        <f>'M. por conceptos'!I171</f>
        <v>-104978.14664310614</v>
      </c>
      <c r="J27" s="300">
        <f>'M. por conceptos'!J171</f>
        <v>-108265.89517214318</v>
      </c>
      <c r="K27" s="300">
        <f>'M. por conceptos'!K171</f>
        <v>-111113.87249000848</v>
      </c>
      <c r="L27" s="300">
        <f>'M. por conceptos'!L171</f>
        <v>-113625.96651812913</v>
      </c>
      <c r="M27" s="300">
        <f>'M. por conceptos'!M171</f>
        <v>-115873.11119994811</v>
      </c>
      <c r="N27" s="300">
        <f>'M. por conceptos'!N171</f>
        <v>-117905.90083023111</v>
      </c>
      <c r="O27" s="300">
        <f>'M. por conceptos'!O171</f>
        <v>-119761.69236503149</v>
      </c>
      <c r="P27" s="300">
        <f>'M. por conceptos'!P171</f>
        <v>-121558.11775050694</v>
      </c>
      <c r="Q27" s="300">
        <f>'M. por conceptos'!Q171</f>
        <v>-123381.48951676453</v>
      </c>
      <c r="R27" s="300">
        <f>'M. por conceptos'!R171</f>
        <v>-125232.21185951598</v>
      </c>
      <c r="S27" s="300">
        <f>'M. por conceptos'!S171</f>
        <v>-127110.69503740872</v>
      </c>
      <c r="T27" s="300">
        <f>'M. por conceptos'!T171</f>
        <v>-129017.35546296983</v>
      </c>
      <c r="U27" s="300">
        <f>'M. por conceptos'!U171</f>
        <v>-130952.61579491437</v>
      </c>
      <c r="V27" s="301">
        <f>'M. por conceptos'!V171</f>
        <v>-132916.90503183808</v>
      </c>
    </row>
    <row r="28" spans="1:22">
      <c r="A28" s="298"/>
      <c r="B28" s="188" t="s">
        <v>385</v>
      </c>
      <c r="C28" s="192"/>
      <c r="D28" s="192"/>
      <c r="E28" s="192"/>
      <c r="F28" s="192"/>
      <c r="G28" s="211"/>
      <c r="H28" s="302">
        <f>'M. por conceptos'!H172</f>
        <v>-96443.408116711304</v>
      </c>
      <c r="I28" s="302">
        <f>'M. por conceptos'!I172</f>
        <v>-78800.00209189835</v>
      </c>
      <c r="J28" s="302">
        <f>'M. por conceptos'!J172</f>
        <v>-66624.452458922984</v>
      </c>
      <c r="K28" s="302">
        <f>'M. por conceptos'!K172</f>
        <v>-57712.725819020765</v>
      </c>
      <c r="L28" s="302">
        <f>'M. por conceptos'!L172</f>
        <v>-50906.231930666137</v>
      </c>
      <c r="M28" s="302">
        <f>'M. por conceptos'!M172</f>
        <v>-45537.1761860447</v>
      </c>
      <c r="N28" s="302">
        <f>'M. por conceptos'!N172</f>
        <v>-41193.386563980486</v>
      </c>
      <c r="O28" s="302">
        <f>'M. por conceptos'!O172</f>
        <v>-37606.615527918329</v>
      </c>
      <c r="P28" s="302">
        <f>'M. por conceptos'!P172</f>
        <v>-34594.732751454227</v>
      </c>
      <c r="Q28" s="302">
        <f>'M. por conceptos'!Q172</f>
        <v>-32029.719707468525</v>
      </c>
      <c r="R28" s="302">
        <f>'M. por conceptos'!R172</f>
        <v>-29818.955657787854</v>
      </c>
      <c r="S28" s="302">
        <f>'M. por conceptos'!S172</f>
        <v>-27893.770161232678</v>
      </c>
      <c r="T28" s="302">
        <f>'M. por conceptos'!T172</f>
        <v>-26202.169452483067</v>
      </c>
      <c r="U28" s="302">
        <f>'M. por conceptos'!U172</f>
        <v>-24704.06247818307</v>
      </c>
      <c r="V28" s="303">
        <f>'M. por conceptos'!V172</f>
        <v>-23368.038448770763</v>
      </c>
    </row>
    <row r="29" spans="1:22">
      <c r="B29" s="262" t="s">
        <v>386</v>
      </c>
      <c r="C29" s="263"/>
      <c r="D29" s="263"/>
      <c r="E29" s="263"/>
      <c r="F29" s="263"/>
      <c r="G29" s="264"/>
      <c r="H29" s="257">
        <f t="shared" ref="H29:V29" si="2">H13+H27+H28</f>
        <v>690242.55001423438</v>
      </c>
      <c r="I29" s="257">
        <f t="shared" si="2"/>
        <v>724900.08621804975</v>
      </c>
      <c r="J29" s="257">
        <f t="shared" si="2"/>
        <v>751460.87794681685</v>
      </c>
      <c r="K29" s="257">
        <f t="shared" si="2"/>
        <v>772833.66808929003</v>
      </c>
      <c r="L29" s="257">
        <f t="shared" si="2"/>
        <v>791252.97194549872</v>
      </c>
      <c r="M29" s="257">
        <f t="shared" si="2"/>
        <v>808711.6605642155</v>
      </c>
      <c r="N29" s="257">
        <f t="shared" si="2"/>
        <v>825574.48977524973</v>
      </c>
      <c r="O29" s="257">
        <f t="shared" si="2"/>
        <v>842075.5759340534</v>
      </c>
      <c r="P29" s="257">
        <f t="shared" si="2"/>
        <v>858282.69158244692</v>
      </c>
      <c r="Q29" s="257">
        <f t="shared" si="2"/>
        <v>874240.86599144107</v>
      </c>
      <c r="R29" s="257">
        <f t="shared" si="2"/>
        <v>890045.68882660533</v>
      </c>
      <c r="S29" s="257">
        <f t="shared" si="2"/>
        <v>905768.84399042628</v>
      </c>
      <c r="T29" s="257">
        <f t="shared" si="2"/>
        <v>921465.38391145074</v>
      </c>
      <c r="U29" s="257">
        <f t="shared" si="2"/>
        <v>937178.50418620976</v>
      </c>
      <c r="V29" s="259">
        <f t="shared" si="2"/>
        <v>952942.7667155877</v>
      </c>
    </row>
    <row r="30" spans="1:22">
      <c r="B30" s="188" t="s">
        <v>387</v>
      </c>
      <c r="C30" s="192"/>
      <c r="D30" s="192"/>
      <c r="E30" s="192"/>
      <c r="F30" s="192"/>
      <c r="G30" s="211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436">
        <f>V29*(1+'EE.FF Económicos'!$D$53)/(WACC!I44-'EE.FF Económicos'!$D$53)</f>
        <v>10333727.651883775</v>
      </c>
    </row>
    <row r="31" spans="1:22">
      <c r="B31" s="200" t="s">
        <v>398</v>
      </c>
      <c r="C31" s="201"/>
      <c r="D31" s="201"/>
      <c r="E31" s="201"/>
      <c r="F31" s="201"/>
      <c r="G31" s="202"/>
      <c r="H31" s="203">
        <f t="shared" ref="H31:U31" si="3">H29</f>
        <v>690242.55001423438</v>
      </c>
      <c r="I31" s="203">
        <f t="shared" si="3"/>
        <v>724900.08621804975</v>
      </c>
      <c r="J31" s="203">
        <f t="shared" si="3"/>
        <v>751460.87794681685</v>
      </c>
      <c r="K31" s="203">
        <f t="shared" si="3"/>
        <v>772833.66808929003</v>
      </c>
      <c r="L31" s="203">
        <f t="shared" si="3"/>
        <v>791252.97194549872</v>
      </c>
      <c r="M31" s="203">
        <f t="shared" si="3"/>
        <v>808711.6605642155</v>
      </c>
      <c r="N31" s="203">
        <f t="shared" si="3"/>
        <v>825574.48977524973</v>
      </c>
      <c r="O31" s="203">
        <f t="shared" si="3"/>
        <v>842075.5759340534</v>
      </c>
      <c r="P31" s="203">
        <f t="shared" si="3"/>
        <v>858282.69158244692</v>
      </c>
      <c r="Q31" s="203">
        <f t="shared" si="3"/>
        <v>874240.86599144107</v>
      </c>
      <c r="R31" s="203">
        <f t="shared" si="3"/>
        <v>890045.68882660533</v>
      </c>
      <c r="S31" s="203">
        <f t="shared" si="3"/>
        <v>905768.84399042628</v>
      </c>
      <c r="T31" s="203">
        <f t="shared" si="3"/>
        <v>921465.38391145074</v>
      </c>
      <c r="U31" s="203">
        <f t="shared" si="3"/>
        <v>937178.50418620976</v>
      </c>
      <c r="V31" s="204">
        <f>V29+V30</f>
        <v>11286670.418599363</v>
      </c>
    </row>
    <row r="34" spans="2:22" s="268" customFormat="1" ht="15.6">
      <c r="B34" s="170" t="s">
        <v>415</v>
      </c>
      <c r="G34" s="269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T34" s="271"/>
    </row>
    <row r="36" spans="2:22">
      <c r="L36" s="304" t="s">
        <v>389</v>
      </c>
      <c r="M36" s="305" t="s">
        <v>390</v>
      </c>
      <c r="N36" s="305" t="s">
        <v>391</v>
      </c>
    </row>
    <row r="37" spans="2:22">
      <c r="I37" s="183" t="s">
        <v>392</v>
      </c>
      <c r="J37" s="227"/>
      <c r="K37" s="227"/>
      <c r="L37" s="437">
        <f>NPV(WACC!I44,H31:V31)</f>
        <v>8021069.1339763263</v>
      </c>
      <c r="M37" s="250"/>
      <c r="N37" s="250"/>
    </row>
    <row r="38" spans="2:22">
      <c r="I38" s="188" t="s">
        <v>393</v>
      </c>
      <c r="J38" s="192"/>
      <c r="K38" s="192"/>
      <c r="L38" s="447">
        <f>'EE.FF Económicos'!H24</f>
        <v>5437375</v>
      </c>
      <c r="M38" s="250"/>
      <c r="N38" s="250"/>
    </row>
    <row r="39" spans="2:22">
      <c r="I39" s="275" t="s">
        <v>394</v>
      </c>
      <c r="J39" s="276"/>
      <c r="K39" s="276"/>
      <c r="L39" s="437">
        <f>L37-L38</f>
        <v>2583694.1339763263</v>
      </c>
      <c r="M39" s="250"/>
      <c r="N39" s="250"/>
    </row>
    <row r="40" spans="2:22">
      <c r="I40" s="279" t="s">
        <v>395</v>
      </c>
      <c r="J40" s="280"/>
      <c r="K40" s="280"/>
      <c r="L40" s="306">
        <f>L39/'Plantilla Usuario'!C5</f>
        <v>3.0497159490999874</v>
      </c>
      <c r="M40" s="306">
        <v>6.05</v>
      </c>
      <c r="N40" s="306">
        <v>10.1</v>
      </c>
    </row>
    <row r="41" spans="2:22">
      <c r="I41" s="192"/>
      <c r="J41" s="192"/>
      <c r="K41" s="192"/>
      <c r="L41" s="385"/>
      <c r="M41" s="385"/>
      <c r="N41" s="385"/>
      <c r="O41" s="192"/>
    </row>
    <row r="42" spans="2:22" s="268" customFormat="1" ht="15.6">
      <c r="B42" s="170" t="s">
        <v>412</v>
      </c>
      <c r="G42" s="269"/>
    </row>
    <row r="44" spans="2:22">
      <c r="B44" s="387" t="s">
        <v>386</v>
      </c>
      <c r="C44" s="388"/>
      <c r="D44" s="388"/>
      <c r="E44" s="388"/>
      <c r="F44" s="388"/>
      <c r="G44" s="389"/>
      <c r="H44" s="390">
        <f>H29</f>
        <v>690242.55001423438</v>
      </c>
      <c r="I44" s="390">
        <f t="shared" ref="I44:V44" si="4">I29</f>
        <v>724900.08621804975</v>
      </c>
      <c r="J44" s="390">
        <f t="shared" si="4"/>
        <v>751460.87794681685</v>
      </c>
      <c r="K44" s="390">
        <f t="shared" si="4"/>
        <v>772833.66808929003</v>
      </c>
      <c r="L44" s="390">
        <f t="shared" si="4"/>
        <v>791252.97194549872</v>
      </c>
      <c r="M44" s="390">
        <f t="shared" si="4"/>
        <v>808711.6605642155</v>
      </c>
      <c r="N44" s="390">
        <f t="shared" si="4"/>
        <v>825574.48977524973</v>
      </c>
      <c r="O44" s="390">
        <f t="shared" si="4"/>
        <v>842075.5759340534</v>
      </c>
      <c r="P44" s="390">
        <f t="shared" si="4"/>
        <v>858282.69158244692</v>
      </c>
      <c r="Q44" s="390">
        <f t="shared" si="4"/>
        <v>874240.86599144107</v>
      </c>
      <c r="R44" s="390">
        <f t="shared" si="4"/>
        <v>890045.68882660533</v>
      </c>
      <c r="S44" s="390">
        <f t="shared" si="4"/>
        <v>905768.84399042628</v>
      </c>
      <c r="T44" s="390">
        <f t="shared" si="4"/>
        <v>921465.38391145074</v>
      </c>
      <c r="U44" s="390">
        <f t="shared" si="4"/>
        <v>937178.50418620976</v>
      </c>
      <c r="V44" s="391">
        <f t="shared" si="4"/>
        <v>952942.7667155877</v>
      </c>
    </row>
    <row r="45" spans="2:22">
      <c r="B45" s="188" t="s">
        <v>387</v>
      </c>
      <c r="C45" s="192"/>
      <c r="D45" s="192"/>
      <c r="E45" s="192"/>
      <c r="F45" s="192"/>
      <c r="G45" s="211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436">
        <f>V44*(1+'EE.FF Económicos'!$D$53)/(WACC!$AO$38-'EE.FF Económicos'!$D$53)</f>
        <v>15041560.406931855</v>
      </c>
    </row>
    <row r="46" spans="2:22">
      <c r="B46" s="200" t="s">
        <v>398</v>
      </c>
      <c r="C46" s="201"/>
      <c r="D46" s="201"/>
      <c r="E46" s="201"/>
      <c r="F46" s="201"/>
      <c r="G46" s="202"/>
      <c r="H46" s="203">
        <f t="shared" ref="H46:T46" si="5">H44</f>
        <v>690242.55001423438</v>
      </c>
      <c r="I46" s="203">
        <f t="shared" si="5"/>
        <v>724900.08621804975</v>
      </c>
      <c r="J46" s="203">
        <f t="shared" si="5"/>
        <v>751460.87794681685</v>
      </c>
      <c r="K46" s="203">
        <f t="shared" si="5"/>
        <v>772833.66808929003</v>
      </c>
      <c r="L46" s="203">
        <f t="shared" si="5"/>
        <v>791252.97194549872</v>
      </c>
      <c r="M46" s="203">
        <f t="shared" si="5"/>
        <v>808711.6605642155</v>
      </c>
      <c r="N46" s="203">
        <f t="shared" si="5"/>
        <v>825574.48977524973</v>
      </c>
      <c r="O46" s="203">
        <f t="shared" si="5"/>
        <v>842075.5759340534</v>
      </c>
      <c r="P46" s="203">
        <f t="shared" si="5"/>
        <v>858282.69158244692</v>
      </c>
      <c r="Q46" s="203">
        <f t="shared" si="5"/>
        <v>874240.86599144107</v>
      </c>
      <c r="R46" s="203">
        <f t="shared" si="5"/>
        <v>890045.68882660533</v>
      </c>
      <c r="S46" s="203">
        <f t="shared" si="5"/>
        <v>905768.84399042628</v>
      </c>
      <c r="T46" s="203">
        <f t="shared" si="5"/>
        <v>921465.38391145074</v>
      </c>
      <c r="U46" s="203">
        <f>U44</f>
        <v>937178.50418620976</v>
      </c>
      <c r="V46" s="204">
        <f>V44+V45</f>
        <v>15994503.173647443</v>
      </c>
    </row>
    <row r="48" spans="2:22">
      <c r="L48" s="304" t="s">
        <v>389</v>
      </c>
      <c r="M48" s="305" t="s">
        <v>390</v>
      </c>
      <c r="N48" s="305" t="s">
        <v>391</v>
      </c>
    </row>
    <row r="49" spans="2:14">
      <c r="I49" s="183" t="s">
        <v>392</v>
      </c>
      <c r="J49" s="227"/>
      <c r="K49" s="227"/>
      <c r="L49" s="437">
        <f>NPV(WACC!AO38,H46:V46)</f>
        <v>11763144.829447117</v>
      </c>
      <c r="M49" s="250"/>
      <c r="N49" s="250"/>
    </row>
    <row r="50" spans="2:14">
      <c r="I50" s="188" t="s">
        <v>393</v>
      </c>
      <c r="J50" s="192"/>
      <c r="K50" s="192"/>
      <c r="L50" s="447">
        <f>L38</f>
        <v>5437375</v>
      </c>
      <c r="M50" s="250"/>
      <c r="N50" s="250"/>
    </row>
    <row r="51" spans="2:14">
      <c r="I51" s="275" t="s">
        <v>394</v>
      </c>
      <c r="J51" s="276"/>
      <c r="K51" s="276"/>
      <c r="L51" s="437">
        <f>L49-L50</f>
        <v>6325769.8294471167</v>
      </c>
      <c r="M51" s="250"/>
      <c r="N51" s="250"/>
    </row>
    <row r="52" spans="2:14">
      <c r="I52" s="279" t="s">
        <v>395</v>
      </c>
      <c r="J52" s="280"/>
      <c r="K52" s="280"/>
      <c r="L52" s="306">
        <f>L51/'Plantilla Usuario'!C5</f>
        <v>7.4667511473233636</v>
      </c>
      <c r="M52" s="306">
        <v>6.05</v>
      </c>
      <c r="N52" s="306">
        <v>10.1</v>
      </c>
    </row>
    <row r="53" spans="2:14">
      <c r="L53" s="638"/>
    </row>
    <row r="54" spans="2:14">
      <c r="B54" s="633" t="s">
        <v>456</v>
      </c>
      <c r="C54" s="634" t="s">
        <v>457</v>
      </c>
    </row>
    <row r="55" spans="2:14">
      <c r="B55" s="631" t="s">
        <v>1048</v>
      </c>
      <c r="C55" s="632">
        <f>+L39</f>
        <v>2583694.1339763263</v>
      </c>
    </row>
    <row r="56" spans="2:14">
      <c r="B56" s="637" t="s">
        <v>1047</v>
      </c>
      <c r="C56" s="632">
        <f t="shared" ref="C56" si="6">+L51</f>
        <v>6325769.8294471167</v>
      </c>
    </row>
    <row r="57" spans="2:14">
      <c r="B57" s="635" t="s">
        <v>395</v>
      </c>
      <c r="C57" s="636">
        <f>+L52</f>
        <v>7.4667511473233636</v>
      </c>
    </row>
  </sheetData>
  <mergeCells count="2">
    <mergeCell ref="B7:B8"/>
    <mergeCell ref="E18:F18"/>
  </mergeCell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DC5-2E61-4C80-94A1-94560B6A2C8A}">
  <sheetPr>
    <tabColor theme="4" tint="0.59999389629810485"/>
  </sheetPr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43EB-FF64-4AC8-9903-31447C9C0BCA}">
  <sheetPr codeName="Hoja6">
    <tabColor theme="4" tint="0.59999389629810485"/>
  </sheetPr>
  <dimension ref="A2:R133"/>
  <sheetViews>
    <sheetView showGridLines="0" topLeftCell="A88" zoomScale="76" zoomScaleNormal="85" workbookViewId="0">
      <selection activeCell="H132" sqref="H132"/>
    </sheetView>
  </sheetViews>
  <sheetFormatPr baseColWidth="10" defaultColWidth="11.5546875" defaultRowHeight="14.4"/>
  <cols>
    <col min="1" max="1" width="11.5546875" style="177"/>
    <col min="2" max="2" width="27.33203125" style="177" customWidth="1"/>
    <col min="3" max="4" width="11.5546875" style="177"/>
    <col min="5" max="5" width="11.5546875" style="177" customWidth="1"/>
    <col min="6" max="7" width="11.5546875" style="177"/>
    <col min="8" max="9" width="13.88671875" style="177" bestFit="1" customWidth="1"/>
    <col min="10" max="13" width="14.88671875" style="177" bestFit="1" customWidth="1"/>
    <col min="14" max="18" width="15.88671875" style="177" bestFit="1" customWidth="1"/>
    <col min="19" max="19" width="11.5546875" style="177"/>
    <col min="20" max="20" width="14.5546875" style="177" customWidth="1"/>
    <col min="21" max="16384" width="11.5546875" style="177"/>
  </cols>
  <sheetData>
    <row r="2" spans="1:18" s="308" customFormat="1">
      <c r="A2" s="307" t="s">
        <v>399</v>
      </c>
    </row>
    <row r="4" spans="1:18">
      <c r="B4" s="811" t="s">
        <v>352</v>
      </c>
      <c r="C4" s="309">
        <v>2021</v>
      </c>
      <c r="D4" s="309">
        <v>2022</v>
      </c>
      <c r="E4" s="309">
        <v>2023</v>
      </c>
      <c r="F4" s="309">
        <v>2024</v>
      </c>
      <c r="G4" s="309">
        <v>2025</v>
      </c>
      <c r="H4" s="309">
        <v>2026</v>
      </c>
      <c r="I4" s="309">
        <v>2027</v>
      </c>
      <c r="J4" s="309">
        <v>2028</v>
      </c>
      <c r="K4" s="309">
        <v>2029</v>
      </c>
      <c r="L4" s="309">
        <v>2030</v>
      </c>
      <c r="M4" s="309">
        <v>2031</v>
      </c>
      <c r="N4" s="309">
        <v>2032</v>
      </c>
      <c r="O4" s="309">
        <v>2033</v>
      </c>
      <c r="P4" s="309">
        <v>2034</v>
      </c>
      <c r="Q4" s="309">
        <v>2035</v>
      </c>
      <c r="R4" s="309">
        <v>2036</v>
      </c>
    </row>
    <row r="5" spans="1:18">
      <c r="B5" s="812"/>
      <c r="C5" s="310">
        <v>5</v>
      </c>
      <c r="D5" s="310">
        <v>6</v>
      </c>
      <c r="E5" s="310">
        <v>7</v>
      </c>
      <c r="F5" s="310">
        <v>8</v>
      </c>
      <c r="G5" s="310">
        <v>9</v>
      </c>
      <c r="H5" s="310">
        <v>10</v>
      </c>
      <c r="I5" s="310">
        <v>11</v>
      </c>
      <c r="J5" s="310">
        <v>12</v>
      </c>
      <c r="K5" s="310">
        <v>13</v>
      </c>
      <c r="L5" s="310">
        <v>14</v>
      </c>
      <c r="M5" s="310">
        <v>15</v>
      </c>
      <c r="N5" s="310">
        <v>16</v>
      </c>
      <c r="O5" s="310">
        <v>17</v>
      </c>
      <c r="P5" s="310">
        <v>18</v>
      </c>
      <c r="Q5" s="310">
        <v>19</v>
      </c>
      <c r="R5" s="310">
        <v>20</v>
      </c>
    </row>
    <row r="6" spans="1:18">
      <c r="B6" s="311" t="s">
        <v>375</v>
      </c>
      <c r="C6" s="224">
        <f>'M. por conceptos'!G11</f>
        <v>11179715</v>
      </c>
      <c r="D6" s="224">
        <f>'M. por conceptos'!H11</f>
        <v>11732053.336006992</v>
      </c>
      <c r="E6" s="224">
        <f>'M. por conceptos'!I11</f>
        <v>12183346.616519395</v>
      </c>
      <c r="F6" s="224">
        <f>'M. por conceptos'!J11</f>
        <v>12564909.648427242</v>
      </c>
      <c r="G6" s="224">
        <f>'M. por conceptos'!K11</f>
        <v>12895434.580797218</v>
      </c>
      <c r="H6" s="224">
        <f>'M. por conceptos'!L11</f>
        <v>13186978.233038789</v>
      </c>
      <c r="I6" s="224">
        <f>'M. por conceptos'!M11</f>
        <v>13447772.916804209</v>
      </c>
      <c r="J6" s="224">
        <f>'M. por conceptos'!N11</f>
        <v>13683690.404930588</v>
      </c>
      <c r="K6" s="224">
        <f>'M. por conceptos'!O11</f>
        <v>13899066.197316613</v>
      </c>
      <c r="L6" s="224">
        <f>'M. por conceptos'!P11</f>
        <v>14097192.720379975</v>
      </c>
      <c r="M6" s="224">
        <f>'M. por conceptos'!Q11</f>
        <v>14280629.22922446</v>
      </c>
      <c r="N6" s="224">
        <f>'M. por conceptos'!R11</f>
        <v>14451404.533323605</v>
      </c>
      <c r="O6" s="224">
        <f>'M. por conceptos'!S11</f>
        <v>14611154.161594436</v>
      </c>
      <c r="P6" s="224">
        <f>'M. por conceptos'!T11</f>
        <v>14761215.870919801</v>
      </c>
      <c r="Q6" s="224">
        <f>'M. por conceptos'!U11</f>
        <v>14902697.813836006</v>
      </c>
      <c r="R6" s="224">
        <f>'M. por conceptos'!V11</f>
        <v>15036528.25102796</v>
      </c>
    </row>
    <row r="7" spans="1:18">
      <c r="B7" s="311" t="s">
        <v>400</v>
      </c>
      <c r="D7" s="312">
        <f>D6/C6-1</f>
        <v>4.9405403984537299E-2</v>
      </c>
      <c r="E7" s="312">
        <f>E6/D6-1</f>
        <v>3.8466691855835178E-2</v>
      </c>
      <c r="F7" s="312">
        <f t="shared" ref="F7:R8" si="0">F6/E6-1</f>
        <v>3.1318408965766986E-2</v>
      </c>
      <c r="G7" s="312">
        <f t="shared" si="0"/>
        <v>2.6305396665653458E-2</v>
      </c>
      <c r="H7" s="312">
        <f t="shared" si="0"/>
        <v>2.2608284382731325E-2</v>
      </c>
      <c r="I7" s="312">
        <f t="shared" si="0"/>
        <v>1.9776682660476608E-2</v>
      </c>
      <c r="J7" s="312">
        <f t="shared" si="0"/>
        <v>1.7543238541125161E-2</v>
      </c>
      <c r="K7" s="312">
        <f t="shared" si="0"/>
        <v>1.5739598457183757E-2</v>
      </c>
      <c r="L7" s="312">
        <f t="shared" si="0"/>
        <v>1.4254664324256039E-2</v>
      </c>
      <c r="M7" s="312">
        <f t="shared" si="0"/>
        <v>1.3012272193689611E-2</v>
      </c>
      <c r="N7" s="312">
        <f t="shared" si="0"/>
        <v>1.1958527972259381E-2</v>
      </c>
      <c r="O7" s="312">
        <f t="shared" si="0"/>
        <v>1.1054263127328712E-2</v>
      </c>
      <c r="P7" s="312">
        <f t="shared" si="0"/>
        <v>1.0270352886961209E-2</v>
      </c>
      <c r="Q7" s="312">
        <f t="shared" si="0"/>
        <v>9.5847079368935884E-3</v>
      </c>
      <c r="R7" s="313">
        <f t="shared" si="0"/>
        <v>8.9802825544582632E-3</v>
      </c>
    </row>
    <row r="8" spans="1:18">
      <c r="B8" s="314" t="s">
        <v>401</v>
      </c>
      <c r="C8" s="315"/>
      <c r="D8" s="315"/>
      <c r="E8" s="316">
        <f>E7/D7-1</f>
        <v>-0.22140719934454289</v>
      </c>
      <c r="F8" s="316">
        <f>F7/E7-1</f>
        <v>-0.18583045604385229</v>
      </c>
      <c r="G8" s="316">
        <f t="shared" si="0"/>
        <v>-0.16006599522961307</v>
      </c>
      <c r="H8" s="316">
        <f t="shared" si="0"/>
        <v>-0.14054577202971408</v>
      </c>
      <c r="I8" s="316">
        <f t="shared" si="0"/>
        <v>-0.12524620065455094</v>
      </c>
      <c r="J8" s="316">
        <f t="shared" si="0"/>
        <v>-0.11293320309047328</v>
      </c>
      <c r="K8" s="316">
        <f t="shared" si="0"/>
        <v>-0.10281112462292985</v>
      </c>
      <c r="L8" s="316">
        <f t="shared" si="0"/>
        <v>-9.4343838374731481E-2</v>
      </c>
      <c r="M8" s="316">
        <f t="shared" si="0"/>
        <v>-8.7156884392735057E-2</v>
      </c>
      <c r="N8" s="316">
        <f t="shared" si="0"/>
        <v>-8.0980800719896662E-2</v>
      </c>
      <c r="O8" s="316">
        <f t="shared" si="0"/>
        <v>-7.5616735356418774E-2</v>
      </c>
      <c r="P8" s="316">
        <f t="shared" si="0"/>
        <v>-7.0914744052861689E-2</v>
      </c>
      <c r="Q8" s="316">
        <f t="shared" si="0"/>
        <v>-6.6759629159197198E-2</v>
      </c>
      <c r="R8" s="317">
        <f t="shared" si="0"/>
        <v>-6.3061429353393539E-2</v>
      </c>
    </row>
    <row r="10" spans="1:18">
      <c r="B10" s="318" t="s">
        <v>402</v>
      </c>
      <c r="C10" s="319"/>
      <c r="D10" s="438">
        <f>D7</f>
        <v>4.9405403984537299E-2</v>
      </c>
      <c r="E10" s="320">
        <f>IF(D10*(1+E8)&gt;$G$14,D10*(1+E8),$G$14)</f>
        <v>3.8466691855835178E-2</v>
      </c>
      <c r="F10" s="320">
        <f t="shared" ref="F10:R10" si="1">IF(E10*(1+F8)&gt;$G$14,E10*(1+F8),$G$14)</f>
        <v>3.1318408965766986E-2</v>
      </c>
      <c r="G10" s="320">
        <f t="shared" si="1"/>
        <v>2.6305396665653458E-2</v>
      </c>
      <c r="H10" s="320">
        <f t="shared" si="1"/>
        <v>2.2608284382731325E-2</v>
      </c>
      <c r="I10" s="320">
        <f t="shared" si="1"/>
        <v>1.9776682660476608E-2</v>
      </c>
      <c r="J10" s="320">
        <f t="shared" si="1"/>
        <v>1.7543238541125161E-2</v>
      </c>
      <c r="K10" s="320">
        <f t="shared" si="1"/>
        <v>1.5739598457183757E-2</v>
      </c>
      <c r="L10" s="320">
        <f t="shared" si="1"/>
        <v>1.4999999999999999E-2</v>
      </c>
      <c r="M10" s="320">
        <f t="shared" si="1"/>
        <v>1.4999999999999999E-2</v>
      </c>
      <c r="N10" s="320">
        <f t="shared" si="1"/>
        <v>1.4999999999999999E-2</v>
      </c>
      <c r="O10" s="320">
        <f t="shared" si="1"/>
        <v>1.4999999999999999E-2</v>
      </c>
      <c r="P10" s="320">
        <f t="shared" si="1"/>
        <v>1.4999999999999999E-2</v>
      </c>
      <c r="Q10" s="320">
        <f t="shared" si="1"/>
        <v>1.4999999999999999E-2</v>
      </c>
      <c r="R10" s="320">
        <f t="shared" si="1"/>
        <v>1.4999999999999999E-2</v>
      </c>
    </row>
    <row r="11" spans="1:18">
      <c r="B11" s="314" t="s">
        <v>375</v>
      </c>
      <c r="C11" s="322">
        <f>C6</f>
        <v>11179715</v>
      </c>
      <c r="D11" s="322">
        <f>C11*(1+D10)</f>
        <v>11732053.336006992</v>
      </c>
      <c r="E11" s="322">
        <f t="shared" ref="E11:R11" si="2">D11*(1+E10)</f>
        <v>12183346.616519395</v>
      </c>
      <c r="F11" s="322">
        <f t="shared" si="2"/>
        <v>12564909.648427242</v>
      </c>
      <c r="G11" s="322">
        <f t="shared" si="2"/>
        <v>12895434.580797218</v>
      </c>
      <c r="H11" s="322">
        <f t="shared" si="2"/>
        <v>13186978.233038789</v>
      </c>
      <c r="I11" s="322">
        <f t="shared" si="2"/>
        <v>13447772.916804209</v>
      </c>
      <c r="J11" s="322">
        <f t="shared" si="2"/>
        <v>13683690.404930588</v>
      </c>
      <c r="K11" s="322">
        <f t="shared" si="2"/>
        <v>13899066.197316613</v>
      </c>
      <c r="L11" s="322">
        <f t="shared" si="2"/>
        <v>14107552.19027636</v>
      </c>
      <c r="M11" s="322">
        <f t="shared" si="2"/>
        <v>14319165.473130504</v>
      </c>
      <c r="N11" s="322">
        <f t="shared" si="2"/>
        <v>14533952.955227461</v>
      </c>
      <c r="O11" s="322">
        <f t="shared" si="2"/>
        <v>14751962.249555871</v>
      </c>
      <c r="P11" s="322">
        <f t="shared" si="2"/>
        <v>14973241.683299208</v>
      </c>
      <c r="Q11" s="322">
        <f t="shared" si="2"/>
        <v>15197840.308548694</v>
      </c>
      <c r="R11" s="323">
        <f t="shared" si="2"/>
        <v>15425807.913176924</v>
      </c>
    </row>
    <row r="14" spans="1:18">
      <c r="B14" s="324" t="s">
        <v>403</v>
      </c>
      <c r="C14" s="325"/>
      <c r="D14" s="326">
        <f>D10/D7-1</f>
        <v>0</v>
      </c>
      <c r="F14" s="550" t="s">
        <v>348</v>
      </c>
      <c r="G14" s="549">
        <f>'EE.FF Económicos'!D53</f>
        <v>1.4999999999999999E-2</v>
      </c>
    </row>
    <row r="17" spans="2:18">
      <c r="B17" s="809" t="s">
        <v>404</v>
      </c>
      <c r="C17" s="327">
        <f>C$4</f>
        <v>2021</v>
      </c>
      <c r="D17" s="309">
        <f t="shared" ref="D17:R17" si="3">D$4</f>
        <v>2022</v>
      </c>
      <c r="E17" s="309">
        <f t="shared" si="3"/>
        <v>2023</v>
      </c>
      <c r="F17" s="309">
        <f t="shared" si="3"/>
        <v>2024</v>
      </c>
      <c r="G17" s="309">
        <f t="shared" si="3"/>
        <v>2025</v>
      </c>
      <c r="H17" s="309">
        <f t="shared" si="3"/>
        <v>2026</v>
      </c>
      <c r="I17" s="309">
        <f t="shared" si="3"/>
        <v>2027</v>
      </c>
      <c r="J17" s="309">
        <f t="shared" si="3"/>
        <v>2028</v>
      </c>
      <c r="K17" s="309">
        <f t="shared" si="3"/>
        <v>2029</v>
      </c>
      <c r="L17" s="309">
        <f t="shared" si="3"/>
        <v>2030</v>
      </c>
      <c r="M17" s="309">
        <f t="shared" si="3"/>
        <v>2031</v>
      </c>
      <c r="N17" s="309">
        <f t="shared" si="3"/>
        <v>2032</v>
      </c>
      <c r="O17" s="309">
        <f t="shared" si="3"/>
        <v>2033</v>
      </c>
      <c r="P17" s="309">
        <f t="shared" si="3"/>
        <v>2034</v>
      </c>
      <c r="Q17" s="309">
        <f t="shared" si="3"/>
        <v>2035</v>
      </c>
      <c r="R17" s="328">
        <f t="shared" si="3"/>
        <v>2036</v>
      </c>
    </row>
    <row r="18" spans="2:18">
      <c r="B18" s="810"/>
      <c r="C18" s="329">
        <f>C$5</f>
        <v>5</v>
      </c>
      <c r="D18" s="310">
        <f t="shared" ref="D18:R18" si="4">D$5</f>
        <v>6</v>
      </c>
      <c r="E18" s="310">
        <f t="shared" si="4"/>
        <v>7</v>
      </c>
      <c r="F18" s="310">
        <f t="shared" si="4"/>
        <v>8</v>
      </c>
      <c r="G18" s="310">
        <f t="shared" si="4"/>
        <v>9</v>
      </c>
      <c r="H18" s="310">
        <f t="shared" si="4"/>
        <v>10</v>
      </c>
      <c r="I18" s="310">
        <f t="shared" si="4"/>
        <v>11</v>
      </c>
      <c r="J18" s="310">
        <f t="shared" si="4"/>
        <v>12</v>
      </c>
      <c r="K18" s="310">
        <f t="shared" si="4"/>
        <v>13</v>
      </c>
      <c r="L18" s="310">
        <f t="shared" si="4"/>
        <v>14</v>
      </c>
      <c r="M18" s="310">
        <f t="shared" si="4"/>
        <v>15</v>
      </c>
      <c r="N18" s="310">
        <f t="shared" si="4"/>
        <v>16</v>
      </c>
      <c r="O18" s="310">
        <f t="shared" si="4"/>
        <v>17</v>
      </c>
      <c r="P18" s="310">
        <f t="shared" si="4"/>
        <v>18</v>
      </c>
      <c r="Q18" s="310">
        <f t="shared" si="4"/>
        <v>19</v>
      </c>
      <c r="R18" s="330">
        <f t="shared" si="4"/>
        <v>20</v>
      </c>
    </row>
    <row r="19" spans="2:18">
      <c r="B19" s="311" t="s">
        <v>375</v>
      </c>
      <c r="C19" s="224">
        <f>'M. por conceptos'!G28</f>
        <v>8771854</v>
      </c>
      <c r="D19" s="224">
        <f>'M. por conceptos'!H28</f>
        <v>9248460.0703783724</v>
      </c>
      <c r="E19" s="224">
        <f>'M. por conceptos'!I28</f>
        <v>9637875.5843695253</v>
      </c>
      <c r="F19" s="224">
        <f>'M. por conceptos'!J28</f>
        <v>9967121.7101299409</v>
      </c>
      <c r="G19" s="224">
        <f>'M. por conceptos'!K28</f>
        <v>10252327.677033778</v>
      </c>
      <c r="H19" s="224">
        <f>'M. por conceptos'!L28</f>
        <v>10503897.168739051</v>
      </c>
      <c r="I19" s="224">
        <f>'M. por conceptos'!M28</f>
        <v>10728933.747412153</v>
      </c>
      <c r="J19" s="224">
        <f>'M. por conceptos'!N28</f>
        <v>10932504.094823321</v>
      </c>
      <c r="K19" s="224">
        <f>'M. por conceptos'!O28</f>
        <v>11118349.261403305</v>
      </c>
      <c r="L19" s="224">
        <f>'M. por conceptos'!P28</f>
        <v>11289310.242090628</v>
      </c>
      <c r="M19" s="224">
        <f>'M. por conceptos'!Q28</f>
        <v>11447595.387163721</v>
      </c>
      <c r="N19" s="224">
        <f>'M. por conceptos'!R28</f>
        <v>11594955.331781678</v>
      </c>
      <c r="O19" s="224">
        <f>'M. por conceptos'!S28</f>
        <v>11732801.35406756</v>
      </c>
      <c r="P19" s="224">
        <f>'M. por conceptos'!T28</f>
        <v>11862287.788257271</v>
      </c>
      <c r="Q19" s="224">
        <f>'M. por conceptos'!U28</f>
        <v>11984370.845772831</v>
      </c>
      <c r="R19" s="224">
        <f>'M. por conceptos'!V28</f>
        <v>12099851.511533227</v>
      </c>
    </row>
    <row r="20" spans="2:18">
      <c r="B20" s="311" t="s">
        <v>400</v>
      </c>
      <c r="D20" s="312">
        <f>D19/C19-1</f>
        <v>5.4333561682441633E-2</v>
      </c>
      <c r="E20" s="312">
        <f>E19/D19-1</f>
        <v>4.2105984242544414E-2</v>
      </c>
      <c r="F20" s="312">
        <f t="shared" ref="F20:R21" si="5">F19/E19-1</f>
        <v>3.41616908081257E-2</v>
      </c>
      <c r="G20" s="312">
        <f t="shared" si="5"/>
        <v>2.8614676854399335E-2</v>
      </c>
      <c r="H20" s="312">
        <f t="shared" si="5"/>
        <v>2.4537792746208487E-2</v>
      </c>
      <c r="I20" s="312">
        <f t="shared" si="5"/>
        <v>2.1424103364495961E-2</v>
      </c>
      <c r="J20" s="312">
        <f t="shared" si="5"/>
        <v>1.8973958848452321E-2</v>
      </c>
      <c r="K20" s="312">
        <f t="shared" si="5"/>
        <v>1.699932284205441E-2</v>
      </c>
      <c r="L20" s="312">
        <f t="shared" si="5"/>
        <v>1.5376471512799306E-2</v>
      </c>
      <c r="M20" s="312">
        <f t="shared" si="5"/>
        <v>1.4020798585457461E-2</v>
      </c>
      <c r="N20" s="312">
        <f t="shared" si="5"/>
        <v>1.287256752480892E-2</v>
      </c>
      <c r="O20" s="312">
        <f t="shared" si="5"/>
        <v>1.1888447893201315E-2</v>
      </c>
      <c r="P20" s="312">
        <f t="shared" si="5"/>
        <v>1.1036276016453739E-2</v>
      </c>
      <c r="Q20" s="312">
        <f t="shared" si="5"/>
        <v>1.0291695809000023E-2</v>
      </c>
      <c r="R20" s="313">
        <f t="shared" si="5"/>
        <v>9.635938944690503E-3</v>
      </c>
    </row>
    <row r="21" spans="2:18">
      <c r="B21" s="314" t="s">
        <v>401</v>
      </c>
      <c r="C21" s="315"/>
      <c r="D21" s="315"/>
      <c r="E21" s="316">
        <f>E20/D20-1</f>
        <v>-0.22504649173125468</v>
      </c>
      <c r="F21" s="316">
        <f>F20/E20-1</f>
        <v>-0.18867373788621</v>
      </c>
      <c r="G21" s="316">
        <f t="shared" si="5"/>
        <v>-0.16237527541836283</v>
      </c>
      <c r="H21" s="316">
        <f t="shared" si="5"/>
        <v>-0.14247528039318225</v>
      </c>
      <c r="I21" s="316">
        <f t="shared" si="5"/>
        <v>-0.12689362135857329</v>
      </c>
      <c r="J21" s="316">
        <f t="shared" si="5"/>
        <v>-0.11436392339779411</v>
      </c>
      <c r="K21" s="316">
        <f t="shared" si="5"/>
        <v>-0.10407084900782215</v>
      </c>
      <c r="L21" s="316">
        <f t="shared" si="5"/>
        <v>-9.546564556326631E-2</v>
      </c>
      <c r="M21" s="316">
        <f t="shared" si="5"/>
        <v>-8.816541078448259E-2</v>
      </c>
      <c r="N21" s="316">
        <f t="shared" si="5"/>
        <v>-8.1894840272472069E-2</v>
      </c>
      <c r="O21" s="316">
        <f t="shared" si="5"/>
        <v>-7.6450920122263177E-2</v>
      </c>
      <c r="P21" s="316">
        <f t="shared" si="5"/>
        <v>-7.1680667182375424E-2</v>
      </c>
      <c r="Q21" s="316">
        <f t="shared" si="5"/>
        <v>-6.7466617031291864E-2</v>
      </c>
      <c r="R21" s="317">
        <f t="shared" si="5"/>
        <v>-6.3717085743640545E-2</v>
      </c>
    </row>
    <row r="23" spans="2:18">
      <c r="B23" s="318" t="s">
        <v>402</v>
      </c>
      <c r="C23" s="319"/>
      <c r="D23" s="331">
        <f>D20*(1+$D$14)</f>
        <v>5.4333561682441633E-2</v>
      </c>
      <c r="E23" s="320">
        <f>IF(E10&gt;$G$14,D23*(1+E21),$G$14)</f>
        <v>4.2105984242544414E-2</v>
      </c>
      <c r="F23" s="320">
        <f t="shared" ref="F23:R23" si="6">IF(F10&gt;$G$14,E23*(1+F21),$G$14)</f>
        <v>3.41616908081257E-2</v>
      </c>
      <c r="G23" s="320">
        <f t="shared" si="6"/>
        <v>2.8614676854399335E-2</v>
      </c>
      <c r="H23" s="320">
        <f t="shared" si="6"/>
        <v>2.4537792746208487E-2</v>
      </c>
      <c r="I23" s="320">
        <f t="shared" si="6"/>
        <v>2.1424103364495961E-2</v>
      </c>
      <c r="J23" s="320">
        <f t="shared" si="6"/>
        <v>1.8973958848452321E-2</v>
      </c>
      <c r="K23" s="320">
        <f t="shared" si="6"/>
        <v>1.699932284205441E-2</v>
      </c>
      <c r="L23" s="320">
        <f t="shared" si="6"/>
        <v>1.4999999999999999E-2</v>
      </c>
      <c r="M23" s="320">
        <f t="shared" si="6"/>
        <v>1.4999999999999999E-2</v>
      </c>
      <c r="N23" s="320">
        <f t="shared" si="6"/>
        <v>1.4999999999999999E-2</v>
      </c>
      <c r="O23" s="320">
        <f t="shared" si="6"/>
        <v>1.4999999999999999E-2</v>
      </c>
      <c r="P23" s="320">
        <f t="shared" si="6"/>
        <v>1.4999999999999999E-2</v>
      </c>
      <c r="Q23" s="320">
        <f t="shared" si="6"/>
        <v>1.4999999999999999E-2</v>
      </c>
      <c r="R23" s="320">
        <f t="shared" si="6"/>
        <v>1.4999999999999999E-2</v>
      </c>
    </row>
    <row r="24" spans="2:18">
      <c r="B24" s="314" t="s">
        <v>375</v>
      </c>
      <c r="C24" s="322">
        <f>C19</f>
        <v>8771854</v>
      </c>
      <c r="D24" s="322">
        <f>C24*(1+D23)</f>
        <v>9248460.0703783724</v>
      </c>
      <c r="E24" s="322">
        <f t="shared" ref="E24:R24" si="7">D24*(1+E23)</f>
        <v>9637875.5843695253</v>
      </c>
      <c r="F24" s="322">
        <f t="shared" si="7"/>
        <v>9967121.7101299409</v>
      </c>
      <c r="G24" s="322">
        <f t="shared" si="7"/>
        <v>10252327.677033776</v>
      </c>
      <c r="H24" s="322">
        <f t="shared" si="7"/>
        <v>10503897.168739049</v>
      </c>
      <c r="I24" s="322">
        <f t="shared" si="7"/>
        <v>10728933.747412151</v>
      </c>
      <c r="J24" s="322">
        <f t="shared" si="7"/>
        <v>10932504.094823319</v>
      </c>
      <c r="K24" s="322">
        <f t="shared" si="7"/>
        <v>11118349.261403304</v>
      </c>
      <c r="L24" s="322">
        <f t="shared" si="7"/>
        <v>11285124.500324352</v>
      </c>
      <c r="M24" s="322">
        <f t="shared" si="7"/>
        <v>11454401.367829217</v>
      </c>
      <c r="N24" s="322">
        <f t="shared" si="7"/>
        <v>11626217.388346653</v>
      </c>
      <c r="O24" s="322">
        <f t="shared" si="7"/>
        <v>11800610.649171852</v>
      </c>
      <c r="P24" s="322">
        <f t="shared" si="7"/>
        <v>11977619.808909427</v>
      </c>
      <c r="Q24" s="322">
        <f t="shared" si="7"/>
        <v>12157284.106043067</v>
      </c>
      <c r="R24" s="323">
        <f t="shared" si="7"/>
        <v>12339643.367633712</v>
      </c>
    </row>
    <row r="25" spans="2:18"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</row>
    <row r="27" spans="2:18">
      <c r="B27" s="809" t="s">
        <v>405</v>
      </c>
      <c r="C27" s="327">
        <f>C$4</f>
        <v>2021</v>
      </c>
      <c r="D27" s="309">
        <f t="shared" ref="D27:R27" si="8">D$4</f>
        <v>2022</v>
      </c>
      <c r="E27" s="309">
        <f t="shared" si="8"/>
        <v>2023</v>
      </c>
      <c r="F27" s="309">
        <f t="shared" si="8"/>
        <v>2024</v>
      </c>
      <c r="G27" s="309">
        <f t="shared" si="8"/>
        <v>2025</v>
      </c>
      <c r="H27" s="309">
        <f t="shared" si="8"/>
        <v>2026</v>
      </c>
      <c r="I27" s="309">
        <f t="shared" si="8"/>
        <v>2027</v>
      </c>
      <c r="J27" s="309">
        <f t="shared" si="8"/>
        <v>2028</v>
      </c>
      <c r="K27" s="309">
        <f t="shared" si="8"/>
        <v>2029</v>
      </c>
      <c r="L27" s="309">
        <f t="shared" si="8"/>
        <v>2030</v>
      </c>
      <c r="M27" s="309">
        <f t="shared" si="8"/>
        <v>2031</v>
      </c>
      <c r="N27" s="309">
        <f t="shared" si="8"/>
        <v>2032</v>
      </c>
      <c r="O27" s="309">
        <f t="shared" si="8"/>
        <v>2033</v>
      </c>
      <c r="P27" s="309">
        <f t="shared" si="8"/>
        <v>2034</v>
      </c>
      <c r="Q27" s="309">
        <f t="shared" si="8"/>
        <v>2035</v>
      </c>
      <c r="R27" s="328">
        <f t="shared" si="8"/>
        <v>2036</v>
      </c>
    </row>
    <row r="28" spans="2:18">
      <c r="B28" s="810"/>
      <c r="C28" s="329">
        <f>C$5</f>
        <v>5</v>
      </c>
      <c r="D28" s="310">
        <f t="shared" ref="D28:R28" si="9">D$5</f>
        <v>6</v>
      </c>
      <c r="E28" s="310">
        <f t="shared" si="9"/>
        <v>7</v>
      </c>
      <c r="F28" s="310">
        <f t="shared" si="9"/>
        <v>8</v>
      </c>
      <c r="G28" s="310">
        <f t="shared" si="9"/>
        <v>9</v>
      </c>
      <c r="H28" s="310">
        <f t="shared" si="9"/>
        <v>10</v>
      </c>
      <c r="I28" s="310">
        <f t="shared" si="9"/>
        <v>11</v>
      </c>
      <c r="J28" s="310">
        <f t="shared" si="9"/>
        <v>12</v>
      </c>
      <c r="K28" s="310">
        <f t="shared" si="9"/>
        <v>13</v>
      </c>
      <c r="L28" s="310">
        <f t="shared" si="9"/>
        <v>14</v>
      </c>
      <c r="M28" s="310">
        <f t="shared" si="9"/>
        <v>15</v>
      </c>
      <c r="N28" s="310">
        <f t="shared" si="9"/>
        <v>16</v>
      </c>
      <c r="O28" s="310">
        <f t="shared" si="9"/>
        <v>17</v>
      </c>
      <c r="P28" s="310">
        <f t="shared" si="9"/>
        <v>18</v>
      </c>
      <c r="Q28" s="310">
        <f t="shared" si="9"/>
        <v>19</v>
      </c>
      <c r="R28" s="330">
        <f t="shared" si="9"/>
        <v>20</v>
      </c>
    </row>
    <row r="29" spans="2:18">
      <c r="B29" s="311" t="s">
        <v>375</v>
      </c>
      <c r="C29" s="224">
        <f>'M. por conceptos'!G46</f>
        <v>824201.5</v>
      </c>
      <c r="D29" s="224">
        <f>'M. por conceptos'!H46</f>
        <v>853678.36874206527</v>
      </c>
      <c r="E29" s="224">
        <f>'M. por conceptos'!I46</f>
        <v>877762.72415727901</v>
      </c>
      <c r="F29" s="224">
        <f>'M. por conceptos'!J46</f>
        <v>898125.75651473191</v>
      </c>
      <c r="G29" s="224">
        <f>'M. por conceptos'!K46</f>
        <v>915765.01747547463</v>
      </c>
      <c r="H29" s="224">
        <f>'M. por conceptos'!L46</f>
        <v>931323.94831455802</v>
      </c>
      <c r="I29" s="224">
        <f>'M. por conceptos'!M46</f>
        <v>945241.88621754001</v>
      </c>
      <c r="J29" s="224">
        <f>'M. por conceptos'!N46</f>
        <v>957832.19251735648</v>
      </c>
      <c r="K29" s="224">
        <f>'M. por conceptos'!O46</f>
        <v>969326.24163275363</v>
      </c>
      <c r="L29" s="224">
        <f>'M. por conceptos'!P46</f>
        <v>979899.74184800312</v>
      </c>
      <c r="M29" s="224">
        <f>'M. por conceptos'!Q46</f>
        <v>989689.27399020665</v>
      </c>
      <c r="N29" s="224">
        <f>'M. por conceptos'!R46</f>
        <v>998803.11037481891</v>
      </c>
      <c r="O29" s="224">
        <f>'M. por conceptos'!S46</f>
        <v>1007328.5349509493</v>
      </c>
      <c r="P29" s="224">
        <f>'M. por conceptos'!T46</f>
        <v>1015336.9403442295</v>
      </c>
      <c r="Q29" s="224">
        <f>'M. por conceptos'!U46</f>
        <v>1022887.4657900325</v>
      </c>
      <c r="R29" s="224">
        <f>'M. por conceptos'!V46</f>
        <v>1030029.6501607921</v>
      </c>
    </row>
    <row r="30" spans="2:18">
      <c r="B30" s="311" t="s">
        <v>400</v>
      </c>
      <c r="D30" s="312">
        <f>D29/C29-1</f>
        <v>3.5764153234452145E-2</v>
      </c>
      <c r="E30" s="312">
        <f>E29/D29-1</f>
        <v>2.8212446627531529E-2</v>
      </c>
      <c r="F30" s="312">
        <f t="shared" ref="F30:R31" si="10">F29/E29-1</f>
        <v>2.3198789145441268E-2</v>
      </c>
      <c r="G30" s="312">
        <f t="shared" si="10"/>
        <v>1.9640079167970503E-2</v>
      </c>
      <c r="H30" s="312">
        <f t="shared" si="10"/>
        <v>1.699009084445624E-2</v>
      </c>
      <c r="I30" s="312">
        <f t="shared" si="10"/>
        <v>1.4944249987525415E-2</v>
      </c>
      <c r="J30" s="312">
        <f t="shared" si="10"/>
        <v>1.3319666091181848E-2</v>
      </c>
      <c r="K30" s="312">
        <f t="shared" si="10"/>
        <v>1.2000065570137775E-2</v>
      </c>
      <c r="L30" s="312">
        <f t="shared" si="10"/>
        <v>1.090809240595747E-2</v>
      </c>
      <c r="M30" s="312">
        <f t="shared" si="10"/>
        <v>9.9903405666188494E-3</v>
      </c>
      <c r="N30" s="312">
        <f t="shared" si="10"/>
        <v>9.2087856503357823E-3</v>
      </c>
      <c r="O30" s="312">
        <f t="shared" si="10"/>
        <v>8.5356407960432978E-3</v>
      </c>
      <c r="P30" s="312">
        <f t="shared" si="10"/>
        <v>7.9501424961323508E-3</v>
      </c>
      <c r="Q30" s="312">
        <f t="shared" si="10"/>
        <v>7.4364727075164616E-3</v>
      </c>
      <c r="R30" s="313">
        <f t="shared" si="10"/>
        <v>6.9823754905855573E-3</v>
      </c>
    </row>
    <row r="31" spans="2:18">
      <c r="B31" s="314" t="s">
        <v>401</v>
      </c>
      <c r="C31" s="315"/>
      <c r="D31" s="315"/>
      <c r="E31" s="316">
        <f>E30/D30-1</f>
        <v>-0.21115295411624468</v>
      </c>
      <c r="F31" s="316">
        <f>F30/E30-1</f>
        <v>-0.17771083622352735</v>
      </c>
      <c r="G31" s="316">
        <f t="shared" si="10"/>
        <v>-0.15340067773192712</v>
      </c>
      <c r="H31" s="316">
        <f t="shared" si="10"/>
        <v>-0.13492757849143122</v>
      </c>
      <c r="I31" s="316">
        <f t="shared" si="10"/>
        <v>-0.12041376798160974</v>
      </c>
      <c r="J31" s="316">
        <f t="shared" si="10"/>
        <v>-0.10870963064052563</v>
      </c>
      <c r="K31" s="316">
        <f t="shared" si="10"/>
        <v>-9.9071591735899522E-2</v>
      </c>
      <c r="L31" s="316">
        <f t="shared" si="10"/>
        <v>-9.0997266456417147E-2</v>
      </c>
      <c r="M31" s="316">
        <f t="shared" si="10"/>
        <v>-8.413495276565397E-2</v>
      </c>
      <c r="N31" s="316">
        <f t="shared" si="10"/>
        <v>-7.8231058397999931E-2</v>
      </c>
      <c r="O31" s="316">
        <f t="shared" si="10"/>
        <v>-7.3098113025134803E-2</v>
      </c>
      <c r="P31" s="316">
        <f t="shared" si="10"/>
        <v>-6.8594533662001744E-2</v>
      </c>
      <c r="Q31" s="316">
        <f t="shared" si="10"/>
        <v>-6.4611393929829952E-2</v>
      </c>
      <c r="R31" s="317">
        <f t="shared" si="10"/>
        <v>-6.1063522289528827E-2</v>
      </c>
    </row>
    <row r="33" spans="2:18">
      <c r="B33" s="318" t="s">
        <v>402</v>
      </c>
      <c r="C33" s="319"/>
      <c r="D33" s="331">
        <f>D30*(1+$D$14)</f>
        <v>3.5764153234452145E-2</v>
      </c>
      <c r="E33" s="320">
        <f>IF(E$10&gt;$G$14,D33*(1+E31),$G$14)</f>
        <v>2.8212446627531529E-2</v>
      </c>
      <c r="F33" s="320">
        <f t="shared" ref="F33:R33" si="11">IF(F$10&gt;$G$14,E33*(1+F31),$G$14)</f>
        <v>2.3198789145441268E-2</v>
      </c>
      <c r="G33" s="320">
        <f t="shared" si="11"/>
        <v>1.9640079167970503E-2</v>
      </c>
      <c r="H33" s="320">
        <f t="shared" si="11"/>
        <v>1.699009084445624E-2</v>
      </c>
      <c r="I33" s="320">
        <f t="shared" si="11"/>
        <v>1.4944249987525415E-2</v>
      </c>
      <c r="J33" s="320">
        <f t="shared" si="11"/>
        <v>1.3319666091181848E-2</v>
      </c>
      <c r="K33" s="320">
        <f t="shared" si="11"/>
        <v>1.2000065570137775E-2</v>
      </c>
      <c r="L33" s="320">
        <f t="shared" si="11"/>
        <v>1.4999999999999999E-2</v>
      </c>
      <c r="M33" s="320">
        <f t="shared" si="11"/>
        <v>1.4999999999999999E-2</v>
      </c>
      <c r="N33" s="320">
        <f t="shared" si="11"/>
        <v>1.4999999999999999E-2</v>
      </c>
      <c r="O33" s="320">
        <f t="shared" si="11"/>
        <v>1.4999999999999999E-2</v>
      </c>
      <c r="P33" s="320">
        <f t="shared" si="11"/>
        <v>1.4999999999999999E-2</v>
      </c>
      <c r="Q33" s="320">
        <f t="shared" si="11"/>
        <v>1.4999999999999999E-2</v>
      </c>
      <c r="R33" s="320">
        <f t="shared" si="11"/>
        <v>1.4999999999999999E-2</v>
      </c>
    </row>
    <row r="34" spans="2:18">
      <c r="B34" s="314" t="s">
        <v>375</v>
      </c>
      <c r="C34" s="322">
        <f>C29</f>
        <v>824201.5</v>
      </c>
      <c r="D34" s="322">
        <f>C34*(1+D33)</f>
        <v>853678.36874206527</v>
      </c>
      <c r="E34" s="322">
        <f t="shared" ref="E34:R34" si="12">D34*(1+E33)</f>
        <v>877762.72415727901</v>
      </c>
      <c r="F34" s="322">
        <f t="shared" si="12"/>
        <v>898125.75651473179</v>
      </c>
      <c r="G34" s="322">
        <f t="shared" si="12"/>
        <v>915765.01747547451</v>
      </c>
      <c r="H34" s="322">
        <f t="shared" si="12"/>
        <v>931323.9483145579</v>
      </c>
      <c r="I34" s="322">
        <f t="shared" si="12"/>
        <v>945241.8862175399</v>
      </c>
      <c r="J34" s="322">
        <f t="shared" si="12"/>
        <v>957832.19251735648</v>
      </c>
      <c r="K34" s="322">
        <f t="shared" si="12"/>
        <v>969326.24163275363</v>
      </c>
      <c r="L34" s="322">
        <f t="shared" si="12"/>
        <v>983866.13525724481</v>
      </c>
      <c r="M34" s="322">
        <f t="shared" si="12"/>
        <v>998624.12728610344</v>
      </c>
      <c r="N34" s="322">
        <f t="shared" si="12"/>
        <v>1013603.4891953949</v>
      </c>
      <c r="O34" s="322">
        <f t="shared" si="12"/>
        <v>1028807.5415333257</v>
      </c>
      <c r="P34" s="322">
        <f t="shared" si="12"/>
        <v>1044239.6546563255</v>
      </c>
      <c r="Q34" s="322">
        <f t="shared" si="12"/>
        <v>1059903.2494761702</v>
      </c>
      <c r="R34" s="323">
        <f t="shared" si="12"/>
        <v>1075801.7982183127</v>
      </c>
    </row>
    <row r="37" spans="2:18">
      <c r="B37" s="809" t="s">
        <v>366</v>
      </c>
      <c r="C37" s="327">
        <f>C$4</f>
        <v>2021</v>
      </c>
      <c r="D37" s="309">
        <f t="shared" ref="D37:R37" si="13">D$4</f>
        <v>2022</v>
      </c>
      <c r="E37" s="309">
        <f t="shared" si="13"/>
        <v>2023</v>
      </c>
      <c r="F37" s="309">
        <f t="shared" si="13"/>
        <v>2024</v>
      </c>
      <c r="G37" s="309">
        <f t="shared" si="13"/>
        <v>2025</v>
      </c>
      <c r="H37" s="309">
        <f t="shared" si="13"/>
        <v>2026</v>
      </c>
      <c r="I37" s="309">
        <f t="shared" si="13"/>
        <v>2027</v>
      </c>
      <c r="J37" s="309">
        <f t="shared" si="13"/>
        <v>2028</v>
      </c>
      <c r="K37" s="309">
        <f t="shared" si="13"/>
        <v>2029</v>
      </c>
      <c r="L37" s="309">
        <f t="shared" si="13"/>
        <v>2030</v>
      </c>
      <c r="M37" s="309">
        <f t="shared" si="13"/>
        <v>2031</v>
      </c>
      <c r="N37" s="309">
        <f t="shared" si="13"/>
        <v>2032</v>
      </c>
      <c r="O37" s="309">
        <f t="shared" si="13"/>
        <v>2033</v>
      </c>
      <c r="P37" s="309">
        <f t="shared" si="13"/>
        <v>2034</v>
      </c>
      <c r="Q37" s="309">
        <f t="shared" si="13"/>
        <v>2035</v>
      </c>
      <c r="R37" s="328">
        <f t="shared" si="13"/>
        <v>2036</v>
      </c>
    </row>
    <row r="38" spans="2:18">
      <c r="B38" s="810"/>
      <c r="C38" s="329">
        <f>C$5</f>
        <v>5</v>
      </c>
      <c r="D38" s="310">
        <f t="shared" ref="D38:R38" si="14">D$5</f>
        <v>6</v>
      </c>
      <c r="E38" s="310">
        <f t="shared" si="14"/>
        <v>7</v>
      </c>
      <c r="F38" s="310">
        <f t="shared" si="14"/>
        <v>8</v>
      </c>
      <c r="G38" s="310">
        <f t="shared" si="14"/>
        <v>9</v>
      </c>
      <c r="H38" s="310">
        <f t="shared" si="14"/>
        <v>10</v>
      </c>
      <c r="I38" s="310">
        <f t="shared" si="14"/>
        <v>11</v>
      </c>
      <c r="J38" s="310">
        <f t="shared" si="14"/>
        <v>12</v>
      </c>
      <c r="K38" s="310">
        <f t="shared" si="14"/>
        <v>13</v>
      </c>
      <c r="L38" s="310">
        <f t="shared" si="14"/>
        <v>14</v>
      </c>
      <c r="M38" s="310">
        <f t="shared" si="14"/>
        <v>15</v>
      </c>
      <c r="N38" s="310">
        <f t="shared" si="14"/>
        <v>16</v>
      </c>
      <c r="O38" s="310">
        <f t="shared" si="14"/>
        <v>17</v>
      </c>
      <c r="P38" s="310">
        <f t="shared" si="14"/>
        <v>18</v>
      </c>
      <c r="Q38" s="310">
        <f t="shared" si="14"/>
        <v>19</v>
      </c>
      <c r="R38" s="330">
        <f t="shared" si="14"/>
        <v>20</v>
      </c>
    </row>
    <row r="39" spans="2:18">
      <c r="B39" s="311" t="s">
        <v>375</v>
      </c>
      <c r="C39" s="224">
        <f>'M. por conceptos'!G64</f>
        <v>710678</v>
      </c>
      <c r="D39" s="224">
        <f>'M. por conceptos'!H64</f>
        <v>736909.03945341019</v>
      </c>
      <c r="E39" s="224">
        <f>'M. por conceptos'!I64</f>
        <v>758341.35923725716</v>
      </c>
      <c r="F39" s="224">
        <f>'M. por conceptos'!J64</f>
        <v>776462.12741766986</v>
      </c>
      <c r="G39" s="224">
        <f>'M. por conceptos'!K64</f>
        <v>792159.05079983175</v>
      </c>
      <c r="H39" s="224">
        <f>'M. por conceptos'!L64</f>
        <v>806004.71847451443</v>
      </c>
      <c r="I39" s="224">
        <f>'M. por conceptos'!M64</f>
        <v>818390.09025324206</v>
      </c>
      <c r="J39" s="224">
        <f>'M. por conceptos'!N64</f>
        <v>829594.02185706643</v>
      </c>
      <c r="K39" s="224">
        <f>'M. por conceptos'!O64</f>
        <v>839822.41003708914</v>
      </c>
      <c r="L39" s="224">
        <f>'M. por conceptos'!P64</f>
        <v>849231.61505590612</v>
      </c>
      <c r="M39" s="224">
        <f>'M. por conceptos'!Q64</f>
        <v>857943.17821750185</v>
      </c>
      <c r="N39" s="224">
        <f>'M. por conceptos'!R64</f>
        <v>866053.44949049933</v>
      </c>
      <c r="O39" s="224">
        <f>'M. por conceptos'!S64</f>
        <v>873640.10159966373</v>
      </c>
      <c r="P39" s="224">
        <f>'M. por conceptos'!T64</f>
        <v>880766.66581068025</v>
      </c>
      <c r="Q39" s="224">
        <f>'M. por conceptos'!U64</f>
        <v>887485.7692743463</v>
      </c>
      <c r="R39" s="224">
        <f>'M. por conceptos'!V64</f>
        <v>893841.49591723643</v>
      </c>
    </row>
    <row r="40" spans="2:18">
      <c r="B40" s="311" t="s">
        <v>400</v>
      </c>
      <c r="D40" s="312">
        <f>D39/C39-1</f>
        <v>3.6909879654935418E-2</v>
      </c>
      <c r="E40" s="312">
        <f>E39/D39-1</f>
        <v>2.9084077730602953E-2</v>
      </c>
      <c r="F40" s="312">
        <f t="shared" ref="F40:R41" si="15">F39/E39-1</f>
        <v>2.3895265581503677E-2</v>
      </c>
      <c r="G40" s="312">
        <f t="shared" si="15"/>
        <v>2.0215954942150338E-2</v>
      </c>
      <c r="H40" s="312">
        <f t="shared" si="15"/>
        <v>1.7478393588639785E-2</v>
      </c>
      <c r="I40" s="312">
        <f t="shared" si="15"/>
        <v>1.5366376269073001E-2</v>
      </c>
      <c r="J40" s="312">
        <f t="shared" si="15"/>
        <v>1.3690209274598519E-2</v>
      </c>
      <c r="K40" s="312">
        <f t="shared" si="15"/>
        <v>1.2329389931145185E-2</v>
      </c>
      <c r="L40" s="312">
        <f t="shared" si="15"/>
        <v>1.1203803216446095E-2</v>
      </c>
      <c r="M40" s="312">
        <f t="shared" si="15"/>
        <v>1.0258171042092146E-2</v>
      </c>
      <c r="N40" s="312">
        <f t="shared" si="15"/>
        <v>9.4531566645796872E-3</v>
      </c>
      <c r="O40" s="312">
        <f t="shared" si="15"/>
        <v>8.7600275867818489E-3</v>
      </c>
      <c r="P40" s="312">
        <f t="shared" si="15"/>
        <v>8.1573226755131678E-3</v>
      </c>
      <c r="Q40" s="312">
        <f t="shared" si="15"/>
        <v>7.628698637773379E-3</v>
      </c>
      <c r="R40" s="313">
        <f t="shared" si="15"/>
        <v>7.1614969647195714E-3</v>
      </c>
    </row>
    <row r="41" spans="2:18">
      <c r="B41" s="314" t="s">
        <v>401</v>
      </c>
      <c r="C41" s="315"/>
      <c r="D41" s="315"/>
      <c r="E41" s="316">
        <f>E40/D40-1</f>
        <v>-0.21202458521931367</v>
      </c>
      <c r="F41" s="316">
        <f>F40/E40-1</f>
        <v>-0.17840731265958232</v>
      </c>
      <c r="G41" s="316">
        <f t="shared" si="15"/>
        <v>-0.15397655350611961</v>
      </c>
      <c r="H41" s="316">
        <f t="shared" si="15"/>
        <v>-0.13541588123560411</v>
      </c>
      <c r="I41" s="316">
        <f t="shared" si="15"/>
        <v>-0.12083589426316077</v>
      </c>
      <c r="J41" s="316">
        <f t="shared" si="15"/>
        <v>-0.10908017382393553</v>
      </c>
      <c r="K41" s="316">
        <f t="shared" si="15"/>
        <v>-9.9400916096897385E-2</v>
      </c>
      <c r="L41" s="316">
        <f t="shared" si="15"/>
        <v>-9.1292977266924868E-2</v>
      </c>
      <c r="M41" s="316">
        <f t="shared" si="15"/>
        <v>-8.440278324112771E-2</v>
      </c>
      <c r="N41" s="316">
        <f t="shared" si="15"/>
        <v>-7.8475429412247055E-2</v>
      </c>
      <c r="O41" s="316">
        <f t="shared" si="15"/>
        <v>-7.3322499815849262E-2</v>
      </c>
      <c r="P41" s="316">
        <f t="shared" si="15"/>
        <v>-6.8801713841416756E-2</v>
      </c>
      <c r="Q41" s="316">
        <f t="shared" si="15"/>
        <v>-6.4803619860058226E-2</v>
      </c>
      <c r="R41" s="317">
        <f t="shared" si="15"/>
        <v>-6.1242643763703808E-2</v>
      </c>
    </row>
    <row r="43" spans="2:18">
      <c r="B43" s="318" t="s">
        <v>402</v>
      </c>
      <c r="C43" s="319"/>
      <c r="D43" s="331">
        <f>D40*(1+$D$14)</f>
        <v>3.6909879654935418E-2</v>
      </c>
      <c r="E43" s="320">
        <f>IF(E$10&gt;$G$14,D43*(1+E41),$G$14)</f>
        <v>2.9084077730602953E-2</v>
      </c>
      <c r="F43" s="320">
        <f t="shared" ref="F43:R43" si="16">IF(F$10&gt;$G$14,E43*(1+F41),$G$14)</f>
        <v>2.3895265581503677E-2</v>
      </c>
      <c r="G43" s="320">
        <f t="shared" si="16"/>
        <v>2.0215954942150338E-2</v>
      </c>
      <c r="H43" s="320">
        <f t="shared" si="16"/>
        <v>1.7478393588639785E-2</v>
      </c>
      <c r="I43" s="320">
        <f t="shared" si="16"/>
        <v>1.5366376269073001E-2</v>
      </c>
      <c r="J43" s="320">
        <f t="shared" si="16"/>
        <v>1.3690209274598519E-2</v>
      </c>
      <c r="K43" s="320">
        <f t="shared" si="16"/>
        <v>1.2329389931145185E-2</v>
      </c>
      <c r="L43" s="320">
        <f t="shared" si="16"/>
        <v>1.4999999999999999E-2</v>
      </c>
      <c r="M43" s="320">
        <f t="shared" si="16"/>
        <v>1.4999999999999999E-2</v>
      </c>
      <c r="N43" s="320">
        <f t="shared" si="16"/>
        <v>1.4999999999999999E-2</v>
      </c>
      <c r="O43" s="320">
        <f t="shared" si="16"/>
        <v>1.4999999999999999E-2</v>
      </c>
      <c r="P43" s="320">
        <f t="shared" si="16"/>
        <v>1.4999999999999999E-2</v>
      </c>
      <c r="Q43" s="320">
        <f t="shared" si="16"/>
        <v>1.4999999999999999E-2</v>
      </c>
      <c r="R43" s="320">
        <f t="shared" si="16"/>
        <v>1.4999999999999999E-2</v>
      </c>
    </row>
    <row r="44" spans="2:18">
      <c r="B44" s="314" t="s">
        <v>375</v>
      </c>
      <c r="C44" s="322">
        <f>C39</f>
        <v>710678</v>
      </c>
      <c r="D44" s="322">
        <f>C44*(1+D43)</f>
        <v>736909.03945341019</v>
      </c>
      <c r="E44" s="322">
        <f t="shared" ref="E44:R44" si="17">D44*(1+E43)</f>
        <v>758341.35923725716</v>
      </c>
      <c r="F44" s="322">
        <f t="shared" si="17"/>
        <v>776462.12741766986</v>
      </c>
      <c r="G44" s="322">
        <f t="shared" si="17"/>
        <v>792159.05079983163</v>
      </c>
      <c r="H44" s="322">
        <f t="shared" si="17"/>
        <v>806004.71847451443</v>
      </c>
      <c r="I44" s="322">
        <f t="shared" si="17"/>
        <v>818390.09025324206</v>
      </c>
      <c r="J44" s="322">
        <f t="shared" si="17"/>
        <v>829594.02185706655</v>
      </c>
      <c r="K44" s="322">
        <f t="shared" si="17"/>
        <v>839822.41003708926</v>
      </c>
      <c r="L44" s="322">
        <f t="shared" si="17"/>
        <v>852419.74618764548</v>
      </c>
      <c r="M44" s="322">
        <f t="shared" si="17"/>
        <v>865206.04238046007</v>
      </c>
      <c r="N44" s="322">
        <f t="shared" si="17"/>
        <v>878184.13301616686</v>
      </c>
      <c r="O44" s="322">
        <f t="shared" si="17"/>
        <v>891356.8950114093</v>
      </c>
      <c r="P44" s="322">
        <f t="shared" si="17"/>
        <v>904727.24843658041</v>
      </c>
      <c r="Q44" s="322">
        <f t="shared" si="17"/>
        <v>918298.15716312907</v>
      </c>
      <c r="R44" s="323">
        <f t="shared" si="17"/>
        <v>932072.62952057587</v>
      </c>
    </row>
    <row r="47" spans="2:18">
      <c r="B47" s="809" t="s">
        <v>367</v>
      </c>
      <c r="C47" s="327">
        <f>C$4</f>
        <v>2021</v>
      </c>
      <c r="D47" s="309">
        <f t="shared" ref="D47:R47" si="18">D$4</f>
        <v>2022</v>
      </c>
      <c r="E47" s="309">
        <f t="shared" si="18"/>
        <v>2023</v>
      </c>
      <c r="F47" s="309">
        <f t="shared" si="18"/>
        <v>2024</v>
      </c>
      <c r="G47" s="309">
        <f t="shared" si="18"/>
        <v>2025</v>
      </c>
      <c r="H47" s="309">
        <f t="shared" si="18"/>
        <v>2026</v>
      </c>
      <c r="I47" s="309">
        <f t="shared" si="18"/>
        <v>2027</v>
      </c>
      <c r="J47" s="309">
        <f t="shared" si="18"/>
        <v>2028</v>
      </c>
      <c r="K47" s="309">
        <f t="shared" si="18"/>
        <v>2029</v>
      </c>
      <c r="L47" s="309">
        <f t="shared" si="18"/>
        <v>2030</v>
      </c>
      <c r="M47" s="309">
        <f t="shared" si="18"/>
        <v>2031</v>
      </c>
      <c r="N47" s="309">
        <f t="shared" si="18"/>
        <v>2032</v>
      </c>
      <c r="O47" s="309">
        <f t="shared" si="18"/>
        <v>2033</v>
      </c>
      <c r="P47" s="309">
        <f t="shared" si="18"/>
        <v>2034</v>
      </c>
      <c r="Q47" s="309">
        <f t="shared" si="18"/>
        <v>2035</v>
      </c>
      <c r="R47" s="328">
        <f t="shared" si="18"/>
        <v>2036</v>
      </c>
    </row>
    <row r="48" spans="2:18">
      <c r="B48" s="810"/>
      <c r="C48" s="329">
        <f>C$5</f>
        <v>5</v>
      </c>
      <c r="D48" s="310">
        <f t="shared" ref="D48:R48" si="19">D$5</f>
        <v>6</v>
      </c>
      <c r="E48" s="310">
        <f t="shared" si="19"/>
        <v>7</v>
      </c>
      <c r="F48" s="310">
        <f t="shared" si="19"/>
        <v>8</v>
      </c>
      <c r="G48" s="310">
        <f t="shared" si="19"/>
        <v>9</v>
      </c>
      <c r="H48" s="310">
        <f t="shared" si="19"/>
        <v>10</v>
      </c>
      <c r="I48" s="310">
        <f t="shared" si="19"/>
        <v>11</v>
      </c>
      <c r="J48" s="310">
        <f t="shared" si="19"/>
        <v>12</v>
      </c>
      <c r="K48" s="310">
        <f t="shared" si="19"/>
        <v>13</v>
      </c>
      <c r="L48" s="310">
        <f t="shared" si="19"/>
        <v>14</v>
      </c>
      <c r="M48" s="310">
        <f t="shared" si="19"/>
        <v>15</v>
      </c>
      <c r="N48" s="310">
        <f t="shared" si="19"/>
        <v>16</v>
      </c>
      <c r="O48" s="310">
        <f t="shared" si="19"/>
        <v>17</v>
      </c>
      <c r="P48" s="310">
        <f t="shared" si="19"/>
        <v>18</v>
      </c>
      <c r="Q48" s="310">
        <f t="shared" si="19"/>
        <v>19</v>
      </c>
      <c r="R48" s="330">
        <f t="shared" si="19"/>
        <v>20</v>
      </c>
    </row>
    <row r="49" spans="2:18">
      <c r="B49" s="311" t="s">
        <v>375</v>
      </c>
      <c r="C49" s="224">
        <f>'M. por conceptos'!G82</f>
        <v>-17777</v>
      </c>
      <c r="D49" s="224">
        <f>'M. por conceptos'!H82</f>
        <v>-22250.827313081259</v>
      </c>
      <c r="E49" s="224">
        <f>'M. por conceptos'!I82</f>
        <v>-25906.210387090563</v>
      </c>
      <c r="F49" s="224">
        <f>'M. por conceptos'!J82</f>
        <v>-28996.79273948013</v>
      </c>
      <c r="G49" s="224">
        <f>'M. por conceptos'!K82</f>
        <v>-31673.976946502851</v>
      </c>
      <c r="H49" s="224">
        <f>'M. por conceptos'!L82</f>
        <v>-34035.420774181133</v>
      </c>
      <c r="I49" s="224">
        <f>'M. por conceptos'!M82</f>
        <v>-36147.804259584111</v>
      </c>
      <c r="J49" s="224">
        <f>'M. por conceptos'!N82</f>
        <v>-38058.687559199861</v>
      </c>
      <c r="K49" s="224">
        <f>'M. por conceptos'!O82</f>
        <v>-39803.187333593414</v>
      </c>
      <c r="L49" s="224">
        <f>'M. por conceptos'!P82</f>
        <v>-41407.971561924562</v>
      </c>
      <c r="M49" s="224">
        <f>'M. por conceptos'!Q82</f>
        <v>-42893.769685982974</v>
      </c>
      <c r="N49" s="224">
        <f>'M. por conceptos'!R82</f>
        <v>-44277.014646674674</v>
      </c>
      <c r="O49" s="224">
        <f>'M. por conceptos'!S82</f>
        <v>-45570.953893005702</v>
      </c>
      <c r="P49" s="224">
        <f>'M. por conceptos'!T82</f>
        <v>-46786.422981537311</v>
      </c>
      <c r="Q49" s="224">
        <f>'M. por conceptos'!U82</f>
        <v>-47932.397720683977</v>
      </c>
      <c r="R49" s="224">
        <f>'M. por conceptos'!V82</f>
        <v>-49016.396831734979</v>
      </c>
    </row>
    <row r="50" spans="2:18">
      <c r="B50" s="311" t="s">
        <v>400</v>
      </c>
      <c r="D50" s="312">
        <f>D49/C49-1</f>
        <v>0.2516637966519244</v>
      </c>
      <c r="E50" s="312">
        <f>E49/D49-1</f>
        <v>0.16428077134283914</v>
      </c>
      <c r="F50" s="312">
        <f t="shared" ref="F50:R51" si="20">F49/E49-1</f>
        <v>0.11929889807154681</v>
      </c>
      <c r="G50" s="312">
        <f t="shared" si="20"/>
        <v>9.2326907705818195E-2</v>
      </c>
      <c r="H50" s="312">
        <f t="shared" si="20"/>
        <v>7.4554699325150908E-2</v>
      </c>
      <c r="I50" s="312">
        <f t="shared" si="20"/>
        <v>6.2064268263884781E-2</v>
      </c>
      <c r="J50" s="312">
        <f t="shared" si="20"/>
        <v>5.2863053199396104E-2</v>
      </c>
      <c r="K50" s="312">
        <f t="shared" si="20"/>
        <v>4.5837097553088402E-2</v>
      </c>
      <c r="L50" s="312">
        <f t="shared" si="20"/>
        <v>4.0317982951499243E-2</v>
      </c>
      <c r="M50" s="312">
        <f t="shared" si="20"/>
        <v>3.5881934516797998E-2</v>
      </c>
      <c r="N50" s="312">
        <f t="shared" si="20"/>
        <v>3.2248155637011333E-2</v>
      </c>
      <c r="O50" s="312">
        <f t="shared" si="20"/>
        <v>2.9223723791147904E-2</v>
      </c>
      <c r="P50" s="312">
        <f t="shared" si="20"/>
        <v>2.6672013304469333E-2</v>
      </c>
      <c r="Q50" s="312">
        <f t="shared" si="20"/>
        <v>2.4493745538078038E-2</v>
      </c>
      <c r="R50" s="313">
        <f t="shared" si="20"/>
        <v>2.2615165578984353E-2</v>
      </c>
    </row>
    <row r="51" spans="2:18">
      <c r="B51" s="314" t="s">
        <v>401</v>
      </c>
      <c r="C51" s="315"/>
      <c r="D51" s="315"/>
      <c r="E51" s="316">
        <f>E50/D50-1</f>
        <v>-0.34722127883155363</v>
      </c>
      <c r="F51" s="316">
        <f>F50/E50-1</f>
        <v>-0.27381094514962567</v>
      </c>
      <c r="G51" s="316">
        <f t="shared" si="20"/>
        <v>-0.22608750626977947</v>
      </c>
      <c r="H51" s="316">
        <f t="shared" si="20"/>
        <v>-0.19249218697213366</v>
      </c>
      <c r="I51" s="316">
        <f t="shared" si="20"/>
        <v>-0.16753378625795756</v>
      </c>
      <c r="J51" s="316">
        <f t="shared" si="20"/>
        <v>-0.14825301774874655</v>
      </c>
      <c r="K51" s="316">
        <f t="shared" si="20"/>
        <v>-0.13290862371884271</v>
      </c>
      <c r="L51" s="316">
        <f t="shared" si="20"/>
        <v>-0.12040715700196625</v>
      </c>
      <c r="M51" s="316">
        <f t="shared" si="20"/>
        <v>-0.1100265467158319</v>
      </c>
      <c r="N51" s="316">
        <f t="shared" si="20"/>
        <v>-0.10127042838466593</v>
      </c>
      <c r="O51" s="316">
        <f t="shared" si="20"/>
        <v>-9.3786196020223755E-2</v>
      </c>
      <c r="P51" s="316">
        <f t="shared" si="20"/>
        <v>-8.7316404470381137E-2</v>
      </c>
      <c r="Q51" s="316">
        <f t="shared" si="20"/>
        <v>-8.166866676038631E-2</v>
      </c>
      <c r="R51" s="317">
        <f t="shared" si="20"/>
        <v>-7.669631237791863E-2</v>
      </c>
    </row>
    <row r="53" spans="2:18">
      <c r="B53" s="318" t="s">
        <v>402</v>
      </c>
      <c r="C53" s="319"/>
      <c r="D53" s="331">
        <f>D10</f>
        <v>4.9405403984537299E-2</v>
      </c>
      <c r="E53" s="320">
        <f>IF(E$10&gt;$G$14,D53*(1+E51),$G$14)</f>
        <v>3.2250796431836724E-2</v>
      </c>
      <c r="F53" s="320">
        <f t="shared" ref="F53:R53" si="21">IF(F$10&gt;$G$14,E53*(1+F51),$G$14)</f>
        <v>2.3420175379007337E-2</v>
      </c>
      <c r="G53" s="320">
        <f t="shared" si="21"/>
        <v>1.8125166331166682E-2</v>
      </c>
      <c r="H53" s="320">
        <f t="shared" si="21"/>
        <v>1.4636213424846724E-2</v>
      </c>
      <c r="I53" s="320">
        <f t="shared" si="21"/>
        <v>1.2184153173302605E-2</v>
      </c>
      <c r="J53" s="320">
        <f t="shared" si="21"/>
        <v>1.0377815696647526E-2</v>
      </c>
      <c r="K53" s="320">
        <f t="shared" si="21"/>
        <v>8.9985144951983016E-3</v>
      </c>
      <c r="L53" s="320">
        <f t="shared" si="21"/>
        <v>1.4999999999999999E-2</v>
      </c>
      <c r="M53" s="320">
        <f t="shared" si="21"/>
        <v>1.4999999999999999E-2</v>
      </c>
      <c r="N53" s="320">
        <f t="shared" si="21"/>
        <v>1.4999999999999999E-2</v>
      </c>
      <c r="O53" s="320">
        <f t="shared" si="21"/>
        <v>1.4999999999999999E-2</v>
      </c>
      <c r="P53" s="320">
        <f t="shared" si="21"/>
        <v>1.4999999999999999E-2</v>
      </c>
      <c r="Q53" s="320">
        <f t="shared" si="21"/>
        <v>1.4999999999999999E-2</v>
      </c>
      <c r="R53" s="320">
        <f t="shared" si="21"/>
        <v>1.4999999999999999E-2</v>
      </c>
    </row>
    <row r="54" spans="2:18">
      <c r="B54" s="314" t="s">
        <v>375</v>
      </c>
      <c r="C54" s="322">
        <f>C49</f>
        <v>-17777</v>
      </c>
      <c r="D54" s="322">
        <f>C54*(1+D53)</f>
        <v>-18655.279866633118</v>
      </c>
      <c r="E54" s="322">
        <f t="shared" ref="E54:R54" si="22">D54*(1+E53)</f>
        <v>-19256.927499990848</v>
      </c>
      <c r="F54" s="322">
        <f t="shared" si="22"/>
        <v>-19707.928119301461</v>
      </c>
      <c r="G54" s="322">
        <f t="shared" si="22"/>
        <v>-20065.137594506479</v>
      </c>
      <c r="H54" s="322">
        <f t="shared" si="22"/>
        <v>-20358.815230738594</v>
      </c>
      <c r="I54" s="322">
        <f t="shared" si="22"/>
        <v>-20606.870153936881</v>
      </c>
      <c r="J54" s="322">
        <f t="shared" si="22"/>
        <v>-20820.724454479183</v>
      </c>
      <c r="K54" s="322">
        <f t="shared" si="22"/>
        <v>-21008.080045283343</v>
      </c>
      <c r="L54" s="322">
        <f t="shared" si="22"/>
        <v>-21323.201245962591</v>
      </c>
      <c r="M54" s="322">
        <f t="shared" si="22"/>
        <v>-21643.049264652029</v>
      </c>
      <c r="N54" s="322">
        <f t="shared" si="22"/>
        <v>-21967.695003621808</v>
      </c>
      <c r="O54" s="322">
        <f t="shared" si="22"/>
        <v>-22297.210428676131</v>
      </c>
      <c r="P54" s="322">
        <f t="shared" si="22"/>
        <v>-22631.668585106272</v>
      </c>
      <c r="Q54" s="322">
        <f t="shared" si="22"/>
        <v>-22971.143613882865</v>
      </c>
      <c r="R54" s="323">
        <f t="shared" si="22"/>
        <v>-23315.710768091107</v>
      </c>
    </row>
    <row r="57" spans="2:18">
      <c r="B57" s="809" t="s">
        <v>342</v>
      </c>
      <c r="C57" s="327">
        <f>C$4</f>
        <v>2021</v>
      </c>
      <c r="D57" s="309">
        <f t="shared" ref="D57:R57" si="23">D$4</f>
        <v>2022</v>
      </c>
      <c r="E57" s="309">
        <f t="shared" si="23"/>
        <v>2023</v>
      </c>
      <c r="F57" s="309">
        <f t="shared" si="23"/>
        <v>2024</v>
      </c>
      <c r="G57" s="309">
        <f t="shared" si="23"/>
        <v>2025</v>
      </c>
      <c r="H57" s="309">
        <f t="shared" si="23"/>
        <v>2026</v>
      </c>
      <c r="I57" s="309">
        <f t="shared" si="23"/>
        <v>2027</v>
      </c>
      <c r="J57" s="309">
        <f t="shared" si="23"/>
        <v>2028</v>
      </c>
      <c r="K57" s="309">
        <f t="shared" si="23"/>
        <v>2029</v>
      </c>
      <c r="L57" s="309">
        <f t="shared" si="23"/>
        <v>2030</v>
      </c>
      <c r="M57" s="309">
        <f t="shared" si="23"/>
        <v>2031</v>
      </c>
      <c r="N57" s="309">
        <f t="shared" si="23"/>
        <v>2032</v>
      </c>
      <c r="O57" s="309">
        <f t="shared" si="23"/>
        <v>2033</v>
      </c>
      <c r="P57" s="309">
        <f t="shared" si="23"/>
        <v>2034</v>
      </c>
      <c r="Q57" s="309">
        <f t="shared" si="23"/>
        <v>2035</v>
      </c>
      <c r="R57" s="328">
        <f t="shared" si="23"/>
        <v>2036</v>
      </c>
    </row>
    <row r="58" spans="2:18">
      <c r="B58" s="810"/>
      <c r="C58" s="329">
        <f>C$5</f>
        <v>5</v>
      </c>
      <c r="D58" s="310">
        <f t="shared" ref="D58:R58" si="24">D$5</f>
        <v>6</v>
      </c>
      <c r="E58" s="310">
        <f t="shared" si="24"/>
        <v>7</v>
      </c>
      <c r="F58" s="310">
        <f t="shared" si="24"/>
        <v>8</v>
      </c>
      <c r="G58" s="310">
        <f t="shared" si="24"/>
        <v>9</v>
      </c>
      <c r="H58" s="310">
        <f t="shared" si="24"/>
        <v>10</v>
      </c>
      <c r="I58" s="310">
        <f t="shared" si="24"/>
        <v>11</v>
      </c>
      <c r="J58" s="310">
        <f t="shared" si="24"/>
        <v>12</v>
      </c>
      <c r="K58" s="310">
        <f t="shared" si="24"/>
        <v>13</v>
      </c>
      <c r="L58" s="310">
        <f t="shared" si="24"/>
        <v>14</v>
      </c>
      <c r="M58" s="310">
        <f t="shared" si="24"/>
        <v>15</v>
      </c>
      <c r="N58" s="310">
        <f t="shared" si="24"/>
        <v>16</v>
      </c>
      <c r="O58" s="310">
        <f t="shared" si="24"/>
        <v>17</v>
      </c>
      <c r="P58" s="310">
        <f t="shared" si="24"/>
        <v>18</v>
      </c>
      <c r="Q58" s="310">
        <f t="shared" si="24"/>
        <v>19</v>
      </c>
      <c r="R58" s="330">
        <f t="shared" si="24"/>
        <v>20</v>
      </c>
    </row>
    <row r="59" spans="2:18">
      <c r="B59" s="311" t="s">
        <v>375</v>
      </c>
      <c r="C59" s="224">
        <f>'M. por conceptos'!G100</f>
        <v>259273.5</v>
      </c>
      <c r="D59" s="224">
        <f>'M. por conceptos'!H100</f>
        <v>273893.22737432458</v>
      </c>
      <c r="E59" s="224">
        <f>'M. por conceptos'!I100</f>
        <v>285838.41440344369</v>
      </c>
      <c r="F59" s="224">
        <f>'M. por conceptos'!J100</f>
        <v>295937.92613196297</v>
      </c>
      <c r="G59" s="224">
        <f>'M. por conceptos'!K100</f>
        <v>304686.52112647181</v>
      </c>
      <c r="H59" s="224">
        <f>'M. por conceptos'!L100</f>
        <v>312403.32880688732</v>
      </c>
      <c r="I59" s="224">
        <f>'M. por conceptos'!M100</f>
        <v>319306.2485007965</v>
      </c>
      <c r="J59" s="224">
        <f>'M. por conceptos'!N100</f>
        <v>325550.6989298166</v>
      </c>
      <c r="K59" s="224">
        <f>'M. por conceptos'!O100</f>
        <v>331251.4355299155</v>
      </c>
      <c r="L59" s="224">
        <f>'M. por conceptos'!P100</f>
        <v>336495.60484423325</v>
      </c>
      <c r="M59" s="224">
        <f>'M. por conceptos'!Q100</f>
        <v>341350.94725843484</v>
      </c>
      <c r="N59" s="224">
        <f>'M. por conceptos'!R100</f>
        <v>345871.16290424007</v>
      </c>
      <c r="O59" s="224">
        <f>'M. por conceptos'!S100</f>
        <v>350099.54225294368</v>
      </c>
      <c r="P59" s="224">
        <f>'M. por conceptos'!T100</f>
        <v>354071.49411042663</v>
      </c>
      <c r="Q59" s="224">
        <f>'M. por conceptos'!U100</f>
        <v>357816.34993335919</v>
      </c>
      <c r="R59" s="224">
        <f>'M. por conceptos'!V100</f>
        <v>361358.67965879082</v>
      </c>
    </row>
    <row r="60" spans="2:18">
      <c r="B60" s="311" t="s">
        <v>400</v>
      </c>
      <c r="D60" s="312">
        <f>D59/C59-1</f>
        <v>5.6387279742528884E-2</v>
      </c>
      <c r="E60" s="312">
        <f>E59/D59-1</f>
        <v>4.3612568093163828E-2</v>
      </c>
      <c r="F60" s="312">
        <f t="shared" ref="F60:R61" si="25">F59/E59-1</f>
        <v>3.5332940639197785E-2</v>
      </c>
      <c r="G60" s="312">
        <f t="shared" si="25"/>
        <v>2.9562263643787556E-2</v>
      </c>
      <c r="H60" s="312">
        <f t="shared" si="25"/>
        <v>2.5327039909364357E-2</v>
      </c>
      <c r="I60" s="312">
        <f t="shared" si="25"/>
        <v>2.2096178425090374E-2</v>
      </c>
      <c r="J60" s="312">
        <f t="shared" si="25"/>
        <v>1.9556305140719932E-2</v>
      </c>
      <c r="K60" s="312">
        <f t="shared" si="25"/>
        <v>1.7511056246658274E-2</v>
      </c>
      <c r="L60" s="312">
        <f t="shared" si="25"/>
        <v>1.5831385925704655E-2</v>
      </c>
      <c r="M60" s="312">
        <f t="shared" si="25"/>
        <v>1.4429140661284867E-2</v>
      </c>
      <c r="N60" s="312">
        <f t="shared" si="25"/>
        <v>1.3242135936957E-2</v>
      </c>
      <c r="O60" s="312">
        <f t="shared" si="25"/>
        <v>1.2225301795033783E-2</v>
      </c>
      <c r="P60" s="312">
        <f t="shared" si="25"/>
        <v>1.134520722855803E-2</v>
      </c>
      <c r="Q60" s="312">
        <f t="shared" si="25"/>
        <v>1.0576552716679899E-2</v>
      </c>
      <c r="R60" s="313">
        <f t="shared" si="25"/>
        <v>9.8998542858406147E-3</v>
      </c>
    </row>
    <row r="61" spans="2:18">
      <c r="B61" s="314" t="s">
        <v>401</v>
      </c>
      <c r="C61" s="315"/>
      <c r="D61" s="315"/>
      <c r="E61" s="316">
        <f>E60/D60-1</f>
        <v>-0.22655307558186755</v>
      </c>
      <c r="F61" s="316">
        <f>F60/E60-1</f>
        <v>-0.18984498771728731</v>
      </c>
      <c r="G61" s="316">
        <f t="shared" si="25"/>
        <v>-0.16332286220774772</v>
      </c>
      <c r="H61" s="316">
        <f t="shared" si="25"/>
        <v>-0.14326452755634034</v>
      </c>
      <c r="I61" s="316">
        <f t="shared" si="25"/>
        <v>-0.12756569641916238</v>
      </c>
      <c r="J61" s="316">
        <f t="shared" si="25"/>
        <v>-0.11494626969007438</v>
      </c>
      <c r="K61" s="316">
        <f t="shared" si="25"/>
        <v>-0.10458258241241403</v>
      </c>
      <c r="L61" s="316">
        <f t="shared" si="25"/>
        <v>-9.5920559976166997E-2</v>
      </c>
      <c r="M61" s="316">
        <f t="shared" si="25"/>
        <v>-8.8573752860324761E-2</v>
      </c>
      <c r="N61" s="316">
        <f t="shared" si="25"/>
        <v>-8.2264408684624146E-2</v>
      </c>
      <c r="O61" s="316">
        <f t="shared" si="25"/>
        <v>-7.6787774024081101E-2</v>
      </c>
      <c r="P61" s="316">
        <f t="shared" si="25"/>
        <v>-7.1989598394476384E-2</v>
      </c>
      <c r="Q61" s="316">
        <f t="shared" si="25"/>
        <v>-6.7751473938993612E-2</v>
      </c>
      <c r="R61" s="317">
        <f t="shared" si="25"/>
        <v>-6.3981001084794653E-2</v>
      </c>
    </row>
    <row r="63" spans="2:18">
      <c r="B63" s="318" t="s">
        <v>402</v>
      </c>
      <c r="C63" s="319"/>
      <c r="D63" s="331">
        <f>D60*(1+$D$14)</f>
        <v>5.6387279742528884E-2</v>
      </c>
      <c r="E63" s="320">
        <f>IF(E$10&gt;$G$14,D63*(1+E61),$G$14)</f>
        <v>4.3612568093163828E-2</v>
      </c>
      <c r="F63" s="320">
        <f t="shared" ref="F63:R63" si="26">IF(F$10&gt;$G$14,E63*(1+F61),$G$14)</f>
        <v>3.5332940639197785E-2</v>
      </c>
      <c r="G63" s="320">
        <f t="shared" si="26"/>
        <v>2.9562263643787556E-2</v>
      </c>
      <c r="H63" s="320">
        <f t="shared" si="26"/>
        <v>2.5327039909364357E-2</v>
      </c>
      <c r="I63" s="320">
        <f t="shared" si="26"/>
        <v>2.2096178425090374E-2</v>
      </c>
      <c r="J63" s="320">
        <f t="shared" si="26"/>
        <v>1.9556305140719932E-2</v>
      </c>
      <c r="K63" s="320">
        <f t="shared" si="26"/>
        <v>1.7511056246658274E-2</v>
      </c>
      <c r="L63" s="320">
        <f t="shared" si="26"/>
        <v>1.4999999999999999E-2</v>
      </c>
      <c r="M63" s="320">
        <f t="shared" si="26"/>
        <v>1.4999999999999999E-2</v>
      </c>
      <c r="N63" s="320">
        <f t="shared" si="26"/>
        <v>1.4999999999999999E-2</v>
      </c>
      <c r="O63" s="320">
        <f t="shared" si="26"/>
        <v>1.4999999999999999E-2</v>
      </c>
      <c r="P63" s="320">
        <f t="shared" si="26"/>
        <v>1.4999999999999999E-2</v>
      </c>
      <c r="Q63" s="320">
        <f t="shared" si="26"/>
        <v>1.4999999999999999E-2</v>
      </c>
      <c r="R63" s="320">
        <f t="shared" si="26"/>
        <v>1.4999999999999999E-2</v>
      </c>
    </row>
    <row r="64" spans="2:18">
      <c r="B64" s="314" t="s">
        <v>375</v>
      </c>
      <c r="C64" s="322">
        <f>C59</f>
        <v>259273.5</v>
      </c>
      <c r="D64" s="322">
        <f>C64*(1+D63)</f>
        <v>273893.22737432458</v>
      </c>
      <c r="E64" s="322">
        <f t="shared" ref="E64:R64" si="27">D64*(1+E63)</f>
        <v>285838.41440344369</v>
      </c>
      <c r="F64" s="322">
        <f t="shared" si="27"/>
        <v>295937.92613196297</v>
      </c>
      <c r="G64" s="322">
        <f t="shared" si="27"/>
        <v>304686.52112647181</v>
      </c>
      <c r="H64" s="322">
        <f t="shared" si="27"/>
        <v>312403.32880688732</v>
      </c>
      <c r="I64" s="322">
        <f t="shared" si="27"/>
        <v>319306.2485007965</v>
      </c>
      <c r="J64" s="322">
        <f t="shared" si="27"/>
        <v>325550.6989298166</v>
      </c>
      <c r="K64" s="322">
        <f t="shared" si="27"/>
        <v>331251.43552991556</v>
      </c>
      <c r="L64" s="322">
        <f t="shared" si="27"/>
        <v>336220.20706286427</v>
      </c>
      <c r="M64" s="322">
        <f t="shared" si="27"/>
        <v>341263.51016880717</v>
      </c>
      <c r="N64" s="322">
        <f t="shared" si="27"/>
        <v>346382.46282133926</v>
      </c>
      <c r="O64" s="322">
        <f t="shared" si="27"/>
        <v>351578.19976365933</v>
      </c>
      <c r="P64" s="322">
        <f t="shared" si="27"/>
        <v>356851.8727601142</v>
      </c>
      <c r="Q64" s="322">
        <f t="shared" si="27"/>
        <v>362204.65085151588</v>
      </c>
      <c r="R64" s="323">
        <f t="shared" si="27"/>
        <v>367637.72061428858</v>
      </c>
    </row>
    <row r="67" spans="2:18">
      <c r="B67" s="809" t="s">
        <v>368</v>
      </c>
      <c r="C67" s="327">
        <f>C$4</f>
        <v>2021</v>
      </c>
      <c r="D67" s="309">
        <f t="shared" ref="D67:R67" si="28">D$4</f>
        <v>2022</v>
      </c>
      <c r="E67" s="309">
        <f t="shared" si="28"/>
        <v>2023</v>
      </c>
      <c r="F67" s="309">
        <f t="shared" si="28"/>
        <v>2024</v>
      </c>
      <c r="G67" s="309">
        <f t="shared" si="28"/>
        <v>2025</v>
      </c>
      <c r="H67" s="309">
        <f t="shared" si="28"/>
        <v>2026</v>
      </c>
      <c r="I67" s="309">
        <f t="shared" si="28"/>
        <v>2027</v>
      </c>
      <c r="J67" s="309">
        <f t="shared" si="28"/>
        <v>2028</v>
      </c>
      <c r="K67" s="309">
        <f t="shared" si="28"/>
        <v>2029</v>
      </c>
      <c r="L67" s="309">
        <f t="shared" si="28"/>
        <v>2030</v>
      </c>
      <c r="M67" s="309">
        <f t="shared" si="28"/>
        <v>2031</v>
      </c>
      <c r="N67" s="309">
        <f t="shared" si="28"/>
        <v>2032</v>
      </c>
      <c r="O67" s="309">
        <f t="shared" si="28"/>
        <v>2033</v>
      </c>
      <c r="P67" s="309">
        <f t="shared" si="28"/>
        <v>2034</v>
      </c>
      <c r="Q67" s="309">
        <f t="shared" si="28"/>
        <v>2035</v>
      </c>
      <c r="R67" s="328">
        <f t="shared" si="28"/>
        <v>2036</v>
      </c>
    </row>
    <row r="68" spans="2:18">
      <c r="B68" s="810"/>
      <c r="C68" s="329">
        <f>C$5</f>
        <v>5</v>
      </c>
      <c r="D68" s="310">
        <f t="shared" ref="D68:R68" si="29">D$5</f>
        <v>6</v>
      </c>
      <c r="E68" s="310">
        <f t="shared" si="29"/>
        <v>7</v>
      </c>
      <c r="F68" s="310">
        <f t="shared" si="29"/>
        <v>8</v>
      </c>
      <c r="G68" s="310">
        <f t="shared" si="29"/>
        <v>9</v>
      </c>
      <c r="H68" s="310">
        <f t="shared" si="29"/>
        <v>10</v>
      </c>
      <c r="I68" s="310">
        <f t="shared" si="29"/>
        <v>11</v>
      </c>
      <c r="J68" s="310">
        <f t="shared" si="29"/>
        <v>12</v>
      </c>
      <c r="K68" s="310">
        <f t="shared" si="29"/>
        <v>13</v>
      </c>
      <c r="L68" s="310">
        <f t="shared" si="29"/>
        <v>14</v>
      </c>
      <c r="M68" s="310">
        <f t="shared" si="29"/>
        <v>15</v>
      </c>
      <c r="N68" s="310">
        <f t="shared" si="29"/>
        <v>16</v>
      </c>
      <c r="O68" s="310">
        <f t="shared" si="29"/>
        <v>17</v>
      </c>
      <c r="P68" s="310">
        <f t="shared" si="29"/>
        <v>18</v>
      </c>
      <c r="Q68" s="310">
        <f t="shared" si="29"/>
        <v>19</v>
      </c>
      <c r="R68" s="330">
        <f t="shared" si="29"/>
        <v>20</v>
      </c>
    </row>
    <row r="69" spans="2:18">
      <c r="B69" s="332"/>
      <c r="C69" s="333">
        <f>'M. por conceptos'!G120</f>
        <v>8.6165279497807529E-3</v>
      </c>
      <c r="D69" s="333">
        <f>'M. por conceptos'!H121</f>
        <v>8.6165279497807529E-3</v>
      </c>
      <c r="E69" s="333">
        <f>'M. por conceptos'!I121</f>
        <v>8.6165279497807529E-3</v>
      </c>
      <c r="F69" s="333">
        <f>'M. por conceptos'!J121</f>
        <v>8.6165279497807529E-3</v>
      </c>
      <c r="G69" s="333">
        <f>'M. por conceptos'!K121</f>
        <v>8.6165279497807529E-3</v>
      </c>
      <c r="H69" s="333">
        <f>'M. por conceptos'!L121</f>
        <v>8.6165279497807529E-3</v>
      </c>
      <c r="I69" s="333">
        <f>'M. por conceptos'!M121</f>
        <v>8.6165279497807529E-3</v>
      </c>
      <c r="J69" s="333">
        <f>'M. por conceptos'!N121</f>
        <v>8.6165279497807529E-3</v>
      </c>
      <c r="K69" s="333">
        <f>'M. por conceptos'!O121</f>
        <v>8.6165279497807529E-3</v>
      </c>
      <c r="L69" s="333">
        <f>'M. por conceptos'!P121</f>
        <v>8.6165279497807529E-3</v>
      </c>
      <c r="M69" s="333">
        <f>'M. por conceptos'!Q121</f>
        <v>8.6165279497807529E-3</v>
      </c>
      <c r="N69" s="333">
        <f>'M. por conceptos'!R121</f>
        <v>8.6165279497807529E-3</v>
      </c>
      <c r="O69" s="333">
        <f>'M. por conceptos'!S121</f>
        <v>8.6165279497807529E-3</v>
      </c>
      <c r="P69" s="333">
        <f>'M. por conceptos'!T121</f>
        <v>8.6165279497807529E-3</v>
      </c>
      <c r="Q69" s="333">
        <f>'M. por conceptos'!U121</f>
        <v>8.6165279497807529E-3</v>
      </c>
      <c r="R69" s="333">
        <f>'M. por conceptos'!V121</f>
        <v>8.6165279497807529E-3</v>
      </c>
    </row>
    <row r="70" spans="2:18">
      <c r="B70" s="334"/>
      <c r="C70" s="322">
        <f>C69*C11</f>
        <v>96330.326768083134</v>
      </c>
      <c r="D70" s="322">
        <f t="shared" ref="D70:R70" si="30">D69*D11</f>
        <v>101089.56547802276</v>
      </c>
      <c r="E70" s="322">
        <f t="shared" si="30"/>
        <v>104978.14664310614</v>
      </c>
      <c r="F70" s="322">
        <f t="shared" si="30"/>
        <v>108265.89517214318</v>
      </c>
      <c r="G70" s="322">
        <f t="shared" si="30"/>
        <v>111113.87249000848</v>
      </c>
      <c r="H70" s="322">
        <f t="shared" si="30"/>
        <v>113625.96651812913</v>
      </c>
      <c r="I70" s="322">
        <f t="shared" si="30"/>
        <v>115873.11119994811</v>
      </c>
      <c r="J70" s="322">
        <f t="shared" si="30"/>
        <v>117905.90083023111</v>
      </c>
      <c r="K70" s="322">
        <f t="shared" si="30"/>
        <v>119761.69236503149</v>
      </c>
      <c r="L70" s="322">
        <f t="shared" si="30"/>
        <v>121558.11775050694</v>
      </c>
      <c r="M70" s="322">
        <f t="shared" si="30"/>
        <v>123381.48951676453</v>
      </c>
      <c r="N70" s="322">
        <f t="shared" si="30"/>
        <v>125232.21185951598</v>
      </c>
      <c r="O70" s="322">
        <f t="shared" si="30"/>
        <v>127110.69503740872</v>
      </c>
      <c r="P70" s="322">
        <f t="shared" si="30"/>
        <v>129017.35546296983</v>
      </c>
      <c r="Q70" s="322">
        <f t="shared" si="30"/>
        <v>130952.61579491437</v>
      </c>
      <c r="R70" s="323">
        <f t="shared" si="30"/>
        <v>132916.90503183808</v>
      </c>
    </row>
    <row r="73" spans="2:18">
      <c r="B73" s="809" t="s">
        <v>371</v>
      </c>
      <c r="C73" s="327">
        <f>C$4</f>
        <v>2021</v>
      </c>
      <c r="D73" s="309">
        <f t="shared" ref="D73:R73" si="31">D$4</f>
        <v>2022</v>
      </c>
      <c r="E73" s="309">
        <f t="shared" si="31"/>
        <v>2023</v>
      </c>
      <c r="F73" s="309">
        <f t="shared" si="31"/>
        <v>2024</v>
      </c>
      <c r="G73" s="309">
        <f t="shared" si="31"/>
        <v>2025</v>
      </c>
      <c r="H73" s="309">
        <f t="shared" si="31"/>
        <v>2026</v>
      </c>
      <c r="I73" s="309">
        <f t="shared" si="31"/>
        <v>2027</v>
      </c>
      <c r="J73" s="309">
        <f t="shared" si="31"/>
        <v>2028</v>
      </c>
      <c r="K73" s="309">
        <f t="shared" si="31"/>
        <v>2029</v>
      </c>
      <c r="L73" s="309">
        <f t="shared" si="31"/>
        <v>2030</v>
      </c>
      <c r="M73" s="309">
        <f t="shared" si="31"/>
        <v>2031</v>
      </c>
      <c r="N73" s="309">
        <f t="shared" si="31"/>
        <v>2032</v>
      </c>
      <c r="O73" s="309">
        <f t="shared" si="31"/>
        <v>2033</v>
      </c>
      <c r="P73" s="309">
        <f t="shared" si="31"/>
        <v>2034</v>
      </c>
      <c r="Q73" s="309">
        <f t="shared" si="31"/>
        <v>2035</v>
      </c>
      <c r="R73" s="328">
        <f t="shared" si="31"/>
        <v>2036</v>
      </c>
    </row>
    <row r="74" spans="2:18">
      <c r="B74" s="810"/>
      <c r="C74" s="329">
        <f>C$5</f>
        <v>5</v>
      </c>
      <c r="D74" s="310">
        <f t="shared" ref="D74:R74" si="32">D$5</f>
        <v>6</v>
      </c>
      <c r="E74" s="310">
        <f t="shared" si="32"/>
        <v>7</v>
      </c>
      <c r="F74" s="310">
        <f t="shared" si="32"/>
        <v>8</v>
      </c>
      <c r="G74" s="310">
        <f t="shared" si="32"/>
        <v>9</v>
      </c>
      <c r="H74" s="310">
        <f t="shared" si="32"/>
        <v>10</v>
      </c>
      <c r="I74" s="310">
        <f t="shared" si="32"/>
        <v>11</v>
      </c>
      <c r="J74" s="310">
        <f t="shared" si="32"/>
        <v>12</v>
      </c>
      <c r="K74" s="310">
        <f t="shared" si="32"/>
        <v>13</v>
      </c>
      <c r="L74" s="310">
        <f t="shared" si="32"/>
        <v>14</v>
      </c>
      <c r="M74" s="310">
        <f t="shared" si="32"/>
        <v>15</v>
      </c>
      <c r="N74" s="310">
        <f t="shared" si="32"/>
        <v>16</v>
      </c>
      <c r="O74" s="310">
        <f t="shared" si="32"/>
        <v>17</v>
      </c>
      <c r="P74" s="310">
        <f t="shared" si="32"/>
        <v>18</v>
      </c>
      <c r="Q74" s="310">
        <f t="shared" si="32"/>
        <v>19</v>
      </c>
      <c r="R74" s="330">
        <f t="shared" si="32"/>
        <v>20</v>
      </c>
    </row>
    <row r="75" spans="2:18">
      <c r="B75" s="332"/>
      <c r="C75" s="333">
        <f>'M. por conceptos'!G142</f>
        <v>0.12874818365226665</v>
      </c>
      <c r="D75" s="333">
        <f>'M. por conceptos'!H142</f>
        <v>0.13090729850359045</v>
      </c>
      <c r="E75" s="333">
        <f>'M. por conceptos'!I142</f>
        <v>0.13252609985004932</v>
      </c>
      <c r="F75" s="333">
        <f>'M. por conceptos'!J142</f>
        <v>0.13380405507953447</v>
      </c>
      <c r="G75" s="333">
        <f>'M. por conceptos'!K142</f>
        <v>0.13484994069731063</v>
      </c>
      <c r="H75" s="333">
        <f>'M. por conceptos'!L142</f>
        <v>0.13572895843059021</v>
      </c>
      <c r="I75" s="333">
        <f>'M. por conceptos'!M142</f>
        <v>0.13648297067165494</v>
      </c>
      <c r="J75" s="333">
        <f>'M. por conceptos'!N142</f>
        <v>0.13714029824082125</v>
      </c>
      <c r="K75" s="333">
        <f>'M. por conceptos'!O142</f>
        <v>0.13772090667966758</v>
      </c>
      <c r="L75" s="333">
        <f>'M. por conceptos'!P142</f>
        <v>0.13813783604428698</v>
      </c>
      <c r="M75" s="333">
        <f>'M. por conceptos'!Q142</f>
        <v>0.13833323281800397</v>
      </c>
      <c r="N75" s="333">
        <f>'M. por conceptos'!R142</f>
        <v>0.13834057485982876</v>
      </c>
      <c r="O75" s="333">
        <f>'M. por conceptos'!S142</f>
        <v>0.13818698438131372</v>
      </c>
      <c r="P75" s="333">
        <f>'M. por conceptos'!T142</f>
        <v>0.13789474517923136</v>
      </c>
      <c r="Q75" s="333">
        <f>'M. por conceptos'!U142</f>
        <v>0.13748239002935686</v>
      </c>
      <c r="R75" s="333">
        <f>'M. por conceptos'!V142</f>
        <v>0.13696549699337041</v>
      </c>
    </row>
    <row r="76" spans="2:18">
      <c r="B76" s="335"/>
      <c r="C76" s="382">
        <f>C75*C11</f>
        <v>1439368.0000000002</v>
      </c>
      <c r="D76" s="382">
        <f t="shared" ref="D76:R76" si="33">D75*D11</f>
        <v>1535811.4081167115</v>
      </c>
      <c r="E76" s="382">
        <f t="shared" si="33"/>
        <v>1614611.4102086099</v>
      </c>
      <c r="F76" s="382">
        <f t="shared" si="33"/>
        <v>1681235.8626675329</v>
      </c>
      <c r="G76" s="382">
        <f t="shared" si="33"/>
        <v>1738948.5884865536</v>
      </c>
      <c r="H76" s="382">
        <f t="shared" si="33"/>
        <v>1789854.8204172198</v>
      </c>
      <c r="I76" s="382">
        <f t="shared" si="33"/>
        <v>1835391.9966032645</v>
      </c>
      <c r="J76" s="382">
        <f t="shared" si="33"/>
        <v>1876585.383167245</v>
      </c>
      <c r="K76" s="382">
        <f t="shared" si="33"/>
        <v>1914191.9986951633</v>
      </c>
      <c r="L76" s="382">
        <f t="shared" si="33"/>
        <v>1948786.7314466175</v>
      </c>
      <c r="M76" s="382">
        <f t="shared" si="33"/>
        <v>1980816.451154086</v>
      </c>
      <c r="N76" s="382">
        <f t="shared" si="33"/>
        <v>2010635.4068118739</v>
      </c>
      <c r="O76" s="382">
        <f t="shared" si="33"/>
        <v>2038529.1769731066</v>
      </c>
      <c r="P76" s="382">
        <f t="shared" si="33"/>
        <v>2064731.3464255896</v>
      </c>
      <c r="Q76" s="382">
        <f t="shared" si="33"/>
        <v>2089435.4089037727</v>
      </c>
      <c r="R76" s="383">
        <f t="shared" si="33"/>
        <v>2112803.4473525435</v>
      </c>
    </row>
    <row r="77" spans="2:18">
      <c r="B77" s="334"/>
      <c r="C77" s="322"/>
      <c r="D77" s="322">
        <f>D76-C76</f>
        <v>96443.408116711304</v>
      </c>
      <c r="E77" s="322">
        <f t="shared" ref="E77:R77" si="34">E76-D76</f>
        <v>78800.00209189835</v>
      </c>
      <c r="F77" s="322">
        <f t="shared" si="34"/>
        <v>66624.452458922984</v>
      </c>
      <c r="G77" s="322">
        <f t="shared" si="34"/>
        <v>57712.725819020765</v>
      </c>
      <c r="H77" s="322">
        <f t="shared" si="34"/>
        <v>50906.231930666137</v>
      </c>
      <c r="I77" s="322">
        <f t="shared" si="34"/>
        <v>45537.1761860447</v>
      </c>
      <c r="J77" s="322">
        <f t="shared" si="34"/>
        <v>41193.386563980486</v>
      </c>
      <c r="K77" s="322">
        <f t="shared" si="34"/>
        <v>37606.615527918329</v>
      </c>
      <c r="L77" s="322">
        <f t="shared" si="34"/>
        <v>34594.732751454227</v>
      </c>
      <c r="M77" s="322">
        <f t="shared" si="34"/>
        <v>32029.719707468525</v>
      </c>
      <c r="N77" s="322">
        <f t="shared" si="34"/>
        <v>29818.955657787854</v>
      </c>
      <c r="O77" s="322">
        <f t="shared" si="34"/>
        <v>27893.770161232678</v>
      </c>
      <c r="P77" s="322">
        <f t="shared" si="34"/>
        <v>26202.169452483067</v>
      </c>
      <c r="Q77" s="322">
        <f t="shared" si="34"/>
        <v>24704.06247818307</v>
      </c>
      <c r="R77" s="323">
        <f t="shared" si="34"/>
        <v>23368.038448770763</v>
      </c>
    </row>
    <row r="80" spans="2:18">
      <c r="D80" s="309">
        <f t="shared" ref="D80:R80" si="35">D$4</f>
        <v>2022</v>
      </c>
      <c r="E80" s="309">
        <f t="shared" si="35"/>
        <v>2023</v>
      </c>
      <c r="F80" s="309">
        <f t="shared" si="35"/>
        <v>2024</v>
      </c>
      <c r="G80" s="309">
        <f t="shared" si="35"/>
        <v>2025</v>
      </c>
      <c r="H80" s="309">
        <f t="shared" si="35"/>
        <v>2026</v>
      </c>
      <c r="I80" s="309">
        <f t="shared" si="35"/>
        <v>2027</v>
      </c>
      <c r="J80" s="309">
        <f t="shared" si="35"/>
        <v>2028</v>
      </c>
      <c r="K80" s="309">
        <f t="shared" si="35"/>
        <v>2029</v>
      </c>
      <c r="L80" s="309">
        <f t="shared" si="35"/>
        <v>2030</v>
      </c>
      <c r="M80" s="309">
        <f t="shared" si="35"/>
        <v>2031</v>
      </c>
      <c r="N80" s="309">
        <f t="shared" si="35"/>
        <v>2032</v>
      </c>
      <c r="O80" s="309">
        <f t="shared" si="35"/>
        <v>2033</v>
      </c>
      <c r="P80" s="309">
        <f t="shared" si="35"/>
        <v>2034</v>
      </c>
      <c r="Q80" s="309">
        <f t="shared" si="35"/>
        <v>2035</v>
      </c>
      <c r="R80" s="328">
        <f t="shared" si="35"/>
        <v>2036</v>
      </c>
    </row>
    <row r="81" spans="2:18">
      <c r="D81" s="310">
        <f t="shared" ref="D81:R81" si="36">D$5</f>
        <v>6</v>
      </c>
      <c r="E81" s="310">
        <f t="shared" si="36"/>
        <v>7</v>
      </c>
      <c r="F81" s="310">
        <f t="shared" si="36"/>
        <v>8</v>
      </c>
      <c r="G81" s="310">
        <f t="shared" si="36"/>
        <v>9</v>
      </c>
      <c r="H81" s="310">
        <f t="shared" si="36"/>
        <v>10</v>
      </c>
      <c r="I81" s="310">
        <f t="shared" si="36"/>
        <v>11</v>
      </c>
      <c r="J81" s="310">
        <f t="shared" si="36"/>
        <v>12</v>
      </c>
      <c r="K81" s="310">
        <f t="shared" si="36"/>
        <v>13</v>
      </c>
      <c r="L81" s="310">
        <f t="shared" si="36"/>
        <v>14</v>
      </c>
      <c r="M81" s="310">
        <f t="shared" si="36"/>
        <v>15</v>
      </c>
      <c r="N81" s="310">
        <f t="shared" si="36"/>
        <v>16</v>
      </c>
      <c r="O81" s="310">
        <f t="shared" si="36"/>
        <v>17</v>
      </c>
      <c r="P81" s="310">
        <f t="shared" si="36"/>
        <v>18</v>
      </c>
      <c r="Q81" s="310">
        <f t="shared" si="36"/>
        <v>19</v>
      </c>
      <c r="R81" s="330">
        <f t="shared" si="36"/>
        <v>20</v>
      </c>
    </row>
    <row r="82" spans="2:18">
      <c r="B82" s="332" t="s">
        <v>352</v>
      </c>
      <c r="C82" s="337"/>
      <c r="D82" s="247">
        <f>D11</f>
        <v>11732053.336006992</v>
      </c>
      <c r="E82" s="247">
        <f t="shared" ref="E82:R82" si="37">E11</f>
        <v>12183346.616519395</v>
      </c>
      <c r="F82" s="247">
        <f t="shared" si="37"/>
        <v>12564909.648427242</v>
      </c>
      <c r="G82" s="247">
        <f t="shared" si="37"/>
        <v>12895434.580797218</v>
      </c>
      <c r="H82" s="247">
        <f t="shared" si="37"/>
        <v>13186978.233038789</v>
      </c>
      <c r="I82" s="247">
        <f t="shared" si="37"/>
        <v>13447772.916804209</v>
      </c>
      <c r="J82" s="247">
        <f t="shared" si="37"/>
        <v>13683690.404930588</v>
      </c>
      <c r="K82" s="247">
        <f t="shared" si="37"/>
        <v>13899066.197316613</v>
      </c>
      <c r="L82" s="247">
        <f t="shared" si="37"/>
        <v>14107552.19027636</v>
      </c>
      <c r="M82" s="247">
        <f t="shared" si="37"/>
        <v>14319165.473130504</v>
      </c>
      <c r="N82" s="247">
        <f t="shared" si="37"/>
        <v>14533952.955227461</v>
      </c>
      <c r="O82" s="247">
        <f t="shared" si="37"/>
        <v>14751962.249555871</v>
      </c>
      <c r="P82" s="247">
        <f t="shared" si="37"/>
        <v>14973241.683299208</v>
      </c>
      <c r="Q82" s="247">
        <f t="shared" si="37"/>
        <v>15197840.308548694</v>
      </c>
      <c r="R82" s="247">
        <f t="shared" si="37"/>
        <v>15425807.913176924</v>
      </c>
    </row>
    <row r="83" spans="2:18">
      <c r="B83" s="335" t="s">
        <v>364</v>
      </c>
      <c r="C83" s="336"/>
      <c r="D83" s="252">
        <f>D24</f>
        <v>9248460.0703783724</v>
      </c>
      <c r="E83" s="252">
        <f t="shared" ref="E83:R83" si="38">E24</f>
        <v>9637875.5843695253</v>
      </c>
      <c r="F83" s="252">
        <f t="shared" si="38"/>
        <v>9967121.7101299409</v>
      </c>
      <c r="G83" s="252">
        <f t="shared" si="38"/>
        <v>10252327.677033776</v>
      </c>
      <c r="H83" s="252">
        <f t="shared" si="38"/>
        <v>10503897.168739049</v>
      </c>
      <c r="I83" s="252">
        <f t="shared" si="38"/>
        <v>10728933.747412151</v>
      </c>
      <c r="J83" s="252">
        <f t="shared" si="38"/>
        <v>10932504.094823319</v>
      </c>
      <c r="K83" s="252">
        <f t="shared" si="38"/>
        <v>11118349.261403304</v>
      </c>
      <c r="L83" s="252">
        <f t="shared" si="38"/>
        <v>11285124.500324352</v>
      </c>
      <c r="M83" s="252">
        <f t="shared" si="38"/>
        <v>11454401.367829217</v>
      </c>
      <c r="N83" s="252">
        <f t="shared" si="38"/>
        <v>11626217.388346653</v>
      </c>
      <c r="O83" s="252">
        <f t="shared" si="38"/>
        <v>11800610.649171852</v>
      </c>
      <c r="P83" s="252">
        <f t="shared" si="38"/>
        <v>11977619.808909427</v>
      </c>
      <c r="Q83" s="252">
        <f t="shared" si="38"/>
        <v>12157284.106043067</v>
      </c>
      <c r="R83" s="252">
        <f t="shared" si="38"/>
        <v>12339643.367633712</v>
      </c>
    </row>
    <row r="84" spans="2:18">
      <c r="B84" s="338" t="s">
        <v>379</v>
      </c>
      <c r="C84" s="339"/>
      <c r="D84" s="257">
        <f t="shared" ref="D84:R84" si="39">D82-D83</f>
        <v>2483593.2656286191</v>
      </c>
      <c r="E84" s="257">
        <f t="shared" si="39"/>
        <v>2545471.0321498699</v>
      </c>
      <c r="F84" s="257">
        <f t="shared" si="39"/>
        <v>2597787.9382973015</v>
      </c>
      <c r="G84" s="257">
        <f t="shared" si="39"/>
        <v>2643106.9037634414</v>
      </c>
      <c r="H84" s="257">
        <f t="shared" si="39"/>
        <v>2683081.0642997399</v>
      </c>
      <c r="I84" s="257">
        <f t="shared" si="39"/>
        <v>2718839.1693920586</v>
      </c>
      <c r="J84" s="257">
        <f t="shared" si="39"/>
        <v>2751186.3101072684</v>
      </c>
      <c r="K84" s="257">
        <f t="shared" si="39"/>
        <v>2780716.9359133095</v>
      </c>
      <c r="L84" s="257">
        <f t="shared" si="39"/>
        <v>2822427.6899520084</v>
      </c>
      <c r="M84" s="257">
        <f t="shared" si="39"/>
        <v>2864764.105301287</v>
      </c>
      <c r="N84" s="257">
        <f t="shared" si="39"/>
        <v>2907735.5668808073</v>
      </c>
      <c r="O84" s="257">
        <f t="shared" si="39"/>
        <v>2951351.6003840193</v>
      </c>
      <c r="P84" s="257">
        <f t="shared" si="39"/>
        <v>2995621.8743897807</v>
      </c>
      <c r="Q84" s="257">
        <f t="shared" si="39"/>
        <v>3040556.2025056276</v>
      </c>
      <c r="R84" s="259">
        <f t="shared" si="39"/>
        <v>3086164.5455432124</v>
      </c>
    </row>
    <row r="85" spans="2:18">
      <c r="B85" s="340" t="s">
        <v>328</v>
      </c>
      <c r="C85" s="336"/>
      <c r="D85" s="252">
        <f>IFERROR(D34,0)</f>
        <v>853678.36874206527</v>
      </c>
      <c r="E85" s="252">
        <f t="shared" ref="E85:R85" si="40">IFERROR(E34,0)</f>
        <v>877762.72415727901</v>
      </c>
      <c r="F85" s="252">
        <f t="shared" si="40"/>
        <v>898125.75651473179</v>
      </c>
      <c r="G85" s="252">
        <f t="shared" si="40"/>
        <v>915765.01747547451</v>
      </c>
      <c r="H85" s="252">
        <f t="shared" si="40"/>
        <v>931323.9483145579</v>
      </c>
      <c r="I85" s="252">
        <f t="shared" si="40"/>
        <v>945241.8862175399</v>
      </c>
      <c r="J85" s="252">
        <f t="shared" si="40"/>
        <v>957832.19251735648</v>
      </c>
      <c r="K85" s="252">
        <f t="shared" si="40"/>
        <v>969326.24163275363</v>
      </c>
      <c r="L85" s="252">
        <f t="shared" si="40"/>
        <v>983866.13525724481</v>
      </c>
      <c r="M85" s="252">
        <f t="shared" si="40"/>
        <v>998624.12728610344</v>
      </c>
      <c r="N85" s="252">
        <f t="shared" si="40"/>
        <v>1013603.4891953949</v>
      </c>
      <c r="O85" s="252">
        <f t="shared" si="40"/>
        <v>1028807.5415333257</v>
      </c>
      <c r="P85" s="252">
        <f t="shared" si="40"/>
        <v>1044239.6546563255</v>
      </c>
      <c r="Q85" s="252">
        <f t="shared" si="40"/>
        <v>1059903.2494761702</v>
      </c>
      <c r="R85" s="252">
        <f t="shared" si="40"/>
        <v>1075801.7982183127</v>
      </c>
    </row>
    <row r="86" spans="2:18">
      <c r="B86" s="340" t="s">
        <v>330</v>
      </c>
      <c r="C86" s="336"/>
      <c r="D86" s="252">
        <f>D44</f>
        <v>736909.03945341019</v>
      </c>
      <c r="E86" s="252">
        <f t="shared" ref="E86:R86" si="41">E44</f>
        <v>758341.35923725716</v>
      </c>
      <c r="F86" s="252">
        <f t="shared" si="41"/>
        <v>776462.12741766986</v>
      </c>
      <c r="G86" s="252">
        <f t="shared" si="41"/>
        <v>792159.05079983163</v>
      </c>
      <c r="H86" s="252">
        <f t="shared" si="41"/>
        <v>806004.71847451443</v>
      </c>
      <c r="I86" s="252">
        <f t="shared" si="41"/>
        <v>818390.09025324206</v>
      </c>
      <c r="J86" s="252">
        <f t="shared" si="41"/>
        <v>829594.02185706655</v>
      </c>
      <c r="K86" s="252">
        <f t="shared" si="41"/>
        <v>839822.41003708926</v>
      </c>
      <c r="L86" s="252">
        <f t="shared" si="41"/>
        <v>852419.74618764548</v>
      </c>
      <c r="M86" s="252">
        <f t="shared" si="41"/>
        <v>865206.04238046007</v>
      </c>
      <c r="N86" s="252">
        <f t="shared" si="41"/>
        <v>878184.13301616686</v>
      </c>
      <c r="O86" s="252">
        <f t="shared" si="41"/>
        <v>891356.8950114093</v>
      </c>
      <c r="P86" s="252">
        <f t="shared" si="41"/>
        <v>904727.24843658041</v>
      </c>
      <c r="Q86" s="252">
        <f t="shared" si="41"/>
        <v>918298.15716312907</v>
      </c>
      <c r="R86" s="252">
        <f t="shared" si="41"/>
        <v>932072.62952057587</v>
      </c>
    </row>
    <row r="87" spans="2:18">
      <c r="B87" s="340" t="s">
        <v>380</v>
      </c>
      <c r="C87" s="336"/>
      <c r="D87" s="252">
        <f>D54</f>
        <v>-18655.279866633118</v>
      </c>
      <c r="E87" s="252">
        <f t="shared" ref="E87:R87" si="42">E54</f>
        <v>-19256.927499990848</v>
      </c>
      <c r="F87" s="252">
        <f t="shared" si="42"/>
        <v>-19707.928119301461</v>
      </c>
      <c r="G87" s="252">
        <f t="shared" si="42"/>
        <v>-20065.137594506479</v>
      </c>
      <c r="H87" s="252">
        <f t="shared" si="42"/>
        <v>-20358.815230738594</v>
      </c>
      <c r="I87" s="252">
        <f t="shared" si="42"/>
        <v>-20606.870153936881</v>
      </c>
      <c r="J87" s="252">
        <f t="shared" si="42"/>
        <v>-20820.724454479183</v>
      </c>
      <c r="K87" s="252">
        <f t="shared" si="42"/>
        <v>-21008.080045283343</v>
      </c>
      <c r="L87" s="252">
        <f t="shared" si="42"/>
        <v>-21323.201245962591</v>
      </c>
      <c r="M87" s="252">
        <f t="shared" si="42"/>
        <v>-21643.049264652029</v>
      </c>
      <c r="N87" s="252">
        <f t="shared" si="42"/>
        <v>-21967.695003621808</v>
      </c>
      <c r="O87" s="252">
        <f t="shared" si="42"/>
        <v>-22297.210428676131</v>
      </c>
      <c r="P87" s="252">
        <f t="shared" si="42"/>
        <v>-22631.668585106272</v>
      </c>
      <c r="Q87" s="252">
        <f t="shared" si="42"/>
        <v>-22971.143613882865</v>
      </c>
      <c r="R87" s="252">
        <f t="shared" si="42"/>
        <v>-23315.710768091107</v>
      </c>
    </row>
    <row r="88" spans="2:18">
      <c r="B88" s="338" t="s">
        <v>381</v>
      </c>
      <c r="C88" s="339"/>
      <c r="D88" s="257">
        <f>D84-D85-D86+D87</f>
        <v>874350.57756651053</v>
      </c>
      <c r="E88" s="257">
        <f t="shared" ref="E88:R88" si="43">E84-E85-E86+E87</f>
        <v>890110.0212553431</v>
      </c>
      <c r="F88" s="257">
        <f t="shared" si="43"/>
        <v>903492.12624559843</v>
      </c>
      <c r="G88" s="257">
        <f t="shared" si="43"/>
        <v>915117.69789362862</v>
      </c>
      <c r="H88" s="257">
        <f t="shared" si="43"/>
        <v>925393.58227992908</v>
      </c>
      <c r="I88" s="257">
        <f t="shared" si="43"/>
        <v>934600.32276733976</v>
      </c>
      <c r="J88" s="257">
        <f t="shared" si="43"/>
        <v>942939.37127836619</v>
      </c>
      <c r="K88" s="257">
        <f t="shared" si="43"/>
        <v>950560.20419818338</v>
      </c>
      <c r="L88" s="257">
        <f t="shared" si="43"/>
        <v>964818.6072611555</v>
      </c>
      <c r="M88" s="257">
        <f t="shared" si="43"/>
        <v>979290.88637007133</v>
      </c>
      <c r="N88" s="257">
        <f t="shared" si="43"/>
        <v>993980.24966562376</v>
      </c>
      <c r="O88" s="257">
        <f t="shared" si="43"/>
        <v>1008889.9534106081</v>
      </c>
      <c r="P88" s="257">
        <f t="shared" si="43"/>
        <v>1024023.3027117685</v>
      </c>
      <c r="Q88" s="257">
        <f t="shared" si="43"/>
        <v>1039383.6522524455</v>
      </c>
      <c r="R88" s="259">
        <f t="shared" si="43"/>
        <v>1054974.4070362328</v>
      </c>
    </row>
    <row r="89" spans="2:18">
      <c r="B89" s="335" t="s">
        <v>382</v>
      </c>
      <c r="C89" s="336"/>
      <c r="D89" s="252">
        <f t="shared" ref="D89:R89" si="44">29.5%*D88</f>
        <v>257933.42038212059</v>
      </c>
      <c r="E89" s="252">
        <f t="shared" si="44"/>
        <v>262582.45627032622</v>
      </c>
      <c r="F89" s="252">
        <f t="shared" si="44"/>
        <v>266530.17724245152</v>
      </c>
      <c r="G89" s="252">
        <f t="shared" si="44"/>
        <v>269959.7208786204</v>
      </c>
      <c r="H89" s="252">
        <f t="shared" si="44"/>
        <v>272991.10677257908</v>
      </c>
      <c r="I89" s="252">
        <f t="shared" si="44"/>
        <v>275707.09521636524</v>
      </c>
      <c r="J89" s="252">
        <f t="shared" si="44"/>
        <v>278167.11452711798</v>
      </c>
      <c r="K89" s="252">
        <f t="shared" si="44"/>
        <v>280415.26023846411</v>
      </c>
      <c r="L89" s="252">
        <f t="shared" si="44"/>
        <v>284621.48914204084</v>
      </c>
      <c r="M89" s="252">
        <f t="shared" si="44"/>
        <v>288890.81147917104</v>
      </c>
      <c r="N89" s="252">
        <f t="shared" si="44"/>
        <v>293224.17365135899</v>
      </c>
      <c r="O89" s="252">
        <f t="shared" si="44"/>
        <v>297622.53625612939</v>
      </c>
      <c r="P89" s="252">
        <f t="shared" si="44"/>
        <v>302086.87429997168</v>
      </c>
      <c r="Q89" s="252">
        <f t="shared" si="44"/>
        <v>306618.1774144714</v>
      </c>
      <c r="R89" s="254">
        <f t="shared" si="44"/>
        <v>311217.45007568866</v>
      </c>
    </row>
    <row r="90" spans="2:18">
      <c r="B90" s="335" t="s">
        <v>383</v>
      </c>
      <c r="C90" s="336"/>
      <c r="D90" s="252">
        <f>Sensibilidad!D64</f>
        <v>273893.22737432458</v>
      </c>
      <c r="E90" s="252">
        <f>Sensibilidad!E64</f>
        <v>285838.41440344369</v>
      </c>
      <c r="F90" s="252">
        <f>Sensibilidad!F64</f>
        <v>295937.92613196297</v>
      </c>
      <c r="G90" s="252">
        <f>Sensibilidad!G64</f>
        <v>304686.52112647181</v>
      </c>
      <c r="H90" s="252">
        <f>Sensibilidad!H64</f>
        <v>312403.32880688732</v>
      </c>
      <c r="I90" s="252">
        <f>Sensibilidad!I64</f>
        <v>319306.2485007965</v>
      </c>
      <c r="J90" s="252">
        <f>Sensibilidad!J64</f>
        <v>325550.6989298166</v>
      </c>
      <c r="K90" s="252">
        <f>Sensibilidad!K64</f>
        <v>331251.43552991556</v>
      </c>
      <c r="L90" s="252">
        <f>Sensibilidad!L64</f>
        <v>336220.20706286427</v>
      </c>
      <c r="M90" s="252">
        <f>Sensibilidad!M64</f>
        <v>341263.51016880717</v>
      </c>
      <c r="N90" s="252">
        <f>Sensibilidad!N64</f>
        <v>346382.46282133926</v>
      </c>
      <c r="O90" s="252">
        <f>Sensibilidad!O64</f>
        <v>351578.19976365933</v>
      </c>
      <c r="P90" s="252">
        <f>Sensibilidad!P64</f>
        <v>356851.8727601142</v>
      </c>
      <c r="Q90" s="252">
        <f>Sensibilidad!Q64</f>
        <v>362204.65085151588</v>
      </c>
      <c r="R90" s="252">
        <f>Sensibilidad!R64</f>
        <v>367637.72061428858</v>
      </c>
    </row>
    <row r="91" spans="2:18">
      <c r="B91" s="338" t="s">
        <v>384</v>
      </c>
      <c r="C91" s="339"/>
      <c r="D91" s="257">
        <f t="shared" ref="D91:R91" si="45">D88-D89+D90</f>
        <v>890310.38455871446</v>
      </c>
      <c r="E91" s="257">
        <f t="shared" si="45"/>
        <v>913365.97938846052</v>
      </c>
      <c r="F91" s="257">
        <f t="shared" si="45"/>
        <v>932899.87513510999</v>
      </c>
      <c r="G91" s="257">
        <f t="shared" si="45"/>
        <v>949844.49814148003</v>
      </c>
      <c r="H91" s="257">
        <f t="shared" si="45"/>
        <v>964805.80431423732</v>
      </c>
      <c r="I91" s="257">
        <f t="shared" si="45"/>
        <v>978199.47605177108</v>
      </c>
      <c r="J91" s="257">
        <f t="shared" si="45"/>
        <v>990322.95568106475</v>
      </c>
      <c r="K91" s="257">
        <f t="shared" si="45"/>
        <v>1001396.3794896349</v>
      </c>
      <c r="L91" s="257">
        <f t="shared" si="45"/>
        <v>1016417.325181979</v>
      </c>
      <c r="M91" s="257">
        <f t="shared" si="45"/>
        <v>1031663.5850597075</v>
      </c>
      <c r="N91" s="257">
        <f t="shared" si="45"/>
        <v>1047138.538835604</v>
      </c>
      <c r="O91" s="257">
        <f t="shared" si="45"/>
        <v>1062845.616918138</v>
      </c>
      <c r="P91" s="257">
        <f t="shared" si="45"/>
        <v>1078788.3011719112</v>
      </c>
      <c r="Q91" s="257">
        <f t="shared" si="45"/>
        <v>1094970.12568949</v>
      </c>
      <c r="R91" s="259">
        <f t="shared" si="45"/>
        <v>1111394.6775748327</v>
      </c>
    </row>
    <row r="92" spans="2:18">
      <c r="B92" s="335" t="s">
        <v>368</v>
      </c>
      <c r="C92" s="336"/>
      <c r="D92" s="252">
        <f>-D70</f>
        <v>-101089.56547802276</v>
      </c>
      <c r="E92" s="252">
        <f t="shared" ref="E92:R92" si="46">-E70</f>
        <v>-104978.14664310614</v>
      </c>
      <c r="F92" s="252">
        <f t="shared" si="46"/>
        <v>-108265.89517214318</v>
      </c>
      <c r="G92" s="252">
        <f t="shared" si="46"/>
        <v>-111113.87249000848</v>
      </c>
      <c r="H92" s="252">
        <f t="shared" si="46"/>
        <v>-113625.96651812913</v>
      </c>
      <c r="I92" s="252">
        <f t="shared" si="46"/>
        <v>-115873.11119994811</v>
      </c>
      <c r="J92" s="252">
        <f t="shared" si="46"/>
        <v>-117905.90083023111</v>
      </c>
      <c r="K92" s="252">
        <f t="shared" si="46"/>
        <v>-119761.69236503149</v>
      </c>
      <c r="L92" s="252">
        <f t="shared" si="46"/>
        <v>-121558.11775050694</v>
      </c>
      <c r="M92" s="252">
        <f t="shared" si="46"/>
        <v>-123381.48951676453</v>
      </c>
      <c r="N92" s="252">
        <f t="shared" si="46"/>
        <v>-125232.21185951598</v>
      </c>
      <c r="O92" s="252">
        <f t="shared" si="46"/>
        <v>-127110.69503740872</v>
      </c>
      <c r="P92" s="252">
        <f t="shared" si="46"/>
        <v>-129017.35546296983</v>
      </c>
      <c r="Q92" s="252">
        <f t="shared" si="46"/>
        <v>-130952.61579491437</v>
      </c>
      <c r="R92" s="252">
        <f t="shared" si="46"/>
        <v>-132916.90503183808</v>
      </c>
    </row>
    <row r="93" spans="2:18">
      <c r="B93" s="335" t="s">
        <v>385</v>
      </c>
      <c r="C93" s="336"/>
      <c r="D93" s="252">
        <f>-D77</f>
        <v>-96443.408116711304</v>
      </c>
      <c r="E93" s="252">
        <f t="shared" ref="E93:R93" si="47">-E77</f>
        <v>-78800.00209189835</v>
      </c>
      <c r="F93" s="252">
        <f t="shared" si="47"/>
        <v>-66624.452458922984</v>
      </c>
      <c r="G93" s="252">
        <f t="shared" si="47"/>
        <v>-57712.725819020765</v>
      </c>
      <c r="H93" s="252">
        <f t="shared" si="47"/>
        <v>-50906.231930666137</v>
      </c>
      <c r="I93" s="252">
        <f t="shared" si="47"/>
        <v>-45537.1761860447</v>
      </c>
      <c r="J93" s="252">
        <f t="shared" si="47"/>
        <v>-41193.386563980486</v>
      </c>
      <c r="K93" s="252">
        <f t="shared" si="47"/>
        <v>-37606.615527918329</v>
      </c>
      <c r="L93" s="252">
        <f t="shared" si="47"/>
        <v>-34594.732751454227</v>
      </c>
      <c r="M93" s="252">
        <f t="shared" si="47"/>
        <v>-32029.719707468525</v>
      </c>
      <c r="N93" s="252">
        <f t="shared" si="47"/>
        <v>-29818.955657787854</v>
      </c>
      <c r="O93" s="252">
        <f t="shared" si="47"/>
        <v>-27893.770161232678</v>
      </c>
      <c r="P93" s="252">
        <f t="shared" si="47"/>
        <v>-26202.169452483067</v>
      </c>
      <c r="Q93" s="252">
        <f t="shared" si="47"/>
        <v>-24704.06247818307</v>
      </c>
      <c r="R93" s="252">
        <f t="shared" si="47"/>
        <v>-23368.038448770763</v>
      </c>
    </row>
    <row r="94" spans="2:18">
      <c r="B94" s="338" t="s">
        <v>386</v>
      </c>
      <c r="C94" s="339"/>
      <c r="D94" s="257">
        <f t="shared" ref="D94:Q94" si="48">SUM(D91:D93)</f>
        <v>692777.41096398036</v>
      </c>
      <c r="E94" s="257">
        <f t="shared" si="48"/>
        <v>729587.83065345604</v>
      </c>
      <c r="F94" s="257">
        <f t="shared" si="48"/>
        <v>758009.52750404389</v>
      </c>
      <c r="G94" s="257">
        <f t="shared" si="48"/>
        <v>781017.89983245078</v>
      </c>
      <c r="H94" s="257">
        <f t="shared" si="48"/>
        <v>800273.60586544208</v>
      </c>
      <c r="I94" s="257">
        <f t="shared" si="48"/>
        <v>816789.18866577826</v>
      </c>
      <c r="J94" s="257">
        <f t="shared" si="48"/>
        <v>831223.66828685312</v>
      </c>
      <c r="K94" s="257">
        <f t="shared" si="48"/>
        <v>844028.0715966851</v>
      </c>
      <c r="L94" s="257">
        <f t="shared" si="48"/>
        <v>860264.4746800178</v>
      </c>
      <c r="M94" s="257">
        <f t="shared" si="48"/>
        <v>876252.37583547446</v>
      </c>
      <c r="N94" s="257">
        <f t="shared" si="48"/>
        <v>892087.37131830014</v>
      </c>
      <c r="O94" s="257">
        <f t="shared" si="48"/>
        <v>907841.15171949659</v>
      </c>
      <c r="P94" s="257">
        <f t="shared" si="48"/>
        <v>923568.77625645825</v>
      </c>
      <c r="Q94" s="257">
        <f t="shared" si="48"/>
        <v>939313.44741639262</v>
      </c>
      <c r="R94" s="259">
        <f>SUM(R91:R93)</f>
        <v>955109.73409422382</v>
      </c>
    </row>
    <row r="95" spans="2:18">
      <c r="B95" s="341" t="s">
        <v>387</v>
      </c>
      <c r="C95" s="336"/>
      <c r="D95" s="192"/>
      <c r="E95" s="192"/>
      <c r="F95" s="192"/>
      <c r="G95" s="192"/>
      <c r="H95" s="192"/>
      <c r="I95" s="192"/>
      <c r="J95" s="192"/>
      <c r="K95" s="192"/>
      <c r="L95" s="266"/>
      <c r="M95" s="192"/>
      <c r="N95" s="192"/>
      <c r="O95" s="192"/>
      <c r="P95" s="192"/>
      <c r="R95" s="434">
        <f>R94*(1+G14)/($M$100-G14)</f>
        <v>10357226.283179883</v>
      </c>
    </row>
    <row r="96" spans="2:18">
      <c r="B96" s="342" t="s">
        <v>388</v>
      </c>
      <c r="C96" s="343"/>
      <c r="D96" s="203">
        <f t="shared" ref="D96:Q96" si="49">D94</f>
        <v>692777.41096398036</v>
      </c>
      <c r="E96" s="203">
        <f t="shared" si="49"/>
        <v>729587.83065345604</v>
      </c>
      <c r="F96" s="203">
        <f t="shared" si="49"/>
        <v>758009.52750404389</v>
      </c>
      <c r="G96" s="203">
        <f t="shared" si="49"/>
        <v>781017.89983245078</v>
      </c>
      <c r="H96" s="203">
        <f t="shared" si="49"/>
        <v>800273.60586544208</v>
      </c>
      <c r="I96" s="203">
        <f t="shared" si="49"/>
        <v>816789.18866577826</v>
      </c>
      <c r="J96" s="203">
        <f t="shared" si="49"/>
        <v>831223.66828685312</v>
      </c>
      <c r="K96" s="203">
        <f t="shared" si="49"/>
        <v>844028.0715966851</v>
      </c>
      <c r="L96" s="203">
        <f t="shared" si="49"/>
        <v>860264.4746800178</v>
      </c>
      <c r="M96" s="203">
        <f t="shared" si="49"/>
        <v>876252.37583547446</v>
      </c>
      <c r="N96" s="203">
        <f t="shared" si="49"/>
        <v>892087.37131830014</v>
      </c>
      <c r="O96" s="203">
        <f t="shared" si="49"/>
        <v>907841.15171949659</v>
      </c>
      <c r="P96" s="203">
        <f t="shared" si="49"/>
        <v>923568.77625645825</v>
      </c>
      <c r="Q96" s="203">
        <f t="shared" si="49"/>
        <v>939313.44741639262</v>
      </c>
      <c r="R96" s="204">
        <f>R94+R95</f>
        <v>11312336.017274106</v>
      </c>
    </row>
    <row r="98" spans="1:18"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P98" s="267"/>
    </row>
    <row r="99" spans="1:18">
      <c r="H99" s="272" t="s">
        <v>389</v>
      </c>
      <c r="I99" s="273" t="s">
        <v>390</v>
      </c>
      <c r="J99" s="274" t="s">
        <v>391</v>
      </c>
      <c r="L99" s="224"/>
      <c r="M99" s="224"/>
      <c r="P99" s="267"/>
    </row>
    <row r="100" spans="1:18">
      <c r="E100" s="183" t="s">
        <v>392</v>
      </c>
      <c r="F100" s="227"/>
      <c r="G100" s="227"/>
      <c r="H100" s="435">
        <f>NPV(M100,D96:R96)</f>
        <v>8060015.2070281282</v>
      </c>
      <c r="I100" s="221"/>
      <c r="J100" s="193"/>
      <c r="L100" s="444" t="s">
        <v>423</v>
      </c>
      <c r="M100" s="445">
        <f>WACC!I44</f>
        <v>0.1086</v>
      </c>
    </row>
    <row r="101" spans="1:18">
      <c r="E101" s="188" t="s">
        <v>393</v>
      </c>
      <c r="F101" s="192"/>
      <c r="G101" s="192"/>
      <c r="H101" s="437">
        <f>'EE.FF Económicos'!$H$24</f>
        <v>5437375</v>
      </c>
      <c r="I101" s="221"/>
      <c r="J101" s="193"/>
    </row>
    <row r="102" spans="1:18">
      <c r="E102" s="275" t="s">
        <v>394</v>
      </c>
      <c r="F102" s="276"/>
      <c r="G102" s="276"/>
      <c r="H102" s="446">
        <f>H100-H101</f>
        <v>2622640.2070281282</v>
      </c>
      <c r="I102" s="378"/>
      <c r="J102" s="379"/>
    </row>
    <row r="103" spans="1:18">
      <c r="E103" s="279" t="s">
        <v>395</v>
      </c>
      <c r="F103" s="280"/>
      <c r="G103" s="280"/>
      <c r="H103" s="281">
        <f>H102/'Plantilla Usuario'!C5</f>
        <v>3.0956867389775411</v>
      </c>
      <c r="I103" s="380">
        <v>6.05</v>
      </c>
      <c r="J103" s="381">
        <v>10.1</v>
      </c>
    </row>
    <row r="104" spans="1:18">
      <c r="E104" s="192"/>
      <c r="F104" s="192"/>
      <c r="G104" s="192"/>
      <c r="H104" s="403"/>
      <c r="I104" s="404"/>
      <c r="J104" s="404"/>
    </row>
    <row r="105" spans="1:18">
      <c r="E105" s="192"/>
      <c r="F105" s="192"/>
      <c r="G105" s="192"/>
      <c r="H105" s="403"/>
      <c r="I105" s="404"/>
      <c r="J105" s="404"/>
    </row>
    <row r="108" spans="1:18" s="308" customFormat="1">
      <c r="A108" s="307" t="s">
        <v>406</v>
      </c>
    </row>
    <row r="110" spans="1:18">
      <c r="B110" s="811" t="s">
        <v>397</v>
      </c>
      <c r="C110" s="327">
        <f>C$4</f>
        <v>2021</v>
      </c>
      <c r="D110" s="309">
        <f t="shared" ref="D110:R110" si="50">D$4</f>
        <v>2022</v>
      </c>
      <c r="E110" s="309">
        <f t="shared" si="50"/>
        <v>2023</v>
      </c>
      <c r="F110" s="309">
        <f t="shared" si="50"/>
        <v>2024</v>
      </c>
      <c r="G110" s="309">
        <f t="shared" si="50"/>
        <v>2025</v>
      </c>
      <c r="H110" s="309">
        <f t="shared" si="50"/>
        <v>2026</v>
      </c>
      <c r="I110" s="309">
        <f t="shared" si="50"/>
        <v>2027</v>
      </c>
      <c r="J110" s="309">
        <f t="shared" si="50"/>
        <v>2028</v>
      </c>
      <c r="K110" s="309">
        <f t="shared" si="50"/>
        <v>2029</v>
      </c>
      <c r="L110" s="309">
        <f t="shared" si="50"/>
        <v>2030</v>
      </c>
      <c r="M110" s="309">
        <f t="shared" si="50"/>
        <v>2031</v>
      </c>
      <c r="N110" s="309">
        <f t="shared" si="50"/>
        <v>2032</v>
      </c>
      <c r="O110" s="309">
        <f t="shared" si="50"/>
        <v>2033</v>
      </c>
      <c r="P110" s="309">
        <f t="shared" si="50"/>
        <v>2034</v>
      </c>
      <c r="Q110" s="309">
        <f t="shared" si="50"/>
        <v>2035</v>
      </c>
      <c r="R110" s="328">
        <f t="shared" si="50"/>
        <v>2036</v>
      </c>
    </row>
    <row r="111" spans="1:18">
      <c r="B111" s="812"/>
      <c r="C111" s="329">
        <f>C$5</f>
        <v>5</v>
      </c>
      <c r="D111" s="310">
        <f t="shared" ref="D111:R111" si="51">D$5</f>
        <v>6</v>
      </c>
      <c r="E111" s="310">
        <f t="shared" si="51"/>
        <v>7</v>
      </c>
      <c r="F111" s="310">
        <f t="shared" si="51"/>
        <v>8</v>
      </c>
      <c r="G111" s="310">
        <f t="shared" si="51"/>
        <v>9</v>
      </c>
      <c r="H111" s="310">
        <f t="shared" si="51"/>
        <v>10</v>
      </c>
      <c r="I111" s="310">
        <f t="shared" si="51"/>
        <v>11</v>
      </c>
      <c r="J111" s="310">
        <f t="shared" si="51"/>
        <v>12</v>
      </c>
      <c r="K111" s="310">
        <f t="shared" si="51"/>
        <v>13</v>
      </c>
      <c r="L111" s="310">
        <f t="shared" si="51"/>
        <v>14</v>
      </c>
      <c r="M111" s="310">
        <f t="shared" si="51"/>
        <v>15</v>
      </c>
      <c r="N111" s="310">
        <f t="shared" si="51"/>
        <v>16</v>
      </c>
      <c r="O111" s="310">
        <f t="shared" si="51"/>
        <v>17</v>
      </c>
      <c r="P111" s="310">
        <f t="shared" si="51"/>
        <v>18</v>
      </c>
      <c r="Q111" s="310">
        <f t="shared" si="51"/>
        <v>19</v>
      </c>
      <c r="R111" s="330">
        <f t="shared" si="51"/>
        <v>20</v>
      </c>
    </row>
    <row r="112" spans="1:18">
      <c r="B112" s="311" t="s">
        <v>375</v>
      </c>
      <c r="C112" s="224">
        <f>'M. Integrado'!G11</f>
        <v>862192.67249999999</v>
      </c>
      <c r="D112" s="224">
        <f>'M. Integrado'!H11</f>
        <v>887775.52360896848</v>
      </c>
      <c r="E112" s="224">
        <f>'M. Integrado'!I11</f>
        <v>908678.23495305411</v>
      </c>
      <c r="F112" s="224">
        <f>'M. Integrado'!J11</f>
        <v>926351.22557788284</v>
      </c>
      <c r="G112" s="224">
        <f>'M. Integrado'!K11</f>
        <v>941660.26639831928</v>
      </c>
      <c r="H112" s="224">
        <f>'M. Integrado'!L11</f>
        <v>955163.79740610824</v>
      </c>
      <c r="I112" s="224">
        <f>'M. Integrado'!M11</f>
        <v>967243.11750728777</v>
      </c>
      <c r="J112" s="224">
        <f>'M. Integrado'!N11</f>
        <v>978170.19169223541</v>
      </c>
      <c r="K112" s="224">
        <f>'M. Integrado'!O11</f>
        <v>988145.8288513734</v>
      </c>
      <c r="L112" s="224">
        <f>'M. Integrado'!P11</f>
        <v>997322.52546980872</v>
      </c>
      <c r="M112" s="224">
        <f>'M. Integrado'!Q11</f>
        <v>1005818.8194762021</v>
      </c>
      <c r="N112" s="224">
        <f>'M. Integrado'!R11</f>
        <v>1013728.6799603419</v>
      </c>
      <c r="O112" s="224">
        <f>'M. Integrado'!S11</f>
        <v>1021127.8602966384</v>
      </c>
      <c r="P112" s="224">
        <f>'M. Integrado'!T11</f>
        <v>1028078.3218463137</v>
      </c>
      <c r="Q112" s="224">
        <f>'M. Integrado'!U11</f>
        <v>1034631.3913044275</v>
      </c>
      <c r="R112" s="224">
        <f>'M. Integrado'!V11</f>
        <v>1040830.0632511934</v>
      </c>
    </row>
    <row r="113" spans="2:18">
      <c r="B113" s="311" t="s">
        <v>400</v>
      </c>
      <c r="D113" s="312">
        <f>D112/C112-1</f>
        <v>2.9671849373051229E-2</v>
      </c>
      <c r="E113" s="312">
        <f>E112/D112-1</f>
        <v>2.3545041272496903E-2</v>
      </c>
      <c r="F113" s="312">
        <f t="shared" ref="F113:R114" si="52">F112/E112-1</f>
        <v>1.9449118450318936E-2</v>
      </c>
      <c r="G113" s="312">
        <f t="shared" si="52"/>
        <v>1.6526173224293172E-2</v>
      </c>
      <c r="H113" s="312">
        <f t="shared" si="52"/>
        <v>1.4340130394837169E-2</v>
      </c>
      <c r="I113" s="312">
        <f t="shared" si="52"/>
        <v>1.2646333680131905E-2</v>
      </c>
      <c r="J113" s="312">
        <f t="shared" si="52"/>
        <v>1.1297133044593899E-2</v>
      </c>
      <c r="K113" s="312">
        <f t="shared" si="52"/>
        <v>1.0198263291871568E-2</v>
      </c>
      <c r="L113" s="312">
        <f t="shared" si="52"/>
        <v>9.2867837423373789E-3</v>
      </c>
      <c r="M113" s="312">
        <f t="shared" si="52"/>
        <v>8.519103689542229E-3</v>
      </c>
      <c r="N113" s="312">
        <f t="shared" si="52"/>
        <v>7.8641007018132036E-3</v>
      </c>
      <c r="O113" s="312">
        <f t="shared" si="52"/>
        <v>7.2989750438805512E-3</v>
      </c>
      <c r="P113" s="312">
        <f t="shared" si="52"/>
        <v>6.8066515662945637E-3</v>
      </c>
      <c r="Q113" s="312">
        <f t="shared" si="52"/>
        <v>6.3740955517330722E-3</v>
      </c>
      <c r="R113" s="313">
        <f t="shared" si="52"/>
        <v>5.9911887449604073E-3</v>
      </c>
    </row>
    <row r="114" spans="2:18">
      <c r="B114" s="314" t="s">
        <v>401</v>
      </c>
      <c r="C114" s="315"/>
      <c r="D114" s="315"/>
      <c r="E114" s="316">
        <f>E113/D113-1</f>
        <v>-0.20648554876120595</v>
      </c>
      <c r="F114" s="316">
        <f>F113/E113-1</f>
        <v>-0.17396116552840524</v>
      </c>
      <c r="G114" s="316">
        <f t="shared" si="52"/>
        <v>-0.150286771788252</v>
      </c>
      <c r="H114" s="316">
        <f t="shared" si="52"/>
        <v>-0.13227761804181992</v>
      </c>
      <c r="I114" s="316">
        <f t="shared" si="52"/>
        <v>-0.11811585167419936</v>
      </c>
      <c r="J114" s="316">
        <f t="shared" si="52"/>
        <v>-0.10668709759395922</v>
      </c>
      <c r="K114" s="316">
        <f t="shared" si="52"/>
        <v>-9.7269789457616551E-2</v>
      </c>
      <c r="L114" s="316">
        <f t="shared" si="52"/>
        <v>-8.9375957792801386E-2</v>
      </c>
      <c r="M114" s="316">
        <f t="shared" si="52"/>
        <v>-8.2663715888568023E-2</v>
      </c>
      <c r="N114" s="316">
        <f t="shared" si="52"/>
        <v>-7.6886373449484569E-2</v>
      </c>
      <c r="O114" s="316">
        <f t="shared" si="52"/>
        <v>-7.1861447272967061E-2</v>
      </c>
      <c r="P114" s="316">
        <f t="shared" si="52"/>
        <v>-6.7451042732191602E-2</v>
      </c>
      <c r="Q114" s="316">
        <f t="shared" si="52"/>
        <v>-6.3549016774038902E-2</v>
      </c>
      <c r="R114" s="317">
        <f t="shared" si="52"/>
        <v>-6.0072335543911781E-2</v>
      </c>
    </row>
    <row r="116" spans="2:18">
      <c r="B116" s="318" t="s">
        <v>402</v>
      </c>
      <c r="C116" s="319"/>
      <c r="D116" s="331">
        <f>D113*(1+$D$14)</f>
        <v>2.9671849373051229E-2</v>
      </c>
      <c r="E116" s="320">
        <f>D116*(1+E114)</f>
        <v>2.3545041272496903E-2</v>
      </c>
      <c r="F116" s="320">
        <f t="shared" ref="F116:R116" si="53">E116*(1+F114)</f>
        <v>1.9449118450318936E-2</v>
      </c>
      <c r="G116" s="320">
        <f t="shared" si="53"/>
        <v>1.6526173224293172E-2</v>
      </c>
      <c r="H116" s="320">
        <f t="shared" si="53"/>
        <v>1.4340130394837169E-2</v>
      </c>
      <c r="I116" s="320">
        <f t="shared" si="53"/>
        <v>1.2646333680131905E-2</v>
      </c>
      <c r="J116" s="320">
        <f t="shared" si="53"/>
        <v>1.1297133044593899E-2</v>
      </c>
      <c r="K116" s="320">
        <f t="shared" si="53"/>
        <v>1.0198263291871568E-2</v>
      </c>
      <c r="L116" s="320">
        <f t="shared" si="53"/>
        <v>9.2867837423373789E-3</v>
      </c>
      <c r="M116" s="320">
        <f t="shared" si="53"/>
        <v>8.519103689542229E-3</v>
      </c>
      <c r="N116" s="320">
        <f t="shared" si="53"/>
        <v>7.8641007018132036E-3</v>
      </c>
      <c r="O116" s="320">
        <f t="shared" si="53"/>
        <v>7.2989750438805512E-3</v>
      </c>
      <c r="P116" s="320">
        <f t="shared" si="53"/>
        <v>6.8066515662945637E-3</v>
      </c>
      <c r="Q116" s="320">
        <f t="shared" si="53"/>
        <v>6.3740955517330722E-3</v>
      </c>
      <c r="R116" s="321">
        <f t="shared" si="53"/>
        <v>5.9911887449604073E-3</v>
      </c>
    </row>
    <row r="117" spans="2:18">
      <c r="B117" s="314" t="s">
        <v>375</v>
      </c>
      <c r="C117" s="322">
        <f>C112</f>
        <v>862192.67249999999</v>
      </c>
      <c r="D117" s="322">
        <f>C117*(1+D116)</f>
        <v>887775.52360896848</v>
      </c>
      <c r="E117" s="322">
        <f t="shared" ref="E117:R117" si="54">D117*(1+E116)</f>
        <v>908678.23495305423</v>
      </c>
      <c r="F117" s="322">
        <f t="shared" si="54"/>
        <v>926351.22557788296</v>
      </c>
      <c r="G117" s="322">
        <f t="shared" si="54"/>
        <v>941660.26639831928</v>
      </c>
      <c r="H117" s="322">
        <f t="shared" si="54"/>
        <v>955163.79740610824</v>
      </c>
      <c r="I117" s="322">
        <f t="shared" si="54"/>
        <v>967243.11750728777</v>
      </c>
      <c r="J117" s="322">
        <f t="shared" si="54"/>
        <v>978170.19169223541</v>
      </c>
      <c r="K117" s="322">
        <f t="shared" si="54"/>
        <v>988145.82885137328</v>
      </c>
      <c r="L117" s="322">
        <f t="shared" si="54"/>
        <v>997322.52546980872</v>
      </c>
      <c r="M117" s="322">
        <f t="shared" si="54"/>
        <v>1005818.8194762021</v>
      </c>
      <c r="N117" s="322">
        <f t="shared" si="54"/>
        <v>1013728.6799603419</v>
      </c>
      <c r="O117" s="322">
        <f t="shared" si="54"/>
        <v>1021127.8602966384</v>
      </c>
      <c r="P117" s="322">
        <f t="shared" si="54"/>
        <v>1028078.3218463135</v>
      </c>
      <c r="Q117" s="322">
        <f t="shared" si="54"/>
        <v>1034631.3913044273</v>
      </c>
      <c r="R117" s="323">
        <f t="shared" si="54"/>
        <v>1040830.0632511931</v>
      </c>
    </row>
    <row r="120" spans="2:18">
      <c r="B120" s="344" t="s">
        <v>368</v>
      </c>
      <c r="C120" s="319"/>
      <c r="D120" s="345">
        <f t="shared" ref="D120:R120" si="55">D92</f>
        <v>-101089.56547802276</v>
      </c>
      <c r="E120" s="345">
        <f t="shared" si="55"/>
        <v>-104978.14664310614</v>
      </c>
      <c r="F120" s="345">
        <f t="shared" si="55"/>
        <v>-108265.89517214318</v>
      </c>
      <c r="G120" s="345">
        <f t="shared" si="55"/>
        <v>-111113.87249000848</v>
      </c>
      <c r="H120" s="345">
        <f t="shared" si="55"/>
        <v>-113625.96651812913</v>
      </c>
      <c r="I120" s="345">
        <f t="shared" si="55"/>
        <v>-115873.11119994811</v>
      </c>
      <c r="J120" s="345">
        <f t="shared" si="55"/>
        <v>-117905.90083023111</v>
      </c>
      <c r="K120" s="345">
        <f t="shared" si="55"/>
        <v>-119761.69236503149</v>
      </c>
      <c r="L120" s="345">
        <f t="shared" si="55"/>
        <v>-121558.11775050694</v>
      </c>
      <c r="M120" s="345">
        <f t="shared" si="55"/>
        <v>-123381.48951676453</v>
      </c>
      <c r="N120" s="345">
        <f t="shared" si="55"/>
        <v>-125232.21185951598</v>
      </c>
      <c r="O120" s="345">
        <f t="shared" si="55"/>
        <v>-127110.69503740872</v>
      </c>
      <c r="P120" s="345">
        <f t="shared" si="55"/>
        <v>-129017.35546296983</v>
      </c>
      <c r="Q120" s="345">
        <f t="shared" si="55"/>
        <v>-130952.61579491437</v>
      </c>
      <c r="R120" s="346">
        <f t="shared" si="55"/>
        <v>-132916.90503183808</v>
      </c>
    </row>
    <row r="121" spans="2:18">
      <c r="B121" s="347" t="s">
        <v>385</v>
      </c>
      <c r="D121" s="302">
        <f t="shared" ref="D121:R121" si="56">D93</f>
        <v>-96443.408116711304</v>
      </c>
      <c r="E121" s="302">
        <f t="shared" si="56"/>
        <v>-78800.00209189835</v>
      </c>
      <c r="F121" s="302">
        <f t="shared" si="56"/>
        <v>-66624.452458922984</v>
      </c>
      <c r="G121" s="302">
        <f t="shared" si="56"/>
        <v>-57712.725819020765</v>
      </c>
      <c r="H121" s="302">
        <f t="shared" si="56"/>
        <v>-50906.231930666137</v>
      </c>
      <c r="I121" s="302">
        <f t="shared" si="56"/>
        <v>-45537.1761860447</v>
      </c>
      <c r="J121" s="302">
        <f t="shared" si="56"/>
        <v>-41193.386563980486</v>
      </c>
      <c r="K121" s="302">
        <f t="shared" si="56"/>
        <v>-37606.615527918329</v>
      </c>
      <c r="L121" s="302">
        <f t="shared" si="56"/>
        <v>-34594.732751454227</v>
      </c>
      <c r="M121" s="302">
        <f t="shared" si="56"/>
        <v>-32029.719707468525</v>
      </c>
      <c r="N121" s="302">
        <f t="shared" si="56"/>
        <v>-29818.955657787854</v>
      </c>
      <c r="O121" s="302">
        <f t="shared" si="56"/>
        <v>-27893.770161232678</v>
      </c>
      <c r="P121" s="302">
        <f t="shared" si="56"/>
        <v>-26202.169452483067</v>
      </c>
      <c r="Q121" s="302">
        <f t="shared" si="56"/>
        <v>-24704.06247818307</v>
      </c>
      <c r="R121" s="348">
        <f t="shared" si="56"/>
        <v>-23368.038448770763</v>
      </c>
    </row>
    <row r="122" spans="2:18">
      <c r="B122" s="338" t="s">
        <v>386</v>
      </c>
      <c r="C122" s="263"/>
      <c r="D122" s="257">
        <f>D117+D120+D121</f>
        <v>690242.55001423438</v>
      </c>
      <c r="E122" s="257">
        <f t="shared" ref="E122:R122" si="57">E117+E120+E121</f>
        <v>724900.08621804975</v>
      </c>
      <c r="F122" s="257">
        <f t="shared" si="57"/>
        <v>751460.87794681685</v>
      </c>
      <c r="G122" s="257">
        <f t="shared" si="57"/>
        <v>772833.66808929003</v>
      </c>
      <c r="H122" s="257">
        <f t="shared" si="57"/>
        <v>790631.59895731299</v>
      </c>
      <c r="I122" s="257">
        <f t="shared" si="57"/>
        <v>805832.83012129494</v>
      </c>
      <c r="J122" s="257">
        <f t="shared" si="57"/>
        <v>819070.90429802379</v>
      </c>
      <c r="K122" s="257">
        <f t="shared" si="57"/>
        <v>830777.5209584235</v>
      </c>
      <c r="L122" s="257">
        <f t="shared" si="57"/>
        <v>841169.67496784753</v>
      </c>
      <c r="M122" s="257">
        <f t="shared" si="57"/>
        <v>850407.61025196908</v>
      </c>
      <c r="N122" s="257">
        <f t="shared" si="57"/>
        <v>858677.51244303805</v>
      </c>
      <c r="O122" s="257">
        <f t="shared" si="57"/>
        <v>866123.39509799704</v>
      </c>
      <c r="P122" s="257">
        <f t="shared" si="57"/>
        <v>872858.79693086061</v>
      </c>
      <c r="Q122" s="257">
        <f t="shared" si="57"/>
        <v>878974.71303132991</v>
      </c>
      <c r="R122" s="349">
        <f t="shared" si="57"/>
        <v>884545.11977058428</v>
      </c>
    </row>
    <row r="123" spans="2:18">
      <c r="B123" s="347" t="s">
        <v>387</v>
      </c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434">
        <f>R122*(1+G14)/($M$100-G14)</f>
        <v>9592022.3992216121</v>
      </c>
    </row>
    <row r="124" spans="2:18">
      <c r="B124" s="342" t="s">
        <v>398</v>
      </c>
      <c r="C124" s="350"/>
      <c r="D124" s="351">
        <f t="shared" ref="D124:Q124" si="58">D122</f>
        <v>690242.55001423438</v>
      </c>
      <c r="E124" s="351">
        <f t="shared" si="58"/>
        <v>724900.08621804975</v>
      </c>
      <c r="F124" s="351">
        <f t="shared" si="58"/>
        <v>751460.87794681685</v>
      </c>
      <c r="G124" s="351">
        <f t="shared" si="58"/>
        <v>772833.66808929003</v>
      </c>
      <c r="H124" s="351">
        <f t="shared" si="58"/>
        <v>790631.59895731299</v>
      </c>
      <c r="I124" s="351">
        <f t="shared" si="58"/>
        <v>805832.83012129494</v>
      </c>
      <c r="J124" s="351">
        <f t="shared" si="58"/>
        <v>819070.90429802379</v>
      </c>
      <c r="K124" s="351">
        <f t="shared" si="58"/>
        <v>830777.5209584235</v>
      </c>
      <c r="L124" s="351">
        <f t="shared" si="58"/>
        <v>841169.67496784753</v>
      </c>
      <c r="M124" s="351">
        <f t="shared" si="58"/>
        <v>850407.61025196908</v>
      </c>
      <c r="N124" s="351">
        <f t="shared" si="58"/>
        <v>858677.51244303805</v>
      </c>
      <c r="O124" s="351">
        <f t="shared" si="58"/>
        <v>866123.39509799704</v>
      </c>
      <c r="P124" s="351">
        <f t="shared" si="58"/>
        <v>872858.79693086061</v>
      </c>
      <c r="Q124" s="351">
        <f t="shared" si="58"/>
        <v>878974.71303132991</v>
      </c>
      <c r="R124" s="352">
        <f>R122+R123</f>
        <v>10476567.518992197</v>
      </c>
    </row>
    <row r="127" spans="2:18" s="192" customFormat="1"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P127" s="353"/>
    </row>
    <row r="129" spans="5:10">
      <c r="H129" s="304" t="s">
        <v>389</v>
      </c>
      <c r="I129" s="305" t="s">
        <v>390</v>
      </c>
      <c r="J129" s="305" t="s">
        <v>391</v>
      </c>
    </row>
    <row r="130" spans="5:10">
      <c r="E130" s="183" t="s">
        <v>392</v>
      </c>
      <c r="F130" s="227"/>
      <c r="G130" s="227"/>
      <c r="H130" s="437">
        <f>NPV(M100,D124:R124)</f>
        <v>7775152.5872054584</v>
      </c>
      <c r="I130" s="250"/>
      <c r="J130" s="250"/>
    </row>
    <row r="131" spans="5:10">
      <c r="E131" s="188" t="s">
        <v>393</v>
      </c>
      <c r="F131" s="192"/>
      <c r="G131" s="192"/>
      <c r="H131" s="447">
        <f>H101</f>
        <v>5437375</v>
      </c>
      <c r="I131" s="250"/>
      <c r="J131" s="250"/>
    </row>
    <row r="132" spans="5:10">
      <c r="E132" s="275" t="s">
        <v>394</v>
      </c>
      <c r="F132" s="276"/>
      <c r="G132" s="276"/>
      <c r="H132" s="437">
        <f>H130-H131</f>
        <v>2337777.5872054584</v>
      </c>
      <c r="I132" s="250"/>
      <c r="J132" s="250"/>
    </row>
    <row r="133" spans="5:10">
      <c r="E133" s="279" t="s">
        <v>395</v>
      </c>
      <c r="F133" s="280"/>
      <c r="G133" s="280"/>
      <c r="H133" s="306">
        <f>H132/'Plantilla Usuario'!C5</f>
        <v>2.759443348728174</v>
      </c>
      <c r="I133" s="306">
        <v>6.05</v>
      </c>
      <c r="J133" s="306">
        <v>10.1</v>
      </c>
    </row>
  </sheetData>
  <mergeCells count="9">
    <mergeCell ref="B67:B68"/>
    <mergeCell ref="B73:B74"/>
    <mergeCell ref="B110:B111"/>
    <mergeCell ref="B4:B5"/>
    <mergeCell ref="B17:B18"/>
    <mergeCell ref="B27:B28"/>
    <mergeCell ref="B37:B38"/>
    <mergeCell ref="B47:B48"/>
    <mergeCell ref="B57:B5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2561-6308-435B-AE04-5D54F2C1538F}">
  <dimension ref="A1:E195"/>
  <sheetViews>
    <sheetView showGridLines="0" zoomScaleNormal="100" workbookViewId="0">
      <selection activeCell="G11" sqref="G11"/>
    </sheetView>
  </sheetViews>
  <sheetFormatPr baseColWidth="10" defaultRowHeight="14.4"/>
  <cols>
    <col min="1" max="1" width="46.33203125" style="571" customWidth="1"/>
    <col min="3" max="3" width="14.44140625" bestFit="1" customWidth="1"/>
    <col min="4" max="4" width="20.33203125" style="571" customWidth="1"/>
    <col min="5" max="5" width="14.44140625" style="571" bestFit="1" customWidth="1"/>
  </cols>
  <sheetData>
    <row r="1" spans="1:5">
      <c r="A1" s="569" t="s">
        <v>502</v>
      </c>
      <c r="B1" s="563" t="s">
        <v>503</v>
      </c>
      <c r="C1" s="564" t="s">
        <v>504</v>
      </c>
      <c r="D1" s="569" t="s">
        <v>894</v>
      </c>
      <c r="E1" s="569" t="s">
        <v>895</v>
      </c>
    </row>
    <row r="2" spans="1:5">
      <c r="A2" s="570" t="s">
        <v>505</v>
      </c>
      <c r="B2" s="563" t="s">
        <v>506</v>
      </c>
      <c r="C2" s="564">
        <v>1196979979</v>
      </c>
      <c r="D2" s="572">
        <v>502731591.18000001</v>
      </c>
      <c r="E2" s="573">
        <f>D2/C2</f>
        <v>0.42</v>
      </c>
    </row>
    <row r="3" spans="1:5">
      <c r="A3" s="570" t="s">
        <v>507</v>
      </c>
      <c r="B3" s="563" t="s">
        <v>508</v>
      </c>
      <c r="C3" s="564">
        <v>847191731</v>
      </c>
      <c r="D3" s="572">
        <v>5972701703.5500002</v>
      </c>
      <c r="E3" s="573">
        <f t="shared" ref="E3:E66" si="0">D3/C3</f>
        <v>7.05</v>
      </c>
    </row>
    <row r="4" spans="1:5">
      <c r="A4" s="570" t="s">
        <v>509</v>
      </c>
      <c r="B4" s="563" t="s">
        <v>510</v>
      </c>
      <c r="C4" s="564">
        <v>554677</v>
      </c>
      <c r="D4" s="572">
        <v>55467700</v>
      </c>
      <c r="E4" s="573">
        <f t="shared" si="0"/>
        <v>100</v>
      </c>
    </row>
    <row r="5" spans="1:5">
      <c r="A5" s="570" t="s">
        <v>511</v>
      </c>
      <c r="B5" s="563" t="s">
        <v>512</v>
      </c>
      <c r="C5" s="564">
        <v>68835948</v>
      </c>
      <c r="D5" s="572">
        <v>28911098.16</v>
      </c>
      <c r="E5" s="573">
        <f t="shared" si="0"/>
        <v>0.42</v>
      </c>
    </row>
    <row r="6" spans="1:5">
      <c r="A6" s="570" t="s">
        <v>513</v>
      </c>
      <c r="B6" s="563" t="s">
        <v>514</v>
      </c>
      <c r="C6" s="564">
        <v>41826232</v>
      </c>
      <c r="D6" s="572">
        <v>41826232</v>
      </c>
      <c r="E6" s="573">
        <f t="shared" si="0"/>
        <v>1</v>
      </c>
    </row>
    <row r="7" spans="1:5">
      <c r="A7" s="570" t="s">
        <v>515</v>
      </c>
      <c r="B7" s="563" t="s">
        <v>516</v>
      </c>
      <c r="C7" s="564">
        <v>33270968</v>
      </c>
      <c r="D7" s="572">
        <v>349345164</v>
      </c>
      <c r="E7" s="573">
        <f t="shared" si="0"/>
        <v>10.5</v>
      </c>
    </row>
    <row r="8" spans="1:5">
      <c r="A8" s="570" t="s">
        <v>517</v>
      </c>
      <c r="B8" s="563" t="s">
        <v>518</v>
      </c>
      <c r="C8" s="564">
        <v>20882274</v>
      </c>
      <c r="D8" s="572">
        <v>6473504.9400000004</v>
      </c>
      <c r="E8" s="573">
        <f t="shared" si="0"/>
        <v>0.31</v>
      </c>
    </row>
    <row r="9" spans="1:5">
      <c r="A9" s="570" t="s">
        <v>519</v>
      </c>
      <c r="B9" s="563" t="s">
        <v>520</v>
      </c>
      <c r="C9" s="564">
        <v>11563369</v>
      </c>
      <c r="D9" s="572">
        <v>213922326.5</v>
      </c>
      <c r="E9" s="573">
        <f t="shared" si="0"/>
        <v>18.5</v>
      </c>
    </row>
    <row r="10" spans="1:5">
      <c r="A10" s="570" t="s">
        <v>521</v>
      </c>
      <c r="B10" s="563" t="s">
        <v>522</v>
      </c>
      <c r="C10" s="564">
        <v>102895336</v>
      </c>
      <c r="D10" s="572">
        <v>102895336</v>
      </c>
      <c r="E10" s="573">
        <f t="shared" si="0"/>
        <v>1</v>
      </c>
    </row>
    <row r="11" spans="1:5">
      <c r="A11" s="570" t="s">
        <v>523</v>
      </c>
      <c r="B11" s="563" t="s">
        <v>524</v>
      </c>
      <c r="C11" s="564">
        <v>28452786</v>
      </c>
      <c r="D11" s="572">
        <v>213395895</v>
      </c>
      <c r="E11" s="573">
        <f t="shared" si="0"/>
        <v>7.5</v>
      </c>
    </row>
    <row r="12" spans="1:5">
      <c r="A12" s="570" t="s">
        <v>525</v>
      </c>
      <c r="B12" s="563" t="s">
        <v>526</v>
      </c>
      <c r="C12" s="564">
        <v>66475362</v>
      </c>
      <c r="D12" s="572">
        <v>458679997.80000001</v>
      </c>
      <c r="E12" s="573">
        <f t="shared" si="0"/>
        <v>6.9</v>
      </c>
    </row>
    <row r="13" spans="1:5">
      <c r="A13" s="570" t="s">
        <v>527</v>
      </c>
      <c r="B13" s="563" t="s">
        <v>528</v>
      </c>
      <c r="C13" s="564">
        <v>237958555</v>
      </c>
      <c r="D13" s="572">
        <v>178468916.25</v>
      </c>
      <c r="E13" s="573">
        <f t="shared" si="0"/>
        <v>0.75</v>
      </c>
    </row>
    <row r="14" spans="1:5">
      <c r="A14" s="570" t="s">
        <v>529</v>
      </c>
      <c r="B14" s="563" t="s">
        <v>530</v>
      </c>
      <c r="C14" s="564">
        <v>343791248</v>
      </c>
      <c r="D14" s="572">
        <v>343791248</v>
      </c>
      <c r="E14" s="573">
        <f t="shared" si="0"/>
        <v>1</v>
      </c>
    </row>
    <row r="15" spans="1:5">
      <c r="A15" s="570" t="s">
        <v>531</v>
      </c>
      <c r="B15" s="563" t="s">
        <v>532</v>
      </c>
      <c r="C15" s="564">
        <v>688295822</v>
      </c>
      <c r="D15" s="572">
        <v>139035756.03999999</v>
      </c>
      <c r="E15" s="573">
        <f t="shared" si="0"/>
        <v>0.20199999999418852</v>
      </c>
    </row>
    <row r="16" spans="1:5">
      <c r="A16" s="570" t="s">
        <v>533</v>
      </c>
      <c r="B16" s="563" t="s">
        <v>534</v>
      </c>
      <c r="C16" s="564">
        <v>75828588</v>
      </c>
      <c r="D16" s="572">
        <v>31089721.079999998</v>
      </c>
      <c r="E16" s="573">
        <f t="shared" si="0"/>
        <v>0.41</v>
      </c>
    </row>
    <row r="17" spans="1:5">
      <c r="A17" s="570" t="s">
        <v>535</v>
      </c>
      <c r="B17" s="563" t="s">
        <v>536</v>
      </c>
      <c r="C17" s="564">
        <v>145632143</v>
      </c>
      <c r="D17" s="572">
        <v>2038850</v>
      </c>
      <c r="E17" s="573">
        <f t="shared" si="0"/>
        <v>1.3999999986266769E-2</v>
      </c>
    </row>
    <row r="18" spans="1:5">
      <c r="A18" s="570" t="s">
        <v>537</v>
      </c>
      <c r="B18" s="563" t="s">
        <v>538</v>
      </c>
      <c r="C18" s="564">
        <v>403406088</v>
      </c>
      <c r="D18" s="572">
        <v>229941470.16</v>
      </c>
      <c r="E18" s="573">
        <f t="shared" si="0"/>
        <v>0.56999999999999995</v>
      </c>
    </row>
    <row r="19" spans="1:5">
      <c r="A19" s="570" t="s">
        <v>539</v>
      </c>
      <c r="B19" s="563" t="s">
        <v>540</v>
      </c>
      <c r="C19" s="564">
        <v>259003254</v>
      </c>
      <c r="D19" s="572">
        <v>375554718.30000001</v>
      </c>
      <c r="E19" s="573">
        <f t="shared" si="0"/>
        <v>1.45</v>
      </c>
    </row>
    <row r="20" spans="1:5">
      <c r="A20" s="570" t="s">
        <v>541</v>
      </c>
      <c r="B20" s="563" t="s">
        <v>542</v>
      </c>
      <c r="C20" s="564">
        <v>72139727</v>
      </c>
      <c r="D20" s="572">
        <v>72139727</v>
      </c>
      <c r="E20" s="573">
        <f t="shared" si="0"/>
        <v>1</v>
      </c>
    </row>
    <row r="21" spans="1:5">
      <c r="A21" s="570" t="s">
        <v>543</v>
      </c>
      <c r="B21" s="563" t="s">
        <v>544</v>
      </c>
      <c r="C21" s="564">
        <v>12907627</v>
      </c>
      <c r="D21" s="572">
        <v>12907627</v>
      </c>
      <c r="E21" s="573">
        <f t="shared" si="0"/>
        <v>1</v>
      </c>
    </row>
    <row r="22" spans="1:5">
      <c r="A22" s="570" t="s">
        <v>545</v>
      </c>
      <c r="B22" s="563" t="s">
        <v>546</v>
      </c>
      <c r="C22" s="564">
        <v>8147210701</v>
      </c>
      <c r="D22" s="572">
        <v>12465232372.530001</v>
      </c>
      <c r="E22" s="573">
        <f t="shared" si="0"/>
        <v>1.53</v>
      </c>
    </row>
    <row r="23" spans="1:5">
      <c r="A23" s="570" t="s">
        <v>547</v>
      </c>
      <c r="B23" s="563" t="s">
        <v>548</v>
      </c>
      <c r="C23" s="564">
        <v>231910000</v>
      </c>
      <c r="D23" s="572">
        <v>498606500</v>
      </c>
      <c r="E23" s="573">
        <f t="shared" si="0"/>
        <v>2.15</v>
      </c>
    </row>
    <row r="24" spans="1:5">
      <c r="A24" s="570" t="s">
        <v>549</v>
      </c>
      <c r="B24" s="563" t="s">
        <v>550</v>
      </c>
      <c r="C24" s="564">
        <v>362692970</v>
      </c>
      <c r="D24" s="572">
        <v>362692970</v>
      </c>
      <c r="E24" s="573">
        <f t="shared" si="0"/>
        <v>1</v>
      </c>
    </row>
    <row r="25" spans="1:5">
      <c r="A25" s="570" t="s">
        <v>551</v>
      </c>
      <c r="B25" s="563" t="s">
        <v>552</v>
      </c>
      <c r="C25" s="564">
        <v>12176364760</v>
      </c>
      <c r="D25" s="572">
        <v>33728530385.200001</v>
      </c>
      <c r="E25" s="573">
        <f t="shared" si="0"/>
        <v>2.77</v>
      </c>
    </row>
    <row r="26" spans="1:5">
      <c r="A26" s="570" t="s">
        <v>553</v>
      </c>
      <c r="B26" s="563" t="s">
        <v>554</v>
      </c>
      <c r="C26" s="564">
        <v>807926584</v>
      </c>
      <c r="D26" s="572">
        <v>807926584</v>
      </c>
      <c r="E26" s="573">
        <f t="shared" si="0"/>
        <v>1</v>
      </c>
    </row>
    <row r="27" spans="1:5">
      <c r="A27" s="570" t="s">
        <v>555</v>
      </c>
      <c r="B27" s="563" t="s">
        <v>556</v>
      </c>
      <c r="C27" s="564">
        <v>628850316</v>
      </c>
      <c r="D27" s="572">
        <v>628850316</v>
      </c>
      <c r="E27" s="573">
        <f t="shared" si="0"/>
        <v>1</v>
      </c>
    </row>
    <row r="28" spans="1:5">
      <c r="A28" s="570" t="s">
        <v>557</v>
      </c>
      <c r="B28" s="563" t="s">
        <v>558</v>
      </c>
      <c r="C28" s="564">
        <v>44516893</v>
      </c>
      <c r="D28" s="572">
        <v>1335506790</v>
      </c>
      <c r="E28" s="573">
        <f t="shared" si="0"/>
        <v>30</v>
      </c>
    </row>
    <row r="29" spans="1:5">
      <c r="A29" s="570" t="s">
        <v>559</v>
      </c>
      <c r="B29" s="563" t="s">
        <v>560</v>
      </c>
      <c r="C29" s="564">
        <v>5910626850</v>
      </c>
      <c r="D29" s="572">
        <v>10993765941</v>
      </c>
      <c r="E29" s="573">
        <f t="shared" si="0"/>
        <v>1.86</v>
      </c>
    </row>
    <row r="30" spans="1:5">
      <c r="A30" s="570" t="s">
        <v>561</v>
      </c>
      <c r="B30" s="563" t="s">
        <v>562</v>
      </c>
      <c r="C30" s="564">
        <v>1097093881</v>
      </c>
      <c r="D30" s="572">
        <v>548546940.5</v>
      </c>
      <c r="E30" s="573">
        <f t="shared" si="0"/>
        <v>0.5</v>
      </c>
    </row>
    <row r="31" spans="1:5">
      <c r="A31" s="570" t="s">
        <v>563</v>
      </c>
      <c r="B31" s="563" t="s">
        <v>564</v>
      </c>
      <c r="C31" s="564">
        <v>413057695</v>
      </c>
      <c r="D31" s="572">
        <v>413057695</v>
      </c>
      <c r="E31" s="573">
        <f t="shared" si="0"/>
        <v>1</v>
      </c>
    </row>
    <row r="32" spans="1:5">
      <c r="A32" s="570" t="s">
        <v>565</v>
      </c>
      <c r="B32" s="563" t="s">
        <v>566</v>
      </c>
      <c r="C32" s="564">
        <v>682506938</v>
      </c>
      <c r="D32" s="572">
        <v>682506938</v>
      </c>
      <c r="E32" s="573">
        <f t="shared" si="0"/>
        <v>1</v>
      </c>
    </row>
    <row r="33" spans="1:5">
      <c r="A33" s="570" t="s">
        <v>567</v>
      </c>
      <c r="B33" s="563" t="s">
        <v>568</v>
      </c>
      <c r="C33" s="564">
        <v>265200064</v>
      </c>
      <c r="D33" s="572">
        <v>265200064</v>
      </c>
      <c r="E33" s="573">
        <f t="shared" si="0"/>
        <v>1</v>
      </c>
    </row>
    <row r="34" spans="1:5">
      <c r="A34" s="570" t="s">
        <v>569</v>
      </c>
      <c r="B34" s="563" t="s">
        <v>570</v>
      </c>
      <c r="C34" s="564">
        <v>897140</v>
      </c>
      <c r="D34" s="572">
        <v>12649674</v>
      </c>
      <c r="E34" s="573">
        <f t="shared" si="0"/>
        <v>14.1</v>
      </c>
    </row>
    <row r="35" spans="1:5">
      <c r="A35" s="570" t="s">
        <v>571</v>
      </c>
      <c r="B35" s="563" t="s">
        <v>572</v>
      </c>
      <c r="C35" s="564">
        <v>171365386</v>
      </c>
      <c r="D35" s="572">
        <v>61691538.960000001</v>
      </c>
      <c r="E35" s="573">
        <f t="shared" si="0"/>
        <v>0.36</v>
      </c>
    </row>
    <row r="36" spans="1:5">
      <c r="A36" s="570" t="s">
        <v>573</v>
      </c>
      <c r="B36" s="563" t="s">
        <v>574</v>
      </c>
      <c r="C36" s="564">
        <v>248771812</v>
      </c>
      <c r="D36" s="572">
        <v>248771812</v>
      </c>
      <c r="E36" s="573">
        <f t="shared" si="0"/>
        <v>1</v>
      </c>
    </row>
    <row r="37" spans="1:5">
      <c r="A37" s="570" t="s">
        <v>575</v>
      </c>
      <c r="B37" s="563" t="s">
        <v>576</v>
      </c>
      <c r="C37" s="564">
        <v>13010000</v>
      </c>
      <c r="D37" s="572">
        <v>13010000</v>
      </c>
      <c r="E37" s="573">
        <f t="shared" si="0"/>
        <v>1</v>
      </c>
    </row>
    <row r="38" spans="1:5">
      <c r="A38" s="570" t="s">
        <v>577</v>
      </c>
      <c r="B38" s="563" t="s">
        <v>578</v>
      </c>
      <c r="C38" s="564">
        <v>729419204</v>
      </c>
      <c r="D38" s="572">
        <v>729419204</v>
      </c>
      <c r="E38" s="573">
        <f t="shared" si="0"/>
        <v>1</v>
      </c>
    </row>
    <row r="39" spans="1:5">
      <c r="A39" s="570" t="s">
        <v>579</v>
      </c>
      <c r="B39" s="563" t="s">
        <v>580</v>
      </c>
      <c r="C39" s="564">
        <v>73816896</v>
      </c>
      <c r="D39" s="572">
        <v>97438302.719999999</v>
      </c>
      <c r="E39" s="573">
        <f t="shared" si="0"/>
        <v>1.32</v>
      </c>
    </row>
    <row r="40" spans="1:5">
      <c r="A40" s="570" t="s">
        <v>581</v>
      </c>
      <c r="B40" s="563" t="s">
        <v>582</v>
      </c>
      <c r="C40" s="564">
        <v>20675896</v>
      </c>
      <c r="D40" s="572">
        <v>1095822488</v>
      </c>
      <c r="E40" s="573">
        <f t="shared" si="0"/>
        <v>53</v>
      </c>
    </row>
    <row r="41" spans="1:5">
      <c r="A41" s="570" t="s">
        <v>583</v>
      </c>
      <c r="B41" s="563" t="s">
        <v>584</v>
      </c>
      <c r="C41" s="564">
        <v>84234550</v>
      </c>
      <c r="D41" s="572">
        <v>825498590</v>
      </c>
      <c r="E41" s="573">
        <f t="shared" si="0"/>
        <v>9.8000000000000007</v>
      </c>
    </row>
    <row r="42" spans="1:5">
      <c r="A42" s="570" t="s">
        <v>585</v>
      </c>
      <c r="B42" s="563" t="s">
        <v>586</v>
      </c>
      <c r="C42" s="564">
        <v>80435489</v>
      </c>
      <c r="D42" s="572">
        <v>80435489</v>
      </c>
      <c r="E42" s="573">
        <f t="shared" si="0"/>
        <v>1</v>
      </c>
    </row>
    <row r="43" spans="1:5">
      <c r="A43" s="570" t="s">
        <v>587</v>
      </c>
      <c r="B43" s="563" t="s">
        <v>588</v>
      </c>
      <c r="C43" s="564">
        <v>29950385</v>
      </c>
      <c r="D43" s="572">
        <v>110816424.5</v>
      </c>
      <c r="E43" s="573">
        <f t="shared" si="0"/>
        <v>3.7</v>
      </c>
    </row>
    <row r="44" spans="1:5">
      <c r="A44" s="570" t="s">
        <v>589</v>
      </c>
      <c r="B44" s="563" t="s">
        <v>590</v>
      </c>
      <c r="C44" s="564">
        <v>423868449</v>
      </c>
      <c r="D44" s="572">
        <v>1627654844.1600001</v>
      </c>
      <c r="E44" s="573">
        <f t="shared" si="0"/>
        <v>3.8400000000000003</v>
      </c>
    </row>
    <row r="45" spans="1:5">
      <c r="A45" s="570" t="s">
        <v>591</v>
      </c>
      <c r="B45" s="563" t="s">
        <v>592</v>
      </c>
      <c r="C45" s="564">
        <v>2342501</v>
      </c>
      <c r="D45" s="572">
        <v>7027503</v>
      </c>
      <c r="E45" s="573">
        <f t="shared" si="0"/>
        <v>3</v>
      </c>
    </row>
    <row r="46" spans="1:5">
      <c r="A46" s="570" t="s">
        <v>593</v>
      </c>
      <c r="B46" s="563" t="s">
        <v>594</v>
      </c>
      <c r="C46" s="564">
        <v>84406241</v>
      </c>
      <c r="D46" s="572">
        <v>3198996533.9000001</v>
      </c>
      <c r="E46" s="573">
        <f t="shared" si="0"/>
        <v>37.9</v>
      </c>
    </row>
    <row r="47" spans="1:5">
      <c r="A47" s="570" t="s">
        <v>595</v>
      </c>
      <c r="B47" s="563" t="s">
        <v>596</v>
      </c>
      <c r="C47" s="564">
        <v>6800000</v>
      </c>
      <c r="D47" s="572">
        <v>69360000</v>
      </c>
      <c r="E47" s="573">
        <f t="shared" si="0"/>
        <v>10.199999999999999</v>
      </c>
    </row>
    <row r="48" spans="1:5">
      <c r="A48" s="570" t="s">
        <v>597</v>
      </c>
      <c r="B48" s="563" t="s">
        <v>598</v>
      </c>
      <c r="C48" s="564">
        <v>72401132</v>
      </c>
      <c r="D48" s="572">
        <v>166275932.94</v>
      </c>
      <c r="E48" s="573">
        <f t="shared" si="0"/>
        <v>2.2965929999547519</v>
      </c>
    </row>
    <row r="49" spans="1:5">
      <c r="A49" s="570" t="s">
        <v>599</v>
      </c>
      <c r="B49" s="563" t="s">
        <v>600</v>
      </c>
      <c r="C49" s="564">
        <v>443174687</v>
      </c>
      <c r="D49" s="572">
        <v>443174687</v>
      </c>
      <c r="E49" s="573">
        <f t="shared" si="0"/>
        <v>1</v>
      </c>
    </row>
    <row r="50" spans="1:5">
      <c r="A50" s="570" t="s">
        <v>601</v>
      </c>
      <c r="B50" s="563" t="s">
        <v>602</v>
      </c>
      <c r="C50" s="564">
        <v>31141042</v>
      </c>
      <c r="D50" s="572">
        <v>818386583.75999999</v>
      </c>
      <c r="E50" s="573">
        <f t="shared" si="0"/>
        <v>26.28</v>
      </c>
    </row>
    <row r="51" spans="1:5">
      <c r="A51" s="570" t="s">
        <v>603</v>
      </c>
      <c r="B51" s="563" t="s">
        <v>604</v>
      </c>
      <c r="C51" s="564">
        <v>24229804</v>
      </c>
      <c r="D51" s="572">
        <v>646208872.67999995</v>
      </c>
      <c r="E51" s="573">
        <f t="shared" si="0"/>
        <v>26.669999999999998</v>
      </c>
    </row>
    <row r="52" spans="1:5">
      <c r="A52" s="570" t="s">
        <v>605</v>
      </c>
      <c r="B52" s="563" t="s">
        <v>606</v>
      </c>
      <c r="C52" s="564">
        <v>274889924</v>
      </c>
      <c r="D52" s="572">
        <v>7279085187.5200005</v>
      </c>
      <c r="E52" s="573">
        <f t="shared" si="0"/>
        <v>26.48</v>
      </c>
    </row>
    <row r="53" spans="1:5">
      <c r="A53" s="570" t="s">
        <v>607</v>
      </c>
      <c r="B53" s="563" t="s">
        <v>608</v>
      </c>
      <c r="C53" s="564">
        <v>600000000</v>
      </c>
      <c r="D53" s="572">
        <v>4710000000</v>
      </c>
      <c r="E53" s="573">
        <f t="shared" si="0"/>
        <v>7.85</v>
      </c>
    </row>
    <row r="54" spans="1:5">
      <c r="A54" s="570" t="s">
        <v>609</v>
      </c>
      <c r="B54" s="563" t="s">
        <v>610</v>
      </c>
      <c r="C54" s="564">
        <v>119347801</v>
      </c>
      <c r="D54" s="572">
        <v>89510850.75</v>
      </c>
      <c r="E54" s="573">
        <f t="shared" si="0"/>
        <v>0.75</v>
      </c>
    </row>
    <row r="55" spans="1:5">
      <c r="A55" s="570" t="s">
        <v>611</v>
      </c>
      <c r="B55" s="563" t="s">
        <v>612</v>
      </c>
      <c r="C55" s="564">
        <v>664671</v>
      </c>
      <c r="D55" s="572">
        <v>109006044</v>
      </c>
      <c r="E55" s="573">
        <f t="shared" si="0"/>
        <v>164</v>
      </c>
    </row>
    <row r="56" spans="1:5">
      <c r="A56" s="570" t="s">
        <v>613</v>
      </c>
      <c r="B56" s="563" t="s">
        <v>614</v>
      </c>
      <c r="C56" s="564">
        <v>86026412</v>
      </c>
      <c r="D56" s="572">
        <v>26668187.719999999</v>
      </c>
      <c r="E56" s="573">
        <f t="shared" si="0"/>
        <v>0.31</v>
      </c>
    </row>
    <row r="57" spans="1:5">
      <c r="A57" s="570" t="s">
        <v>615</v>
      </c>
      <c r="B57" s="563" t="s">
        <v>616</v>
      </c>
      <c r="C57" s="564">
        <v>25914091</v>
      </c>
      <c r="D57" s="572">
        <v>81629386.650000006</v>
      </c>
      <c r="E57" s="573">
        <f t="shared" si="0"/>
        <v>3.1500000000000004</v>
      </c>
    </row>
    <row r="58" spans="1:5">
      <c r="A58" s="570" t="s">
        <v>617</v>
      </c>
      <c r="B58" s="563" t="s">
        <v>618</v>
      </c>
      <c r="C58" s="564">
        <v>2030381</v>
      </c>
      <c r="D58" s="572">
        <v>2030381</v>
      </c>
      <c r="E58" s="573">
        <f t="shared" si="0"/>
        <v>1</v>
      </c>
    </row>
    <row r="59" spans="1:5">
      <c r="A59" s="570" t="s">
        <v>619</v>
      </c>
      <c r="B59" s="563" t="s">
        <v>620</v>
      </c>
      <c r="C59" s="564">
        <v>890858308</v>
      </c>
      <c r="D59" s="572">
        <v>1692630785.2</v>
      </c>
      <c r="E59" s="573">
        <f t="shared" si="0"/>
        <v>1.9000000000000001</v>
      </c>
    </row>
    <row r="60" spans="1:5">
      <c r="A60" s="570" t="s">
        <v>621</v>
      </c>
      <c r="B60" s="563" t="s">
        <v>622</v>
      </c>
      <c r="C60" s="564">
        <v>22776389</v>
      </c>
      <c r="D60" s="572">
        <v>136658334</v>
      </c>
      <c r="E60" s="573">
        <f t="shared" si="0"/>
        <v>6</v>
      </c>
    </row>
    <row r="61" spans="1:5">
      <c r="A61" s="570" t="s">
        <v>623</v>
      </c>
      <c r="B61" s="563" t="s">
        <v>624</v>
      </c>
      <c r="C61" s="564">
        <v>572639700</v>
      </c>
      <c r="D61" s="572">
        <v>572639700</v>
      </c>
      <c r="E61" s="573">
        <f t="shared" si="0"/>
        <v>1</v>
      </c>
    </row>
    <row r="62" spans="1:5">
      <c r="A62" s="570" t="s">
        <v>625</v>
      </c>
      <c r="B62" s="563" t="s">
        <v>626</v>
      </c>
      <c r="C62" s="564">
        <v>65586202</v>
      </c>
      <c r="D62" s="572">
        <v>65586202</v>
      </c>
      <c r="E62" s="573">
        <f t="shared" si="0"/>
        <v>1</v>
      </c>
    </row>
    <row r="63" spans="1:5">
      <c r="A63" s="570" t="s">
        <v>627</v>
      </c>
      <c r="B63" s="563" t="s">
        <v>628</v>
      </c>
      <c r="C63" s="564">
        <v>133526667</v>
      </c>
      <c r="D63" s="572">
        <v>333816667.5</v>
      </c>
      <c r="E63" s="573">
        <f t="shared" si="0"/>
        <v>2.5</v>
      </c>
    </row>
    <row r="64" spans="1:5">
      <c r="A64" s="570" t="s">
        <v>629</v>
      </c>
      <c r="B64" s="563" t="s">
        <v>630</v>
      </c>
      <c r="C64" s="564">
        <v>94382317</v>
      </c>
      <c r="D64" s="572">
        <v>14657573830.1</v>
      </c>
      <c r="E64" s="573">
        <f t="shared" si="0"/>
        <v>155.30000000000001</v>
      </c>
    </row>
    <row r="65" spans="1:5">
      <c r="A65" s="570" t="s">
        <v>631</v>
      </c>
      <c r="B65" s="563" t="s">
        <v>632</v>
      </c>
      <c r="C65" s="564">
        <v>83931586</v>
      </c>
      <c r="D65" s="572">
        <v>528768991.80000001</v>
      </c>
      <c r="E65" s="573">
        <f t="shared" si="0"/>
        <v>6.3</v>
      </c>
    </row>
    <row r="66" spans="1:5">
      <c r="A66" s="570" t="s">
        <v>633</v>
      </c>
      <c r="B66" s="563" t="s">
        <v>634</v>
      </c>
      <c r="C66" s="564">
        <v>163194418</v>
      </c>
      <c r="D66" s="572">
        <v>114236092.59999999</v>
      </c>
      <c r="E66" s="573">
        <f t="shared" si="0"/>
        <v>0.7</v>
      </c>
    </row>
    <row r="67" spans="1:5">
      <c r="A67" s="570" t="s">
        <v>635</v>
      </c>
      <c r="B67" s="563" t="s">
        <v>636</v>
      </c>
      <c r="C67" s="564">
        <v>106855061</v>
      </c>
      <c r="D67" s="572">
        <v>106855061</v>
      </c>
      <c r="E67" s="573">
        <f t="shared" ref="E67:E130" si="1">D67/C67</f>
        <v>1</v>
      </c>
    </row>
    <row r="68" spans="1:5">
      <c r="A68" s="570" t="s">
        <v>637</v>
      </c>
      <c r="B68" s="563" t="s">
        <v>638</v>
      </c>
      <c r="C68" s="564">
        <v>454516911</v>
      </c>
      <c r="D68" s="572">
        <v>313616668.58999997</v>
      </c>
      <c r="E68" s="573">
        <f t="shared" si="1"/>
        <v>0.69</v>
      </c>
    </row>
    <row r="69" spans="1:5">
      <c r="A69" s="570" t="s">
        <v>639</v>
      </c>
      <c r="B69" s="563" t="s">
        <v>640</v>
      </c>
      <c r="C69" s="564">
        <v>67512260</v>
      </c>
      <c r="D69" s="572">
        <v>67512260</v>
      </c>
      <c r="E69" s="573">
        <f t="shared" si="1"/>
        <v>1</v>
      </c>
    </row>
    <row r="70" spans="1:5">
      <c r="A70" s="570" t="s">
        <v>641</v>
      </c>
      <c r="B70" s="563" t="s">
        <v>642</v>
      </c>
      <c r="C70" s="564">
        <v>170269928</v>
      </c>
      <c r="D70" s="572">
        <v>44383581.049999997</v>
      </c>
      <c r="E70" s="573">
        <f t="shared" si="1"/>
        <v>0.26066599998797202</v>
      </c>
    </row>
    <row r="71" spans="1:5">
      <c r="A71" s="570" t="s">
        <v>643</v>
      </c>
      <c r="B71" s="563" t="s">
        <v>644</v>
      </c>
      <c r="C71" s="564">
        <v>11474673</v>
      </c>
      <c r="D71" s="572">
        <v>11474673</v>
      </c>
      <c r="E71" s="573">
        <f t="shared" si="1"/>
        <v>1</v>
      </c>
    </row>
    <row r="72" spans="1:5">
      <c r="A72" s="570" t="s">
        <v>645</v>
      </c>
      <c r="B72" s="563" t="s">
        <v>646</v>
      </c>
      <c r="C72" s="564">
        <v>11761594</v>
      </c>
      <c r="D72" s="572">
        <v>8115499.8600000003</v>
      </c>
      <c r="E72" s="573">
        <f t="shared" si="1"/>
        <v>0.69000000000000006</v>
      </c>
    </row>
    <row r="73" spans="1:5">
      <c r="A73" s="570" t="s">
        <v>647</v>
      </c>
      <c r="B73" s="563" t="s">
        <v>648</v>
      </c>
      <c r="C73" s="564">
        <v>87203360</v>
      </c>
      <c r="D73" s="572">
        <v>12208470.4</v>
      </c>
      <c r="E73" s="573">
        <f t="shared" si="1"/>
        <v>0.14000000000000001</v>
      </c>
    </row>
    <row r="74" spans="1:5">
      <c r="A74" s="570" t="s">
        <v>649</v>
      </c>
      <c r="B74" s="563" t="s">
        <v>650</v>
      </c>
      <c r="C74" s="564">
        <v>35604066</v>
      </c>
      <c r="D74" s="572">
        <v>55186302.299999997</v>
      </c>
      <c r="E74" s="573">
        <f t="shared" si="1"/>
        <v>1.5499999999999998</v>
      </c>
    </row>
    <row r="75" spans="1:5">
      <c r="A75" s="570" t="s">
        <v>651</v>
      </c>
      <c r="B75" s="563" t="s">
        <v>652</v>
      </c>
      <c r="C75" s="564">
        <v>227462392</v>
      </c>
      <c r="D75" s="572">
        <v>79611837.200000003</v>
      </c>
      <c r="E75" s="573">
        <f t="shared" si="1"/>
        <v>0.35000000000000003</v>
      </c>
    </row>
    <row r="76" spans="1:5">
      <c r="A76" s="570" t="s">
        <v>653</v>
      </c>
      <c r="B76" s="563" t="s">
        <v>654</v>
      </c>
      <c r="C76" s="564">
        <v>177742</v>
      </c>
      <c r="D76" s="572">
        <v>888710</v>
      </c>
      <c r="E76" s="573">
        <f t="shared" si="1"/>
        <v>5</v>
      </c>
    </row>
    <row r="77" spans="1:5">
      <c r="A77" s="570" t="s">
        <v>655</v>
      </c>
      <c r="B77" s="563" t="s">
        <v>656</v>
      </c>
      <c r="C77" s="564">
        <v>40027048</v>
      </c>
      <c r="D77" s="572">
        <v>40027048</v>
      </c>
      <c r="E77" s="573">
        <f t="shared" si="1"/>
        <v>1</v>
      </c>
    </row>
    <row r="78" spans="1:5">
      <c r="A78" s="570" t="s">
        <v>657</v>
      </c>
      <c r="B78" s="563" t="s">
        <v>658</v>
      </c>
      <c r="C78" s="564">
        <v>2559318</v>
      </c>
      <c r="D78" s="572">
        <v>2559318</v>
      </c>
      <c r="E78" s="573">
        <f t="shared" si="1"/>
        <v>1</v>
      </c>
    </row>
    <row r="79" spans="1:5">
      <c r="A79" s="570" t="s">
        <v>659</v>
      </c>
      <c r="B79" s="563" t="s">
        <v>660</v>
      </c>
      <c r="C79" s="564">
        <v>4808524</v>
      </c>
      <c r="D79" s="572">
        <v>2500432.48</v>
      </c>
      <c r="E79" s="573">
        <f t="shared" si="1"/>
        <v>0.52</v>
      </c>
    </row>
    <row r="80" spans="1:5">
      <c r="A80" s="570" t="s">
        <v>661</v>
      </c>
      <c r="B80" s="563" t="s">
        <v>662</v>
      </c>
      <c r="C80" s="564">
        <v>3412127</v>
      </c>
      <c r="D80" s="572">
        <v>32688176.66</v>
      </c>
      <c r="E80" s="573">
        <f t="shared" si="1"/>
        <v>9.58</v>
      </c>
    </row>
    <row r="81" spans="1:5">
      <c r="A81" s="570" t="s">
        <v>663</v>
      </c>
      <c r="B81" s="563" t="s">
        <v>664</v>
      </c>
      <c r="C81" s="564">
        <v>315110369</v>
      </c>
      <c r="D81" s="572">
        <v>94848221.069999993</v>
      </c>
      <c r="E81" s="573">
        <f t="shared" si="1"/>
        <v>0.30100000000317345</v>
      </c>
    </row>
    <row r="82" spans="1:5">
      <c r="A82" s="570" t="s">
        <v>665</v>
      </c>
      <c r="B82" s="563" t="s">
        <v>666</v>
      </c>
      <c r="C82" s="564">
        <v>33822845</v>
      </c>
      <c r="D82" s="572">
        <v>27396504.449999999</v>
      </c>
      <c r="E82" s="573">
        <f t="shared" si="1"/>
        <v>0.80999999999999994</v>
      </c>
    </row>
    <row r="83" spans="1:5">
      <c r="A83" s="570" t="s">
        <v>667</v>
      </c>
      <c r="B83" s="563" t="s">
        <v>668</v>
      </c>
      <c r="C83" s="564">
        <v>4369972</v>
      </c>
      <c r="D83" s="572">
        <v>13109916</v>
      </c>
      <c r="E83" s="573">
        <f t="shared" si="1"/>
        <v>3</v>
      </c>
    </row>
    <row r="84" spans="1:5">
      <c r="A84" s="570" t="s">
        <v>669</v>
      </c>
      <c r="B84" s="563" t="s">
        <v>670</v>
      </c>
      <c r="C84" s="564">
        <v>31929661</v>
      </c>
      <c r="D84" s="572">
        <v>31929661</v>
      </c>
      <c r="E84" s="573">
        <f t="shared" si="1"/>
        <v>1</v>
      </c>
    </row>
    <row r="85" spans="1:5">
      <c r="A85" s="570" t="s">
        <v>671</v>
      </c>
      <c r="B85" s="563" t="s">
        <v>672</v>
      </c>
      <c r="C85" s="564">
        <v>13276415</v>
      </c>
      <c r="D85" s="572">
        <v>13276415</v>
      </c>
      <c r="E85" s="573">
        <f t="shared" si="1"/>
        <v>1</v>
      </c>
    </row>
    <row r="86" spans="1:5">
      <c r="A86" s="570" t="s">
        <v>673</v>
      </c>
      <c r="B86" s="563" t="s">
        <v>674</v>
      </c>
      <c r="C86" s="564">
        <v>35794872</v>
      </c>
      <c r="D86" s="572">
        <v>30425641.199999999</v>
      </c>
      <c r="E86" s="573">
        <f t="shared" si="1"/>
        <v>0.85</v>
      </c>
    </row>
    <row r="87" spans="1:5">
      <c r="A87" s="570" t="s">
        <v>675</v>
      </c>
      <c r="B87" s="563" t="s">
        <v>676</v>
      </c>
      <c r="C87" s="564">
        <v>216264562</v>
      </c>
      <c r="D87" s="572">
        <v>216264562</v>
      </c>
      <c r="E87" s="573">
        <f t="shared" si="1"/>
        <v>1</v>
      </c>
    </row>
    <row r="88" spans="1:5">
      <c r="A88" s="570" t="s">
        <v>677</v>
      </c>
      <c r="B88" s="563" t="s">
        <v>678</v>
      </c>
      <c r="C88" s="564">
        <v>13396725</v>
      </c>
      <c r="D88" s="572">
        <v>13396725</v>
      </c>
      <c r="E88" s="573">
        <f t="shared" si="1"/>
        <v>1</v>
      </c>
    </row>
    <row r="89" spans="1:5">
      <c r="A89" s="570" t="s">
        <v>679</v>
      </c>
      <c r="B89" s="563" t="s">
        <v>680</v>
      </c>
      <c r="C89" s="564">
        <v>700000000</v>
      </c>
      <c r="D89" s="572">
        <v>875000000</v>
      </c>
      <c r="E89" s="573">
        <f t="shared" si="1"/>
        <v>1.25</v>
      </c>
    </row>
    <row r="90" spans="1:5">
      <c r="A90" s="570" t="s">
        <v>681</v>
      </c>
      <c r="B90" s="563" t="s">
        <v>682</v>
      </c>
      <c r="C90" s="564">
        <v>3033046862</v>
      </c>
      <c r="D90" s="572">
        <v>10251698393.559999</v>
      </c>
      <c r="E90" s="573">
        <f t="shared" si="1"/>
        <v>3.38</v>
      </c>
    </row>
    <row r="91" spans="1:5">
      <c r="A91" s="570" t="s">
        <v>683</v>
      </c>
      <c r="B91" s="563" t="s">
        <v>684</v>
      </c>
      <c r="C91" s="564">
        <v>1747842348</v>
      </c>
      <c r="D91" s="572">
        <v>6938934121.5600004</v>
      </c>
      <c r="E91" s="573">
        <f t="shared" si="1"/>
        <v>3.97</v>
      </c>
    </row>
    <row r="92" spans="1:5">
      <c r="A92" s="570" t="s">
        <v>685</v>
      </c>
      <c r="B92" s="563" t="s">
        <v>686</v>
      </c>
      <c r="C92" s="564">
        <v>29593037</v>
      </c>
      <c r="D92" s="572">
        <v>469641497.19</v>
      </c>
      <c r="E92" s="573">
        <f t="shared" si="1"/>
        <v>15.87</v>
      </c>
    </row>
    <row r="93" spans="1:5">
      <c r="A93" s="570" t="s">
        <v>687</v>
      </c>
      <c r="B93" s="563" t="s">
        <v>688</v>
      </c>
      <c r="C93" s="564">
        <v>219815102</v>
      </c>
      <c r="D93" s="572">
        <v>22421140.399999999</v>
      </c>
      <c r="E93" s="573">
        <f t="shared" si="1"/>
        <v>0.10199999998180288</v>
      </c>
    </row>
    <row r="94" spans="1:5">
      <c r="A94" s="570" t="s">
        <v>689</v>
      </c>
      <c r="B94" s="563" t="s">
        <v>690</v>
      </c>
      <c r="C94" s="564">
        <v>601370011</v>
      </c>
      <c r="D94" s="572">
        <v>2868534952.4699998</v>
      </c>
      <c r="E94" s="573">
        <f t="shared" si="1"/>
        <v>4.7699999999999996</v>
      </c>
    </row>
    <row r="95" spans="1:5">
      <c r="A95" s="570" t="s">
        <v>691</v>
      </c>
      <c r="B95" s="563" t="s">
        <v>692</v>
      </c>
      <c r="C95" s="564">
        <v>218364751</v>
      </c>
      <c r="D95" s="572">
        <v>218364751</v>
      </c>
      <c r="E95" s="573">
        <f t="shared" si="1"/>
        <v>1</v>
      </c>
    </row>
    <row r="96" spans="1:5">
      <c r="A96" s="570" t="s">
        <v>693</v>
      </c>
      <c r="B96" s="563" t="s">
        <v>694</v>
      </c>
      <c r="C96" s="564">
        <v>22680289</v>
      </c>
      <c r="D96" s="572">
        <v>10206130.050000001</v>
      </c>
      <c r="E96" s="573">
        <f t="shared" si="1"/>
        <v>0.45</v>
      </c>
    </row>
    <row r="97" spans="1:5">
      <c r="A97" s="570" t="s">
        <v>695</v>
      </c>
      <c r="B97" s="563" t="s">
        <v>696</v>
      </c>
      <c r="C97" s="564">
        <v>5177620</v>
      </c>
      <c r="D97" s="572">
        <v>8387744.4000000004</v>
      </c>
      <c r="E97" s="573">
        <f t="shared" si="1"/>
        <v>1.62</v>
      </c>
    </row>
    <row r="98" spans="1:5">
      <c r="A98" s="570" t="s">
        <v>697</v>
      </c>
      <c r="B98" s="563" t="s">
        <v>698</v>
      </c>
      <c r="C98" s="564">
        <v>5156056091</v>
      </c>
      <c r="D98" s="572">
        <v>2428502418.8600001</v>
      </c>
      <c r="E98" s="573">
        <f t="shared" si="1"/>
        <v>0.47099999999980607</v>
      </c>
    </row>
    <row r="99" spans="1:5">
      <c r="A99" s="570" t="s">
        <v>699</v>
      </c>
      <c r="B99" s="563" t="s">
        <v>700</v>
      </c>
      <c r="C99" s="564">
        <v>946063288</v>
      </c>
      <c r="D99" s="572">
        <v>2223248726.8000002</v>
      </c>
      <c r="E99" s="573">
        <f t="shared" si="1"/>
        <v>2.35</v>
      </c>
    </row>
    <row r="100" spans="1:5">
      <c r="A100" s="570" t="s">
        <v>701</v>
      </c>
      <c r="B100" s="563" t="s">
        <v>702</v>
      </c>
      <c r="C100" s="564">
        <v>11751082</v>
      </c>
      <c r="D100" s="572">
        <v>5816785.5899999999</v>
      </c>
      <c r="E100" s="573">
        <f t="shared" si="1"/>
        <v>0.495</v>
      </c>
    </row>
    <row r="101" spans="1:5">
      <c r="A101" s="570" t="s">
        <v>703</v>
      </c>
      <c r="B101" s="563" t="s">
        <v>704</v>
      </c>
      <c r="C101" s="564">
        <v>5259927</v>
      </c>
      <c r="D101" s="572">
        <v>337073069.63999999</v>
      </c>
      <c r="E101" s="573">
        <f t="shared" si="1"/>
        <v>64.083221999088579</v>
      </c>
    </row>
    <row r="102" spans="1:5">
      <c r="A102" s="570" t="s">
        <v>705</v>
      </c>
      <c r="B102" s="563" t="s">
        <v>706</v>
      </c>
      <c r="C102" s="564">
        <v>166119790</v>
      </c>
      <c r="D102" s="572">
        <v>332239580</v>
      </c>
      <c r="E102" s="573">
        <f t="shared" si="1"/>
        <v>2</v>
      </c>
    </row>
    <row r="103" spans="1:5">
      <c r="A103" s="570" t="s">
        <v>707</v>
      </c>
      <c r="B103" s="563" t="s">
        <v>708</v>
      </c>
      <c r="C103" s="564">
        <v>264442528</v>
      </c>
      <c r="D103" s="572">
        <v>264442528</v>
      </c>
      <c r="E103" s="573">
        <f t="shared" si="1"/>
        <v>1</v>
      </c>
    </row>
    <row r="104" spans="1:5">
      <c r="A104" s="570" t="s">
        <v>709</v>
      </c>
      <c r="B104" s="563" t="s">
        <v>710</v>
      </c>
      <c r="C104" s="564">
        <v>293625301</v>
      </c>
      <c r="D104" s="572">
        <v>293625301</v>
      </c>
      <c r="E104" s="573">
        <f t="shared" si="1"/>
        <v>1</v>
      </c>
    </row>
    <row r="105" spans="1:5">
      <c r="A105" s="570" t="s">
        <v>711</v>
      </c>
      <c r="B105" s="563" t="s">
        <v>712</v>
      </c>
      <c r="C105" s="564">
        <v>3248206</v>
      </c>
      <c r="D105" s="572">
        <v>49047910.600000001</v>
      </c>
      <c r="E105" s="573">
        <f t="shared" si="1"/>
        <v>15.1</v>
      </c>
    </row>
    <row r="106" spans="1:5">
      <c r="A106" s="570" t="s">
        <v>713</v>
      </c>
      <c r="B106" s="563" t="s">
        <v>714</v>
      </c>
      <c r="C106" s="564">
        <v>67105568</v>
      </c>
      <c r="D106" s="572">
        <v>67105568</v>
      </c>
      <c r="E106" s="573">
        <f t="shared" si="1"/>
        <v>1</v>
      </c>
    </row>
    <row r="107" spans="1:5">
      <c r="A107" s="570" t="s">
        <v>715</v>
      </c>
      <c r="B107" s="563" t="s">
        <v>716</v>
      </c>
      <c r="C107" s="564">
        <v>92926346</v>
      </c>
      <c r="D107" s="572">
        <v>92926346</v>
      </c>
      <c r="E107" s="573">
        <f t="shared" si="1"/>
        <v>1</v>
      </c>
    </row>
    <row r="108" spans="1:5">
      <c r="A108" s="570" t="s">
        <v>717</v>
      </c>
      <c r="B108" s="563" t="s">
        <v>718</v>
      </c>
      <c r="C108" s="564">
        <v>8633813</v>
      </c>
      <c r="D108" s="572">
        <v>8633813</v>
      </c>
      <c r="E108" s="573">
        <f t="shared" si="1"/>
        <v>1</v>
      </c>
    </row>
    <row r="109" spans="1:5">
      <c r="A109" s="570" t="s">
        <v>719</v>
      </c>
      <c r="B109" s="563" t="s">
        <v>720</v>
      </c>
      <c r="C109" s="564">
        <v>8991158</v>
      </c>
      <c r="D109" s="572">
        <v>6833280.0800000001</v>
      </c>
      <c r="E109" s="573">
        <f t="shared" si="1"/>
        <v>0.76</v>
      </c>
    </row>
    <row r="110" spans="1:5">
      <c r="A110" s="570" t="s">
        <v>721</v>
      </c>
      <c r="B110" s="563" t="s">
        <v>722</v>
      </c>
      <c r="C110" s="564">
        <v>31049829</v>
      </c>
      <c r="D110" s="572">
        <v>131961773.25</v>
      </c>
      <c r="E110" s="573">
        <f t="shared" si="1"/>
        <v>4.25</v>
      </c>
    </row>
    <row r="111" spans="1:5">
      <c r="A111" s="570" t="s">
        <v>723</v>
      </c>
      <c r="B111" s="563" t="s">
        <v>724</v>
      </c>
      <c r="C111" s="564">
        <v>148604735</v>
      </c>
      <c r="D111" s="572">
        <v>102537267.15000001</v>
      </c>
      <c r="E111" s="573">
        <f t="shared" si="1"/>
        <v>0.69000000000000006</v>
      </c>
    </row>
    <row r="112" spans="1:5">
      <c r="A112" s="570" t="s">
        <v>725</v>
      </c>
      <c r="B112" s="563" t="s">
        <v>726</v>
      </c>
      <c r="C112" s="564">
        <v>173659481</v>
      </c>
      <c r="D112" s="572">
        <v>477563572.75</v>
      </c>
      <c r="E112" s="573">
        <f t="shared" si="1"/>
        <v>2.75</v>
      </c>
    </row>
    <row r="113" spans="1:5">
      <c r="A113" s="570" t="s">
        <v>727</v>
      </c>
      <c r="B113" s="563" t="s">
        <v>728</v>
      </c>
      <c r="C113" s="564">
        <v>87250000</v>
      </c>
      <c r="D113" s="572">
        <v>707597500</v>
      </c>
      <c r="E113" s="573">
        <f t="shared" si="1"/>
        <v>8.11</v>
      </c>
    </row>
    <row r="114" spans="1:5">
      <c r="A114" s="570" t="s">
        <v>729</v>
      </c>
      <c r="B114" s="563" t="s">
        <v>730</v>
      </c>
      <c r="C114" s="564">
        <v>21602650</v>
      </c>
      <c r="D114" s="572">
        <v>7560927.5</v>
      </c>
      <c r="E114" s="573">
        <f t="shared" si="1"/>
        <v>0.35</v>
      </c>
    </row>
    <row r="115" spans="1:5">
      <c r="A115" s="570" t="s">
        <v>731</v>
      </c>
      <c r="B115" s="563" t="s">
        <v>732</v>
      </c>
      <c r="C115" s="564">
        <v>364780200</v>
      </c>
      <c r="D115" s="572">
        <v>364780200</v>
      </c>
      <c r="E115" s="573">
        <f t="shared" si="1"/>
        <v>1</v>
      </c>
    </row>
    <row r="116" spans="1:5">
      <c r="A116" s="570" t="s">
        <v>733</v>
      </c>
      <c r="B116" s="563" t="s">
        <v>734</v>
      </c>
      <c r="C116" s="564">
        <v>26758904</v>
      </c>
      <c r="D116" s="572">
        <v>26758904</v>
      </c>
      <c r="E116" s="573">
        <f t="shared" si="1"/>
        <v>1</v>
      </c>
    </row>
    <row r="117" spans="1:5">
      <c r="A117" s="570" t="s">
        <v>735</v>
      </c>
      <c r="B117" s="563" t="s">
        <v>736</v>
      </c>
      <c r="C117" s="564">
        <v>4868936</v>
      </c>
      <c r="D117" s="572">
        <v>16359624.960000001</v>
      </c>
      <c r="E117" s="573">
        <f t="shared" si="1"/>
        <v>3.3600000000000003</v>
      </c>
    </row>
    <row r="118" spans="1:5">
      <c r="A118" s="570" t="s">
        <v>737</v>
      </c>
      <c r="B118" s="563" t="s">
        <v>738</v>
      </c>
      <c r="C118" s="564">
        <v>56844491</v>
      </c>
      <c r="D118" s="572">
        <v>2273779.64</v>
      </c>
      <c r="E118" s="573">
        <f t="shared" si="1"/>
        <v>0.04</v>
      </c>
    </row>
    <row r="119" spans="1:5">
      <c r="A119" s="570" t="s">
        <v>739</v>
      </c>
      <c r="B119" s="563" t="s">
        <v>740</v>
      </c>
      <c r="C119" s="564">
        <v>13365837</v>
      </c>
      <c r="D119" s="572">
        <v>4116677.8</v>
      </c>
      <c r="E119" s="573">
        <f t="shared" si="1"/>
        <v>0.30800000029927044</v>
      </c>
    </row>
    <row r="120" spans="1:5">
      <c r="A120" s="570" t="s">
        <v>741</v>
      </c>
      <c r="B120" s="563" t="s">
        <v>742</v>
      </c>
      <c r="C120" s="564">
        <v>9023540</v>
      </c>
      <c r="D120" s="572">
        <v>9023540</v>
      </c>
      <c r="E120" s="573">
        <f t="shared" si="1"/>
        <v>1</v>
      </c>
    </row>
    <row r="121" spans="1:5">
      <c r="A121" s="570" t="s">
        <v>743</v>
      </c>
      <c r="B121" s="563" t="s">
        <v>744</v>
      </c>
      <c r="C121" s="564">
        <v>93291575</v>
      </c>
      <c r="D121" s="572">
        <v>261216410</v>
      </c>
      <c r="E121" s="573">
        <f t="shared" si="1"/>
        <v>2.8</v>
      </c>
    </row>
    <row r="122" spans="1:5">
      <c r="A122" s="570" t="s">
        <v>745</v>
      </c>
      <c r="B122" s="563" t="s">
        <v>746</v>
      </c>
      <c r="C122" s="564">
        <v>108746887</v>
      </c>
      <c r="D122" s="572">
        <v>3697394158</v>
      </c>
      <c r="E122" s="573">
        <f t="shared" si="1"/>
        <v>34</v>
      </c>
    </row>
    <row r="123" spans="1:5">
      <c r="A123" s="570" t="s">
        <v>747</v>
      </c>
      <c r="B123" s="563" t="s">
        <v>748</v>
      </c>
      <c r="C123" s="564">
        <v>36812276</v>
      </c>
      <c r="D123" s="572">
        <v>36812276</v>
      </c>
      <c r="E123" s="573">
        <f t="shared" si="1"/>
        <v>1</v>
      </c>
    </row>
    <row r="124" spans="1:5">
      <c r="A124" s="570" t="s">
        <v>749</v>
      </c>
      <c r="B124" s="563" t="s">
        <v>750</v>
      </c>
      <c r="C124" s="564">
        <v>115447705</v>
      </c>
      <c r="D124" s="572">
        <v>2868875469.25</v>
      </c>
      <c r="E124" s="573">
        <f t="shared" si="1"/>
        <v>24.85</v>
      </c>
    </row>
    <row r="125" spans="1:5">
      <c r="A125" s="570" t="s">
        <v>751</v>
      </c>
      <c r="B125" s="563" t="s">
        <v>752</v>
      </c>
      <c r="C125" s="564">
        <v>134117024</v>
      </c>
      <c r="D125" s="572">
        <v>1609404288</v>
      </c>
      <c r="E125" s="573">
        <f t="shared" si="1"/>
        <v>12</v>
      </c>
    </row>
    <row r="126" spans="1:5">
      <c r="A126" s="570" t="s">
        <v>753</v>
      </c>
      <c r="B126" s="563" t="s">
        <v>754</v>
      </c>
      <c r="C126" s="564">
        <v>958281630</v>
      </c>
      <c r="D126" s="572">
        <v>958281630</v>
      </c>
      <c r="E126" s="573">
        <f t="shared" si="1"/>
        <v>1</v>
      </c>
    </row>
    <row r="127" spans="1:5">
      <c r="A127" s="570" t="s">
        <v>755</v>
      </c>
      <c r="B127" s="563" t="s">
        <v>756</v>
      </c>
      <c r="C127" s="564">
        <v>29348932466</v>
      </c>
      <c r="D127" s="572">
        <v>4079501612.77</v>
      </c>
      <c r="E127" s="573">
        <f t="shared" si="1"/>
        <v>0.1389999999998637</v>
      </c>
    </row>
    <row r="128" spans="1:5">
      <c r="A128" s="570" t="s">
        <v>757</v>
      </c>
      <c r="B128" s="563" t="s">
        <v>758</v>
      </c>
      <c r="C128" s="564">
        <v>577245314</v>
      </c>
      <c r="D128" s="572">
        <v>865867971</v>
      </c>
      <c r="E128" s="573">
        <f t="shared" si="1"/>
        <v>1.5</v>
      </c>
    </row>
    <row r="129" spans="1:5">
      <c r="A129" s="570" t="s">
        <v>759</v>
      </c>
      <c r="B129" s="563" t="s">
        <v>760</v>
      </c>
      <c r="C129" s="564">
        <v>1290678</v>
      </c>
      <c r="D129" s="572">
        <v>1290678</v>
      </c>
      <c r="E129" s="573">
        <f t="shared" si="1"/>
        <v>1</v>
      </c>
    </row>
    <row r="130" spans="1:5">
      <c r="A130" s="570" t="s">
        <v>761</v>
      </c>
      <c r="B130" s="563" t="s">
        <v>762</v>
      </c>
      <c r="C130" s="564">
        <v>21722635</v>
      </c>
      <c r="D130" s="572">
        <v>7950484.4100000001</v>
      </c>
      <c r="E130" s="573">
        <f t="shared" si="1"/>
        <v>0.36599999999999999</v>
      </c>
    </row>
    <row r="131" spans="1:5">
      <c r="A131" s="570" t="s">
        <v>763</v>
      </c>
      <c r="B131" s="563" t="s">
        <v>764</v>
      </c>
      <c r="C131" s="564">
        <v>83400000</v>
      </c>
      <c r="D131" s="572">
        <v>83400000</v>
      </c>
      <c r="E131" s="573">
        <f t="shared" ref="E131:E194" si="2">D131/C131</f>
        <v>1</v>
      </c>
    </row>
    <row r="132" spans="1:5">
      <c r="A132" s="570" t="s">
        <v>765</v>
      </c>
      <c r="B132" s="563" t="s">
        <v>766</v>
      </c>
      <c r="C132" s="565">
        <v>542026600</v>
      </c>
      <c r="D132" s="572">
        <v>336056492</v>
      </c>
      <c r="E132" s="573">
        <f t="shared" si="2"/>
        <v>0.62</v>
      </c>
    </row>
    <row r="133" spans="1:5">
      <c r="A133" s="570" t="s">
        <v>767</v>
      </c>
      <c r="B133" s="563" t="s">
        <v>768</v>
      </c>
      <c r="C133" s="565">
        <v>540387788</v>
      </c>
      <c r="D133" s="572">
        <v>540387788</v>
      </c>
      <c r="E133" s="573">
        <f t="shared" si="2"/>
        <v>1</v>
      </c>
    </row>
    <row r="134" spans="1:5">
      <c r="A134" s="570" t="s">
        <v>769</v>
      </c>
      <c r="B134" s="563" t="s">
        <v>770</v>
      </c>
      <c r="C134" s="565">
        <v>9425879</v>
      </c>
      <c r="D134" s="572">
        <v>9425879</v>
      </c>
      <c r="E134" s="573">
        <f t="shared" si="2"/>
        <v>1</v>
      </c>
    </row>
    <row r="135" spans="1:5">
      <c r="A135" s="570" t="s">
        <v>771</v>
      </c>
      <c r="B135" s="563" t="s">
        <v>772</v>
      </c>
      <c r="C135" s="565">
        <v>39117107</v>
      </c>
      <c r="D135" s="572">
        <v>250740655.87</v>
      </c>
      <c r="E135" s="573">
        <f t="shared" si="2"/>
        <v>6.41</v>
      </c>
    </row>
    <row r="136" spans="1:5">
      <c r="A136" s="570" t="s">
        <v>773</v>
      </c>
      <c r="B136" s="563" t="s">
        <v>774</v>
      </c>
      <c r="C136" s="565">
        <v>23580000</v>
      </c>
      <c r="D136" s="572">
        <v>23580000</v>
      </c>
      <c r="E136" s="573">
        <f t="shared" si="2"/>
        <v>1</v>
      </c>
    </row>
    <row r="137" spans="1:5">
      <c r="A137" s="570" t="s">
        <v>775</v>
      </c>
      <c r="B137" s="563" t="s">
        <v>776</v>
      </c>
      <c r="C137" s="565">
        <v>2284122</v>
      </c>
      <c r="D137" s="572">
        <v>3243453.24</v>
      </c>
      <c r="E137" s="573">
        <f t="shared" si="2"/>
        <v>1.4200000000000002</v>
      </c>
    </row>
    <row r="138" spans="1:5">
      <c r="A138" s="570" t="s">
        <v>777</v>
      </c>
      <c r="B138" s="563" t="s">
        <v>778</v>
      </c>
      <c r="C138" s="565">
        <v>253753798</v>
      </c>
      <c r="D138" s="572">
        <v>253753798</v>
      </c>
      <c r="E138" s="573">
        <f t="shared" si="2"/>
        <v>1</v>
      </c>
    </row>
    <row r="139" spans="1:5">
      <c r="A139" s="570" t="s">
        <v>779</v>
      </c>
      <c r="B139" s="563" t="s">
        <v>780</v>
      </c>
      <c r="C139" s="565">
        <v>486951371</v>
      </c>
      <c r="D139" s="572">
        <v>7596441387.6000004</v>
      </c>
      <c r="E139" s="573">
        <f t="shared" si="2"/>
        <v>15.600000000000001</v>
      </c>
    </row>
    <row r="140" spans="1:5">
      <c r="A140" s="570" t="s">
        <v>781</v>
      </c>
      <c r="B140" s="563" t="s">
        <v>782</v>
      </c>
      <c r="C140" s="565">
        <v>9603364</v>
      </c>
      <c r="D140" s="572">
        <v>8931128.5199999996</v>
      </c>
      <c r="E140" s="573">
        <f t="shared" si="2"/>
        <v>0.92999999999999994</v>
      </c>
    </row>
    <row r="141" spans="1:5">
      <c r="A141" s="570" t="s">
        <v>783</v>
      </c>
      <c r="B141" s="563" t="s">
        <v>784</v>
      </c>
      <c r="C141" s="565">
        <v>501949792</v>
      </c>
      <c r="D141" s="572">
        <v>5536506205.7600002</v>
      </c>
      <c r="E141" s="573">
        <f t="shared" si="2"/>
        <v>11.030000000000001</v>
      </c>
    </row>
    <row r="142" spans="1:5">
      <c r="A142" s="570" t="s">
        <v>785</v>
      </c>
      <c r="B142" s="563" t="s">
        <v>786</v>
      </c>
      <c r="C142" s="565">
        <v>1840606313</v>
      </c>
      <c r="D142" s="572">
        <v>3681212626</v>
      </c>
      <c r="E142" s="573">
        <f t="shared" si="2"/>
        <v>2</v>
      </c>
    </row>
    <row r="143" spans="1:5">
      <c r="A143" s="570" t="s">
        <v>787</v>
      </c>
      <c r="B143" s="563" t="s">
        <v>788</v>
      </c>
      <c r="C143" s="565">
        <v>3272805</v>
      </c>
      <c r="D143" s="572">
        <v>20978680.050000001</v>
      </c>
      <c r="E143" s="573">
        <f t="shared" si="2"/>
        <v>6.41</v>
      </c>
    </row>
    <row r="144" spans="1:5">
      <c r="A144" s="570" t="s">
        <v>789</v>
      </c>
      <c r="B144" s="563" t="s">
        <v>790</v>
      </c>
      <c r="C144" s="565">
        <v>47794177</v>
      </c>
      <c r="D144" s="572">
        <v>4779417.7</v>
      </c>
      <c r="E144" s="573">
        <f t="shared" si="2"/>
        <v>0.1</v>
      </c>
    </row>
    <row r="145" spans="1:5">
      <c r="A145" s="570" t="s">
        <v>791</v>
      </c>
      <c r="B145" s="563" t="s">
        <v>792</v>
      </c>
      <c r="C145" s="565">
        <v>231135028</v>
      </c>
      <c r="D145" s="572">
        <v>8320861.0099999998</v>
      </c>
      <c r="E145" s="573">
        <f t="shared" si="2"/>
        <v>3.6000000008652951E-2</v>
      </c>
    </row>
    <row r="146" spans="1:5">
      <c r="A146" s="570" t="s">
        <v>793</v>
      </c>
      <c r="B146" s="563" t="s">
        <v>794</v>
      </c>
      <c r="C146" s="565">
        <v>961000840</v>
      </c>
      <c r="D146" s="572">
        <v>3680633217.1999998</v>
      </c>
      <c r="E146" s="573">
        <f t="shared" si="2"/>
        <v>3.8299999999999996</v>
      </c>
    </row>
    <row r="147" spans="1:5">
      <c r="A147" s="570" t="s">
        <v>795</v>
      </c>
      <c r="B147" s="563" t="s">
        <v>796</v>
      </c>
      <c r="C147" s="565">
        <v>156747</v>
      </c>
      <c r="D147" s="572">
        <v>156747000</v>
      </c>
      <c r="E147" s="573">
        <f t="shared" si="2"/>
        <v>1000</v>
      </c>
    </row>
    <row r="148" spans="1:5">
      <c r="A148" s="570" t="s">
        <v>797</v>
      </c>
      <c r="B148" s="563" t="s">
        <v>798</v>
      </c>
      <c r="C148" s="565">
        <v>79759610</v>
      </c>
      <c r="D148" s="572">
        <v>79759610</v>
      </c>
      <c r="E148" s="573">
        <f t="shared" si="2"/>
        <v>1</v>
      </c>
    </row>
    <row r="149" spans="1:5">
      <c r="A149" s="570" t="s">
        <v>799</v>
      </c>
      <c r="B149" s="563" t="s">
        <v>800</v>
      </c>
      <c r="C149" s="565">
        <v>520914220</v>
      </c>
      <c r="D149" s="572">
        <v>52091422</v>
      </c>
      <c r="E149" s="573">
        <f t="shared" si="2"/>
        <v>0.1</v>
      </c>
    </row>
    <row r="150" spans="1:5">
      <c r="A150" s="570" t="s">
        <v>801</v>
      </c>
      <c r="B150" s="563" t="s">
        <v>802</v>
      </c>
      <c r="C150" s="565">
        <v>1257754353</v>
      </c>
      <c r="D150" s="572">
        <v>1999829421.27</v>
      </c>
      <c r="E150" s="573">
        <f t="shared" si="2"/>
        <v>1.59</v>
      </c>
    </row>
    <row r="151" spans="1:5">
      <c r="A151" s="570" t="s">
        <v>803</v>
      </c>
      <c r="B151" s="563" t="s">
        <v>804</v>
      </c>
      <c r="C151" s="565">
        <v>136091500</v>
      </c>
      <c r="D151" s="572">
        <v>136091500</v>
      </c>
      <c r="E151" s="573">
        <f t="shared" si="2"/>
        <v>1</v>
      </c>
    </row>
    <row r="152" spans="1:5">
      <c r="A152" s="570" t="s">
        <v>805</v>
      </c>
      <c r="B152" s="563" t="s">
        <v>806</v>
      </c>
      <c r="C152" s="565">
        <v>120531675</v>
      </c>
      <c r="D152" s="572">
        <v>3696706472.25</v>
      </c>
      <c r="E152" s="573">
        <f t="shared" si="2"/>
        <v>30.67</v>
      </c>
    </row>
    <row r="153" spans="1:5">
      <c r="A153" s="570" t="s">
        <v>807</v>
      </c>
      <c r="B153" s="563" t="s">
        <v>808</v>
      </c>
      <c r="C153" s="565">
        <v>264375058</v>
      </c>
      <c r="D153" s="572">
        <v>25644380.629999999</v>
      </c>
      <c r="E153" s="573">
        <f t="shared" si="2"/>
        <v>9.7000000015130011E-2</v>
      </c>
    </row>
    <row r="154" spans="1:5">
      <c r="A154" s="570" t="s">
        <v>809</v>
      </c>
      <c r="B154" s="563" t="s">
        <v>810</v>
      </c>
      <c r="C154" s="565">
        <v>661427867</v>
      </c>
      <c r="D154" s="572">
        <v>31748537.620000001</v>
      </c>
      <c r="E154" s="573">
        <f t="shared" si="2"/>
        <v>4.8000000006047525E-2</v>
      </c>
    </row>
    <row r="155" spans="1:5">
      <c r="A155" s="570" t="s">
        <v>811</v>
      </c>
      <c r="B155" s="563" t="s">
        <v>812</v>
      </c>
      <c r="C155" s="565">
        <v>2585963</v>
      </c>
      <c r="D155" s="572">
        <v>25859630</v>
      </c>
      <c r="E155" s="573">
        <f t="shared" si="2"/>
        <v>10</v>
      </c>
    </row>
    <row r="156" spans="1:5">
      <c r="A156" s="570" t="s">
        <v>813</v>
      </c>
      <c r="B156" s="563" t="s">
        <v>814</v>
      </c>
      <c r="C156" s="565">
        <v>17454224</v>
      </c>
      <c r="D156" s="572">
        <v>66151508.960000001</v>
      </c>
      <c r="E156" s="573">
        <f t="shared" si="2"/>
        <v>3.79</v>
      </c>
    </row>
    <row r="157" spans="1:5">
      <c r="A157" s="570" t="s">
        <v>815</v>
      </c>
      <c r="B157" s="563" t="s">
        <v>816</v>
      </c>
      <c r="C157" s="565">
        <v>295536144</v>
      </c>
      <c r="D157" s="572">
        <v>561518673.60000002</v>
      </c>
      <c r="E157" s="573">
        <f t="shared" si="2"/>
        <v>1.9000000000000001</v>
      </c>
    </row>
    <row r="158" spans="1:5">
      <c r="A158" s="570" t="s">
        <v>817</v>
      </c>
      <c r="B158" s="563" t="s">
        <v>818</v>
      </c>
      <c r="C158" s="565">
        <v>1914433600</v>
      </c>
      <c r="D158" s="572">
        <v>1914433600</v>
      </c>
      <c r="E158" s="573">
        <f t="shared" si="2"/>
        <v>1</v>
      </c>
    </row>
    <row r="159" spans="1:5">
      <c r="A159" s="570" t="s">
        <v>819</v>
      </c>
      <c r="B159" s="563" t="s">
        <v>820</v>
      </c>
      <c r="C159" s="565">
        <v>636077828</v>
      </c>
      <c r="D159" s="572">
        <v>12085478.73</v>
      </c>
      <c r="E159" s="573">
        <f t="shared" si="2"/>
        <v>1.899999999685573E-2</v>
      </c>
    </row>
    <row r="160" spans="1:5">
      <c r="A160" s="570" t="s">
        <v>821</v>
      </c>
      <c r="B160" s="563" t="s">
        <v>822</v>
      </c>
      <c r="C160" s="565">
        <v>96242</v>
      </c>
      <c r="D160" s="572">
        <v>96242000</v>
      </c>
      <c r="E160" s="573">
        <f t="shared" si="2"/>
        <v>1000</v>
      </c>
    </row>
    <row r="161" spans="1:5">
      <c r="A161" s="570" t="s">
        <v>823</v>
      </c>
      <c r="B161" s="563" t="s">
        <v>824</v>
      </c>
      <c r="C161" s="565">
        <v>19290724</v>
      </c>
      <c r="D161" s="572">
        <v>19290724</v>
      </c>
      <c r="E161" s="573">
        <f t="shared" si="2"/>
        <v>1</v>
      </c>
    </row>
    <row r="162" spans="1:5">
      <c r="A162" s="570" t="s">
        <v>825</v>
      </c>
      <c r="B162" s="563" t="s">
        <v>826</v>
      </c>
      <c r="C162" s="565">
        <v>255256326</v>
      </c>
      <c r="D162" s="572">
        <v>255256326</v>
      </c>
      <c r="E162" s="573">
        <f t="shared" si="2"/>
        <v>1</v>
      </c>
    </row>
    <row r="163" spans="1:5">
      <c r="A163" s="570" t="s">
        <v>827</v>
      </c>
      <c r="B163" s="563" t="s">
        <v>828</v>
      </c>
      <c r="C163" s="565">
        <v>76591960</v>
      </c>
      <c r="D163" s="572">
        <v>43657417.200000003</v>
      </c>
      <c r="E163" s="573">
        <f t="shared" si="2"/>
        <v>0.57000000000000006</v>
      </c>
    </row>
    <row r="164" spans="1:5">
      <c r="A164" s="570" t="s">
        <v>829</v>
      </c>
      <c r="B164" s="563" t="s">
        <v>830</v>
      </c>
      <c r="C164" s="565">
        <v>7195924</v>
      </c>
      <c r="D164" s="572">
        <v>71959.240000000005</v>
      </c>
      <c r="E164" s="573">
        <f t="shared" si="2"/>
        <v>0.01</v>
      </c>
    </row>
    <row r="165" spans="1:5">
      <c r="A165" s="570" t="s">
        <v>831</v>
      </c>
      <c r="B165" s="563" t="s">
        <v>832</v>
      </c>
      <c r="C165" s="565">
        <v>42372474</v>
      </c>
      <c r="D165" s="572">
        <v>423724.74</v>
      </c>
      <c r="E165" s="573">
        <f t="shared" si="2"/>
        <v>0.01</v>
      </c>
    </row>
    <row r="166" spans="1:5">
      <c r="A166" s="570" t="s">
        <v>833</v>
      </c>
      <c r="B166" s="563" t="s">
        <v>834</v>
      </c>
      <c r="C166" s="565">
        <v>35838618</v>
      </c>
      <c r="D166" s="572">
        <v>35838618</v>
      </c>
      <c r="E166" s="573">
        <f t="shared" si="2"/>
        <v>1</v>
      </c>
    </row>
    <row r="167" spans="1:5">
      <c r="A167" s="570" t="s">
        <v>835</v>
      </c>
      <c r="B167" s="563" t="s">
        <v>836</v>
      </c>
      <c r="C167" s="565">
        <v>124508818</v>
      </c>
      <c r="D167" s="572">
        <v>115793200.73999999</v>
      </c>
      <c r="E167" s="573">
        <f t="shared" si="2"/>
        <v>0.92999999999999994</v>
      </c>
    </row>
    <row r="168" spans="1:5">
      <c r="A168" s="570" t="s">
        <v>837</v>
      </c>
      <c r="B168" s="563" t="s">
        <v>838</v>
      </c>
      <c r="C168" s="565">
        <v>1784000000</v>
      </c>
      <c r="D168" s="572">
        <v>1338000000</v>
      </c>
      <c r="E168" s="573">
        <f t="shared" si="2"/>
        <v>0.75</v>
      </c>
    </row>
    <row r="169" spans="1:5">
      <c r="A169" s="570" t="s">
        <v>839</v>
      </c>
      <c r="B169" s="563" t="s">
        <v>840</v>
      </c>
      <c r="C169" s="565">
        <v>258753108</v>
      </c>
      <c r="D169" s="572">
        <v>119026429.68000001</v>
      </c>
      <c r="E169" s="573">
        <f t="shared" si="2"/>
        <v>0.46</v>
      </c>
    </row>
    <row r="170" spans="1:5">
      <c r="A170" s="570" t="s">
        <v>841</v>
      </c>
      <c r="B170" s="563" t="s">
        <v>842</v>
      </c>
      <c r="C170" s="565">
        <v>156709425</v>
      </c>
      <c r="D170" s="572">
        <v>1405683542.25</v>
      </c>
      <c r="E170" s="573">
        <f t="shared" si="2"/>
        <v>8.9700000000000006</v>
      </c>
    </row>
    <row r="171" spans="1:5">
      <c r="A171" s="570" t="s">
        <v>843</v>
      </c>
      <c r="B171" s="563" t="s">
        <v>844</v>
      </c>
      <c r="C171" s="565">
        <v>822677853</v>
      </c>
      <c r="D171" s="572">
        <v>13763400480.690001</v>
      </c>
      <c r="E171" s="573">
        <f t="shared" si="2"/>
        <v>16.73</v>
      </c>
    </row>
    <row r="172" spans="1:5">
      <c r="A172" s="570" t="s">
        <v>845</v>
      </c>
      <c r="B172" s="563" t="s">
        <v>846</v>
      </c>
      <c r="C172" s="565">
        <v>22336978</v>
      </c>
      <c r="D172" s="572">
        <v>22336978</v>
      </c>
      <c r="E172" s="573">
        <f t="shared" si="2"/>
        <v>1</v>
      </c>
    </row>
    <row r="173" spans="1:5">
      <c r="A173" s="570" t="s">
        <v>847</v>
      </c>
      <c r="B173" s="563" t="s">
        <v>848</v>
      </c>
      <c r="C173" s="565">
        <v>530128</v>
      </c>
      <c r="D173" s="572">
        <v>530128000</v>
      </c>
      <c r="E173" s="573">
        <f t="shared" si="2"/>
        <v>1000</v>
      </c>
    </row>
    <row r="174" spans="1:5">
      <c r="A174" s="570" t="s">
        <v>849</v>
      </c>
      <c r="B174" s="563" t="s">
        <v>850</v>
      </c>
      <c r="C174" s="565">
        <v>94041778</v>
      </c>
      <c r="D174" s="572">
        <v>29246992.960000001</v>
      </c>
      <c r="E174" s="573">
        <f t="shared" si="2"/>
        <v>0.31100000002126715</v>
      </c>
    </row>
    <row r="175" spans="1:5">
      <c r="A175" s="570" t="s">
        <v>851</v>
      </c>
      <c r="B175" s="563" t="s">
        <v>852</v>
      </c>
      <c r="C175" s="565">
        <v>446050471</v>
      </c>
      <c r="D175" s="572">
        <v>13029134257.91</v>
      </c>
      <c r="E175" s="573">
        <f t="shared" si="2"/>
        <v>29.21</v>
      </c>
    </row>
    <row r="176" spans="1:5">
      <c r="A176" s="570" t="s">
        <v>853</v>
      </c>
      <c r="B176" s="563" t="s">
        <v>854</v>
      </c>
      <c r="C176" s="565">
        <v>217469860</v>
      </c>
      <c r="D176" s="572">
        <v>63066259.399999999</v>
      </c>
      <c r="E176" s="573">
        <f t="shared" si="2"/>
        <v>0.28999999999999998</v>
      </c>
    </row>
    <row r="177" spans="1:5">
      <c r="A177" s="570" t="s">
        <v>855</v>
      </c>
      <c r="B177" s="563" t="s">
        <v>856</v>
      </c>
      <c r="C177" s="565">
        <v>2139218</v>
      </c>
      <c r="D177" s="572">
        <v>2139218</v>
      </c>
      <c r="E177" s="573">
        <f t="shared" si="2"/>
        <v>1</v>
      </c>
    </row>
    <row r="178" spans="1:5">
      <c r="A178" s="570" t="s">
        <v>857</v>
      </c>
      <c r="B178" s="563" t="s">
        <v>858</v>
      </c>
      <c r="C178" s="565">
        <v>29995325</v>
      </c>
      <c r="D178" s="572">
        <v>76686208.75</v>
      </c>
      <c r="E178" s="573">
        <f t="shared" si="2"/>
        <v>2.5566053626690159</v>
      </c>
    </row>
    <row r="179" spans="1:5">
      <c r="A179" s="570" t="s">
        <v>859</v>
      </c>
      <c r="B179" s="563" t="s">
        <v>860</v>
      </c>
      <c r="C179" s="565">
        <v>350056012</v>
      </c>
      <c r="D179" s="572">
        <v>10466674758.799999</v>
      </c>
      <c r="E179" s="573">
        <f t="shared" si="2"/>
        <v>29.9</v>
      </c>
    </row>
    <row r="180" spans="1:5">
      <c r="A180" s="570" t="s">
        <v>861</v>
      </c>
      <c r="B180" s="563" t="s">
        <v>862</v>
      </c>
      <c r="C180" s="565">
        <v>31890365</v>
      </c>
      <c r="D180" s="572">
        <v>478355475</v>
      </c>
      <c r="E180" s="573">
        <f t="shared" si="2"/>
        <v>15</v>
      </c>
    </row>
    <row r="181" spans="1:5">
      <c r="A181" s="570" t="s">
        <v>863</v>
      </c>
      <c r="B181" s="563" t="s">
        <v>864</v>
      </c>
      <c r="C181" s="565">
        <v>155971426</v>
      </c>
      <c r="D181" s="572">
        <v>889037128.20000005</v>
      </c>
      <c r="E181" s="573">
        <f t="shared" si="2"/>
        <v>5.7</v>
      </c>
    </row>
    <row r="182" spans="1:5">
      <c r="A182" s="570" t="s">
        <v>865</v>
      </c>
      <c r="B182" s="563" t="s">
        <v>866</v>
      </c>
      <c r="C182" s="565">
        <v>1086</v>
      </c>
      <c r="D182" s="572">
        <v>10860000</v>
      </c>
      <c r="E182" s="573">
        <f t="shared" si="2"/>
        <v>10000</v>
      </c>
    </row>
    <row r="183" spans="1:5">
      <c r="A183" s="570" t="s">
        <v>867</v>
      </c>
      <c r="B183" s="563" t="s">
        <v>868</v>
      </c>
      <c r="C183" s="565">
        <v>884596086</v>
      </c>
      <c r="D183" s="572">
        <v>74306071224</v>
      </c>
      <c r="E183" s="573">
        <f t="shared" si="2"/>
        <v>84</v>
      </c>
    </row>
    <row r="184" spans="1:5">
      <c r="A184" s="570" t="s">
        <v>869</v>
      </c>
      <c r="B184" s="563" t="s">
        <v>870</v>
      </c>
      <c r="C184" s="565">
        <v>54209936</v>
      </c>
      <c r="D184" s="572">
        <v>3472146400.8000002</v>
      </c>
      <c r="E184" s="573">
        <f t="shared" si="2"/>
        <v>64.05</v>
      </c>
    </row>
    <row r="185" spans="1:5">
      <c r="A185" s="570" t="s">
        <v>871</v>
      </c>
      <c r="B185" s="563" t="s">
        <v>872</v>
      </c>
      <c r="C185" s="565">
        <v>63087848</v>
      </c>
      <c r="D185" s="572">
        <v>63087848</v>
      </c>
      <c r="E185" s="573">
        <f t="shared" si="2"/>
        <v>1</v>
      </c>
    </row>
    <row r="186" spans="1:5">
      <c r="A186" s="570" t="s">
        <v>873</v>
      </c>
      <c r="B186" s="563" t="s">
        <v>874</v>
      </c>
      <c r="C186" s="565">
        <v>4187546306</v>
      </c>
      <c r="D186" s="572">
        <v>1926271300.76</v>
      </c>
      <c r="E186" s="573">
        <f t="shared" si="2"/>
        <v>0.46</v>
      </c>
    </row>
    <row r="187" spans="1:5">
      <c r="A187" s="570" t="s">
        <v>875</v>
      </c>
      <c r="B187" s="563" t="s">
        <v>876</v>
      </c>
      <c r="C187" s="565">
        <v>32123547</v>
      </c>
      <c r="D187" s="572">
        <v>32123547</v>
      </c>
      <c r="E187" s="573">
        <f t="shared" si="2"/>
        <v>1</v>
      </c>
    </row>
    <row r="188" spans="1:5">
      <c r="A188" s="570" t="s">
        <v>877</v>
      </c>
      <c r="B188" s="563" t="s">
        <v>878</v>
      </c>
      <c r="C188" s="565">
        <v>391303927</v>
      </c>
      <c r="D188" s="572">
        <v>66521667.590000004</v>
      </c>
      <c r="E188" s="573">
        <f t="shared" si="2"/>
        <v>0.17</v>
      </c>
    </row>
    <row r="189" spans="1:5">
      <c r="A189" s="570" t="s">
        <v>879</v>
      </c>
      <c r="B189" s="563" t="s">
        <v>880</v>
      </c>
      <c r="C189" s="565">
        <v>668287</v>
      </c>
      <c r="D189" s="572">
        <v>66828700</v>
      </c>
      <c r="E189" s="573">
        <f t="shared" si="2"/>
        <v>100</v>
      </c>
    </row>
    <row r="190" spans="1:5">
      <c r="A190" s="570" t="s">
        <v>881</v>
      </c>
      <c r="B190" s="563" t="s">
        <v>882</v>
      </c>
      <c r="C190" s="565">
        <v>174600000</v>
      </c>
      <c r="D190" s="572">
        <v>174600000</v>
      </c>
      <c r="E190" s="573">
        <f t="shared" si="2"/>
        <v>1</v>
      </c>
    </row>
    <row r="191" spans="1:5">
      <c r="A191" s="570" t="s">
        <v>883</v>
      </c>
      <c r="B191" s="563" t="s">
        <v>884</v>
      </c>
      <c r="C191" s="565">
        <v>1818127611</v>
      </c>
      <c r="D191" s="572">
        <v>2999910558.1500001</v>
      </c>
      <c r="E191" s="573">
        <f t="shared" si="2"/>
        <v>1.6500000000000001</v>
      </c>
    </row>
    <row r="192" spans="1:5">
      <c r="A192" s="570" t="s">
        <v>885</v>
      </c>
      <c r="B192" s="563" t="s">
        <v>886</v>
      </c>
      <c r="C192" s="565">
        <v>319894</v>
      </c>
      <c r="D192" s="572">
        <v>71976150</v>
      </c>
      <c r="E192" s="573">
        <f t="shared" si="2"/>
        <v>225</v>
      </c>
    </row>
    <row r="193" spans="1:5">
      <c r="A193" s="570" t="s">
        <v>887</v>
      </c>
      <c r="B193" s="563" t="s">
        <v>888</v>
      </c>
      <c r="C193" s="565">
        <v>122337761</v>
      </c>
      <c r="D193" s="572">
        <v>116220872.95</v>
      </c>
      <c r="E193" s="573">
        <f t="shared" si="2"/>
        <v>0.95000000000000007</v>
      </c>
    </row>
    <row r="194" spans="1:5">
      <c r="A194" s="570" t="s">
        <v>889</v>
      </c>
      <c r="B194" s="563" t="s">
        <v>890</v>
      </c>
      <c r="C194" s="565">
        <v>1633414552</v>
      </c>
      <c r="D194" s="572">
        <v>1992765753.4400001</v>
      </c>
      <c r="E194" s="573">
        <f t="shared" si="2"/>
        <v>1.22</v>
      </c>
    </row>
    <row r="195" spans="1:5">
      <c r="A195" s="570" t="s">
        <v>891</v>
      </c>
      <c r="B195" s="563" t="s">
        <v>892</v>
      </c>
      <c r="C195" s="565">
        <v>5250000</v>
      </c>
      <c r="D195" s="572">
        <v>5250000</v>
      </c>
      <c r="E195" s="573">
        <f t="shared" ref="E195" si="3">D195/C195</f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2bcea9-8ca1-4a69-a79c-51a9c14b4c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3C60713BB880419FC91308F347376A" ma:contentTypeVersion="16" ma:contentTypeDescription="Crear nuevo documento." ma:contentTypeScope="" ma:versionID="9e22357ba8272941e887c22f9a708d0b">
  <xsd:schema xmlns:xsd="http://www.w3.org/2001/XMLSchema" xmlns:xs="http://www.w3.org/2001/XMLSchema" xmlns:p="http://schemas.microsoft.com/office/2006/metadata/properties" xmlns:ns3="572bcea9-8ca1-4a69-a79c-51a9c14b4c32" xmlns:ns4="665509eb-8381-47e1-876d-5c05b3136f8f" targetNamespace="http://schemas.microsoft.com/office/2006/metadata/properties" ma:root="true" ma:fieldsID="deab1d806a28ec4f677bd3fd96aba7a0" ns3:_="" ns4:_="">
    <xsd:import namespace="572bcea9-8ca1-4a69-a79c-51a9c14b4c32"/>
    <xsd:import namespace="665509eb-8381-47e1-876d-5c05b3136f8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cea9-8ca1-4a69-a79c-51a9c14b4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09eb-8381-47e1-876d-5c05b3136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7F8EDF-87D4-4EB5-9CB2-BF374A1B966B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665509eb-8381-47e1-876d-5c05b3136f8f"/>
    <ds:schemaRef ds:uri="572bcea9-8ca1-4a69-a79c-51a9c14b4c3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4A73631-4624-4A30-ABCA-54506AC2B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cea9-8ca1-4a69-a79c-51a9c14b4c32"/>
    <ds:schemaRef ds:uri="665509eb-8381-47e1-876d-5c05b3136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8046E8-8D2B-4024-99F5-088CFE251E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3</vt:i4>
      </vt:variant>
    </vt:vector>
  </HeadingPairs>
  <TitlesOfParts>
    <vt:vector size="21" baseType="lpstr">
      <vt:lpstr>Plantilla Usuario</vt:lpstr>
      <vt:lpstr>WACC</vt:lpstr>
      <vt:lpstr>Damondaran Industries</vt:lpstr>
      <vt:lpstr>M. por conceptos</vt:lpstr>
      <vt:lpstr>EE.FF Económicos</vt:lpstr>
      <vt:lpstr>Devaluación</vt:lpstr>
      <vt:lpstr>Rf Ajustado</vt:lpstr>
      <vt:lpstr>Rf Base de datos</vt:lpstr>
      <vt:lpstr>Embi</vt:lpstr>
      <vt:lpstr>Koa-Boa</vt:lpstr>
      <vt:lpstr>Prima de mercado</vt:lpstr>
      <vt:lpstr>IR</vt:lpstr>
      <vt:lpstr>Flujos</vt:lpstr>
      <vt:lpstr>Tablas</vt:lpstr>
      <vt:lpstr>M. Integrado</vt:lpstr>
      <vt:lpstr>Hoja1</vt:lpstr>
      <vt:lpstr>Sensibilidad</vt:lpstr>
      <vt:lpstr>BVL</vt:lpstr>
      <vt:lpstr>Tabla3_RFFRFR</vt:lpstr>
      <vt:lpstr>Tabla3_RFFRFRcustom</vt:lpstr>
      <vt:lpstr>Tabla3_RFFRFRustom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2024-06-03T14:08:17Z</dcterms:created>
  <dcterms:modified xsi:type="dcterms:W3CDTF">2025-08-22T15:32:03Z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0x010100C33C60713BB880419FC91308F347376A</vt:lpwstr>
  </property>
</Properties>
</file>
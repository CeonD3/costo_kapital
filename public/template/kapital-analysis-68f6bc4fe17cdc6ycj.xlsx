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7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41" visibility="visible"/>
  </bookViews>
  <sheets>
    <sheet name="Plantilla Usuario" sheetId="1" r:id="rId4"/>
    <sheet name="WACC" sheetId="2" r:id="rId5"/>
    <sheet name="Damondaran Industries" sheetId="3" r:id="rId6"/>
    <sheet name="M. por conceptos" sheetId="4" r:id="rId7"/>
    <sheet name="EE.FF Económicos" sheetId="5" r:id="rId8"/>
    <sheet name="Devaluación" sheetId="6" r:id="rId9"/>
    <sheet name="Rf Ajustado" sheetId="7" r:id="rId10"/>
    <sheet name="Rf Base de datos" sheetId="8" r:id="rId11"/>
    <sheet name="Embi" sheetId="9" r:id="rId12"/>
    <sheet name="Koa-Boa" sheetId="10" r:id="rId13"/>
    <sheet name="Prima de mercado" sheetId="11" r:id="rId14"/>
    <sheet name="IR" sheetId="12" r:id="rId15"/>
    <sheet name="Flujos" sheetId="13" r:id="rId16"/>
    <sheet name="Tablas" sheetId="14" r:id="rId17"/>
    <sheet name="M. Integrado" sheetId="15" r:id="rId18"/>
    <sheet name="Hoja1" sheetId="16" r:id="rId19"/>
    <sheet name="Sensibilidad" sheetId="17" r:id="rId20"/>
    <sheet name="BVL" sheetId="18" r:id="rId21"/>
  </sheets>
  <definedNames>
    <definedName name="hh" localSheetId="5">#REF!</definedName>
    <definedName name="hh" localSheetId="12">#REF!</definedName>
    <definedName name="hh">#REF!</definedName>
    <definedName name="riesgopais" localSheetId="12">#REF!</definedName>
    <definedName name="riesgopais">#REF!</definedName>
    <definedName name="Tabla3_RFFRFR">Tabla3[]</definedName>
    <definedName name="Tabla3_RFFRFRcustom">Tabla3[]</definedName>
    <definedName name="Tabla3_RFFRFRustom">Tabla3[]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tc={01627330-5C1D-457F-931C-DB695DF76DC7}</author>
    <author>tc={132053D3-09DD-4A92-8FB8-5C7EB74DBF39}</author>
  </authors>
  <commentList>
    <comment ref="D2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la celda C2 a la celda C5, se almacenan parámetros definidos por el usuario.</t>
        </r>
      </text>
    </comment>
    <comment ref="C7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celdas C7 y C8 sirven para incrementar o disminuir el número de años que el usuario desea añadir de información histórica.</t>
        </r>
      </text>
    </comment>
  </commentList>
</comments>
</file>

<file path=xl/comments2.xml><?xml version="1.0" encoding="utf-8"?>
<comments xmlns="http://schemas.openxmlformats.org/spreadsheetml/2006/main">
  <authors>
    <author>tc={BA89BFAA-4E5F-4489-AE54-36490B91AD0D}</author>
    <author>Autor</author>
    <author>tc={89C997AC-64C9-4390-8523-CA1C8FB1B36B}</author>
    <author>tc={FB8B9348-0E5E-4242-90B7-918F1ECD9E8B}</author>
    <author>tc={02DFF5BC-98A9-4627-8C57-A23AB91EC7E6}</author>
    <author>tc={C4D5601B-FF3C-4B13-9081-A469E86F872E}</author>
  </authors>
  <commentList>
    <comment ref="F6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definir la lista desplegable de países en la plataforma con los siguientes países y en el siguiente orden:
Argentina, Brazil, Chile, Colombia, Ecuador, Mxico, Peru, United States
</t>
        </r>
      </text>
    </comment>
    <comment ref="I1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Si no se ingresa información en la celda K5, la celda I5 es cero y por lo tanto la celda I8 se calcula con la celda I6</t>
        </r>
      </text>
    </comment>
    <comment ref="C13" authorId="2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parámetro sector, definido por el usuario, se almacena en esta celda.</t>
        </r>
      </text>
    </comment>
    <comment ref="C1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2</t>
        </r>
      </text>
    </comment>
    <comment ref="C1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3</t>
        </r>
      </text>
    </comment>
    <comment ref="C2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4 y aumenta en 6</t>
        </r>
      </text>
    </comment>
    <comment ref="C2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5 y aumenta en 6</t>
        </r>
      </text>
    </comment>
    <comment ref="AO38" authorId="3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por conceptos.</t>
        </r>
      </text>
    </comment>
    <comment ref="I44" authorId="4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que se utiliza en las hojas M. por conceptos y M. Integrado.</t>
        </r>
      </text>
    </comment>
    <comment ref="AS70" authorId="5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Integrado.</t>
        </r>
      </text>
    </comment>
  </commentList>
</comments>
</file>

<file path=xl/comments4.xml><?xml version="1.0" encoding="utf-8"?>
<comments xmlns="http://schemas.openxmlformats.org/spreadsheetml/2006/main">
  <authors>
    <author>tc={30C6C697-6B83-4DD2-8A21-F405938FBF0A}</author>
    <author>tc={028B7277-740B-4BB1-B625-F2D908DFB833}</author>
    <author>tc={59471F64-3CF4-4F5E-BAF7-CB0C937F5C34}</author>
    <author>tc={6E2F7D11-A88F-4274-AE4F-98A5F2BE9AB7}</author>
  </authors>
  <commentList>
    <comment ref="B12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tasa de crecimiento de largo plazo es utilizada para ajustar las proyecciones. Este ajuste se realiza para cada variable, con excepción del CAPEX y del capital de trabajo. </t>
        </r>
      </text>
    </comment>
    <comment ref="V174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terminal es un input intermedio que depende del flujo proyectado para el último periodo, la tasa de crecimiento de largo plazo y el costo de capital (WACC).</t>
        </r>
      </text>
    </comment>
    <comment ref="L184" authorId="2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resultado es dirigido a la hoja WACC (celda O17) para recalcular el costo de capital, el cual es utilizado en las filas inferiores.</t>
        </r>
      </text>
    </comment>
    <comment ref="L194" authorId="3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por Conceptos.</t>
        </r>
      </text>
    </comment>
  </commentList>
</comments>
</file>

<file path=xl/comments5.xml><?xml version="1.0" encoding="utf-8"?>
<comments xmlns="http://schemas.openxmlformats.org/spreadsheetml/2006/main">
  <authors>
    <author>tc={2D6C8DEC-195B-469A-AA11-17F8920B12F1}</author>
    <author>tc={38DAE302-B464-4A10-B10F-1C79C9E5D606}</author>
  </authors>
  <commentList>
    <comment ref="D53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definido por el autor.</t>
        </r>
      </text>
    </comment>
    <comment ref="D54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parámetro permite que el usuario pueda elegir si desea expresar sus Estados Financieros en moneda nacional (soles) o moneda extranjera (dólares).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A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¿Qué tasa de descuento se debe emplear para descontar el proyecto con el fin de calcular la duración?</t>
        </r>
      </text>
    </commen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Dato de Duración del proyecto</t>
        </r>
      </text>
    </comment>
    <comment ref="B1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</commentList>
</comments>
</file>

<file path=xl/comments12.xml><?xml version="1.0" encoding="utf-8"?>
<comments xmlns="http://schemas.openxmlformats.org/spreadsheetml/2006/main">
  <authors>
    <author>Autor</author>
  </authors>
  <commentList>
    <comment ref="G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C10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Debe ajustarse al número de periodos de la inversión</t>
        </r>
      </text>
    </comment>
  </commentList>
</comments>
</file>

<file path=xl/comments14.xml><?xml version="1.0" encoding="utf-8"?>
<comments xmlns="http://schemas.openxmlformats.org/spreadsheetml/2006/main">
  <authors>
    <author>Autor</author>
  </authors>
  <commentList>
    <comment ref="A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  <comment ref="C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  <comment ref="E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  <comment ref="G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</commentList>
</comments>
</file>

<file path=xl/comments15.xml><?xml version="1.0" encoding="utf-8"?>
<comments xmlns="http://schemas.openxmlformats.org/spreadsheetml/2006/main">
  <authors>
    <author>tc={A9EA9A24-9A01-4CFC-8DCC-09BC017E3A28}</author>
  </authors>
  <commentList>
    <comment ref="L48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Integrado.</t>
        </r>
      </text>
    </comment>
  </commentList>
</comments>
</file>

<file path=xl/comments17.xml><?xml version="1.0" encoding="utf-8"?>
<comments xmlns="http://schemas.openxmlformats.org/spreadsheetml/2006/main">
  <authors>
    <author>tc={59B93F94-26D1-4D22-87DE-294C032B1C46}</author>
    <author>tc={6116150E-88A5-43EF-BC34-53E8E15C4762}</author>
    <author>tc={E0BFCC0E-4565-4571-B37E-777C88F513FB}</author>
    <author>tc={FDEDA4AF-8EF1-49FB-A6ED-16229487A093}</author>
  </authors>
  <commentList>
    <comment ref="D10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la tasa de crecimiento de los ingresos definida por el usuario en la pestaña de análisis.</t>
        </r>
      </text>
    </comment>
    <comment ref="H99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por Conceptos.</t>
        </r>
      </text>
    </comment>
    <comment ref="M100" authorId="2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el costo de capital (WACC/CPPC) definido por el usuario en la pestaña de análisis.</t>
        </r>
      </text>
    </comment>
    <comment ref="H129" authorId="3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Integrado.</t>
        </r>
      </text>
    </comment>
  </commentList>
</comments>
</file>

<file path=xl/sharedStrings.xml><?xml version="1.0" encoding="utf-8"?>
<sst xmlns="http://schemas.openxmlformats.org/spreadsheetml/2006/main" uniqueCount="1135">
  <si>
    <t>Fecha</t>
  </si>
  <si>
    <t>País</t>
  </si>
  <si>
    <t>Peru</t>
  </si>
  <si>
    <t>Moneda</t>
  </si>
  <si>
    <t>Dólares</t>
  </si>
  <si>
    <t>Acciones</t>
  </si>
  <si>
    <t>Primer año de información histórica (Anual)</t>
  </si>
  <si>
    <t>Último año de información histórica (Anual)</t>
  </si>
  <si>
    <t>Entrada EE.FF.</t>
  </si>
  <si>
    <t>3289719;;;;3289719;3826276;;1865624;1198090;;;3826276;7115995;;;;2823965;;;;1391745;4215710;2900285;;;;2900285;7115995</t>
  </si>
  <si>
    <t>4103986;;;;4103986;4955240;;2537852;1361126;;;4955240;9059226;;;;3084554;;;;2729104;5813658;3245568;;;;3245568;9059226</t>
  </si>
  <si>
    <t>4490817;;;;4490817;6751464;;3323015;1540298;;;6751464;11242281;;;;3462553;;;;4321222;7783775;3458506;;;;3458506;11242281</t>
  </si>
  <si>
    <t>4618768;;;;4618768;7031343;;3410774;1801309;;;7031343;11650111;558545;;;3604331;3515304;;;4364956;7969287;3680824;;;;3680824;11650111</t>
  </si>
  <si>
    <t>6509850;;;;6509850;6898453;;3343589;1973854;;;6898453;13408303;639174;;;4645551;4676131;;;5437375;10082926;3325377;;;;3325377;13408303</t>
  </si>
  <si>
    <t>2017;3289719;;;;3289719;3826276;;1865624;1198090;;;3826276;7115995;;;;2823965;;;;1391745;4215710;2900285;;;;2900285;7115995;;;2017;6949265;-5042402;1906863;-633605;164314;-487579;-42607;743072;;;;;;;;;;;;;;;;;;;;;;;;;;;;;;;;;;;;;;;;</t>
  </si>
  <si>
    <t>BALANCE GENERAL</t>
  </si>
  <si>
    <t>Efectivo y Equivalentes al Efectivo</t>
  </si>
  <si>
    <t>Cuentas por Cobrar Comerciales y Otras Cuentas por Cobrar</t>
  </si>
  <si>
    <t>Inventarios</t>
  </si>
  <si>
    <t>Otros activos no financieros</t>
  </si>
  <si>
    <t>Total Activos Corrientes</t>
  </si>
  <si>
    <t>Inversiones Financieras e inmobiliarias</t>
  </si>
  <si>
    <t>Propiedades, Planta y Equipo</t>
  </si>
  <si>
    <t>Depreciación Acumulada*</t>
  </si>
  <si>
    <t xml:space="preserve">Activos Intangibles </t>
  </si>
  <si>
    <t>Total Activos No Corrientes</t>
  </si>
  <si>
    <t>TOTAL ACTIVOS</t>
  </si>
  <si>
    <t>Obligaciones financieras</t>
  </si>
  <si>
    <t>Cuentas por Pagar Comerciales y Otras Cuentas por Pagar</t>
  </si>
  <si>
    <t xml:space="preserve">Otros pasivos </t>
  </si>
  <si>
    <t>Total Pasivos Corrientes</t>
  </si>
  <si>
    <t>Total Pasivos No Corrientes</t>
  </si>
  <si>
    <t>TOTAL PASIVOS</t>
  </si>
  <si>
    <t xml:space="preserve">Capital </t>
  </si>
  <si>
    <t>Reserva legal y otras reservas</t>
  </si>
  <si>
    <t>Resultados Acumulados</t>
  </si>
  <si>
    <t>Otros</t>
  </si>
  <si>
    <t>TOTAL PATRIMONIO</t>
  </si>
  <si>
    <t>TOTAL PASIVOS Y PATRIMONIO</t>
  </si>
  <si>
    <t>Entrada EE.RR.</t>
  </si>
  <si>
    <t>6949265;-5042402;1906863;-633605;164314;-487579;-42607;743072;;;;;;</t>
  </si>
  <si>
    <t>8288702;-6244012;2044690;-681336;202775;-603139;26059;786274;;;;;;</t>
  </si>
  <si>
    <t>9872187;-7420013;2452174;-801905;298028;-651838;-49856;948575;;;;;;</t>
  </si>
  <si>
    <t>10131767;-7712254;2419513;-862157;286071;-688428;-75085;793843;;;;;;</t>
  </si>
  <si>
    <t>12227663;-9831454;2396209;-786246;232476;-732928;39531;916566;;-337756;;;;</t>
  </si>
  <si>
    <t>ESTADO DE RESULTADOS</t>
  </si>
  <si>
    <t>Ingresos de Actividades Ordinarias</t>
  </si>
  <si>
    <t>Costo de Ventas</t>
  </si>
  <si>
    <t>Utilidad Bruta</t>
  </si>
  <si>
    <t>Gastos de Ventas y Distribución</t>
  </si>
  <si>
    <t>Depreciación*</t>
  </si>
  <si>
    <t>Gastos de Administración</t>
  </si>
  <si>
    <t>Otros ingresos (gastos) netos</t>
  </si>
  <si>
    <t>Utilidad Operativa</t>
  </si>
  <si>
    <t>Ingresos financieros</t>
  </si>
  <si>
    <t>Gastos financieros</t>
  </si>
  <si>
    <t>Diferencia en cambio, neta</t>
  </si>
  <si>
    <t>Utilidad antes de impuesto a la renta</t>
  </si>
  <si>
    <t>Impuesto a la renta</t>
  </si>
  <si>
    <t>Utilidad neta</t>
  </si>
  <si>
    <t>Columna1</t>
  </si>
  <si>
    <t>Columna2</t>
  </si>
  <si>
    <t>Columna3</t>
  </si>
  <si>
    <t>Columna4</t>
  </si>
  <si>
    <t>Empresa concepto</t>
  </si>
  <si>
    <t>$$FVBGH$$</t>
  </si>
  <si>
    <t>Patrimonio concepto</t>
  </si>
  <si>
    <t>$$SWXSD$$</t>
  </si>
  <si>
    <t>Acciones concepto</t>
  </si>
  <si>
    <t>$$KIJUN$$</t>
  </si>
  <si>
    <t>Metodo por conceptos</t>
  </si>
  <si>
    <t>Metodo Integrado</t>
  </si>
  <si>
    <t>Empresa integrado</t>
  </si>
  <si>
    <t>$$KIJUG$$</t>
  </si>
  <si>
    <t>Valor de la empresa</t>
  </si>
  <si>
    <t>Patrimonio integrado</t>
  </si>
  <si>
    <t>$$KIJUJ$$</t>
  </si>
  <si>
    <t>Valor de la deuda</t>
  </si>
  <si>
    <t>Acciones integrado</t>
  </si>
  <si>
    <t>$$KIJUY$$</t>
  </si>
  <si>
    <t>Valor del patrimonio</t>
  </si>
  <si>
    <t>Primer año historico</t>
  </si>
  <si>
    <t>$$KIJUT$$</t>
  </si>
  <si>
    <t>Precio por acción</t>
  </si>
  <si>
    <t>Ultimo año historico</t>
  </si>
  <si>
    <t>$$PQOSJ$$</t>
  </si>
  <si>
    <t>Gastos por venta</t>
  </si>
  <si>
    <t>Valor financiero concepto</t>
  </si>
  <si>
    <t>$$LOKIH$$</t>
  </si>
  <si>
    <t>Gastos administrativos</t>
  </si>
  <si>
    <t>Valor financiero integrado</t>
  </si>
  <si>
    <t>$$NHGTF$$</t>
  </si>
  <si>
    <t>CAPEX</t>
  </si>
  <si>
    <t>Valor financiero concepto sensibilidad</t>
  </si>
  <si>
    <t>$$NHGTC$$</t>
  </si>
  <si>
    <t>Capital de trabajo</t>
  </si>
  <si>
    <t>Valor financiero integrado sensibilidad</t>
  </si>
  <si>
    <t>Tasa de crecimiento de largo plazo</t>
  </si>
  <si>
    <t>$$TEST3$$</t>
  </si>
  <si>
    <t>Costo de Capital CPPC/WACC</t>
  </si>
  <si>
    <t>$$TEST4$$</t>
  </si>
  <si>
    <t>Tasa de crecimiento de los ingresos</t>
  </si>
  <si>
    <t>$$TEST5$$</t>
  </si>
  <si>
    <t>Valor del patrimonio concepto sensibilidad</t>
  </si>
  <si>
    <t>$$TEST6$$</t>
  </si>
  <si>
    <t>Valor por acción concepto sensibilidad</t>
  </si>
  <si>
    <t>Valor del patrimonio integrado sensibilidad</t>
  </si>
  <si>
    <t>Conceptos</t>
  </si>
  <si>
    <t>Integrado</t>
  </si>
  <si>
    <t>Tratamiento del Rf</t>
  </si>
  <si>
    <t>Bono EE.UU</t>
  </si>
  <si>
    <t>Costo de deuda (Kd)</t>
  </si>
  <si>
    <t>1. Evolución del Be</t>
  </si>
  <si>
    <t>I.</t>
  </si>
  <si>
    <t>Parametros generales</t>
  </si>
  <si>
    <t>VI.</t>
  </si>
  <si>
    <t>Parámetros para el mercado emergente</t>
  </si>
  <si>
    <t>Parámetros para la empresa</t>
  </si>
  <si>
    <t>Rm Promedio</t>
  </si>
  <si>
    <t>Rf Promedio</t>
  </si>
  <si>
    <t>Rf Spot</t>
  </si>
  <si>
    <t>Bono EE.UU seleccionado</t>
  </si>
  <si>
    <t>años</t>
  </si>
  <si>
    <t>Dev. esperada</t>
  </si>
  <si>
    <t>Moneda Nac</t>
  </si>
  <si>
    <t>Mercado Desarrollado</t>
  </si>
  <si>
    <t>Bono del Rf ajustado</t>
  </si>
  <si>
    <t>Devaluación Esperada</t>
  </si>
  <si>
    <t>Mercado Emergente</t>
  </si>
  <si>
    <t>Empresa</t>
  </si>
  <si>
    <t>Prima de Mercado (Rm -Rf)</t>
  </si>
  <si>
    <t>Riesgo país</t>
  </si>
  <si>
    <t>Tasa libre de Riesgo (Rf)</t>
  </si>
  <si>
    <t>Prima empresa</t>
  </si>
  <si>
    <t>2. Formación de las tasas</t>
  </si>
  <si>
    <t>II.</t>
  </si>
  <si>
    <t>Parámetros del sector de referencia</t>
  </si>
  <si>
    <t>Sector</t>
  </si>
  <si>
    <t>Publicidad</t>
  </si>
  <si>
    <t>Mercado desarrollado</t>
  </si>
  <si>
    <t>WACC (Capitalización de Mercado) - Método por conceptos</t>
  </si>
  <si>
    <t>Ke</t>
  </si>
  <si>
    <t>Koa</t>
  </si>
  <si>
    <t>Kd</t>
  </si>
  <si>
    <t>MERCADO DESARROLLADO</t>
  </si>
  <si>
    <t>MERCADO EMERGENTE</t>
  </si>
  <si>
    <t>EMPRESA</t>
  </si>
  <si>
    <t>Rf</t>
  </si>
  <si>
    <t>Porcentaje de deuda (%D)</t>
  </si>
  <si>
    <t>Riesgo de negocio</t>
  </si>
  <si>
    <t>Porcentaje de Capital (%C)</t>
  </si>
  <si>
    <t>Riesgo económico de negocio</t>
  </si>
  <si>
    <t>Ratio D/C</t>
  </si>
  <si>
    <t>Spread de la deuda</t>
  </si>
  <si>
    <t>Tasa de Impuesto (T)</t>
  </si>
  <si>
    <t>Beta apalancado (Be)</t>
  </si>
  <si>
    <t>Moneda Nacional</t>
  </si>
  <si>
    <t>Costo de Capital Financiero (Ke)</t>
  </si>
  <si>
    <t>III.</t>
  </si>
  <si>
    <t>Determinación del Costo de Capital Financiero</t>
  </si>
  <si>
    <t>Mercado emergente</t>
  </si>
  <si>
    <t>Ke = rf + Be (Rm-rf)</t>
  </si>
  <si>
    <t>IV.</t>
  </si>
  <si>
    <t>Determinación del Costo de Capital Económico</t>
  </si>
  <si>
    <t>Costo de Capital Económico (Koa)</t>
  </si>
  <si>
    <t>Koa = rf + Boa (Rm-rf)</t>
  </si>
  <si>
    <t>Beta desapalancado (Boa)</t>
  </si>
  <si>
    <t>V.</t>
  </si>
  <si>
    <t>Determinación de la Prima de Riesgo sobre la Deuda</t>
  </si>
  <si>
    <t>Desviación estandar</t>
  </si>
  <si>
    <t>DÓLARES</t>
  </si>
  <si>
    <t>Costo de deuda despúes de impuestos (Kd(1-T))</t>
  </si>
  <si>
    <t>Kd = rf + Spread de la deuda</t>
  </si>
  <si>
    <t>Costo Promedio Ponderado de Capital (CPPC)</t>
  </si>
  <si>
    <t>Determinación del CPPC</t>
  </si>
  <si>
    <t>CPPC</t>
  </si>
  <si>
    <t xml:space="preserve">VII. </t>
  </si>
  <si>
    <t>Riesgos de negocio</t>
  </si>
  <si>
    <r>
      <t xml:space="preserve">Riesgo de negocio financiero (φ</t>
    </r>
    <r>
      <rPr>
        <rFont val="Calibri"/>
        <b val="false"/>
        <i val="false"/>
        <vertAlign val="subscript"/>
        <strike val="false"/>
        <color rgb="FF000000"/>
        <sz val="9"/>
        <u val="none"/>
      </rPr>
      <t xml:space="preserve">f</t>
    </r>
    <r>
      <rPr>
        <rFont val="Calibri"/>
        <b val="false"/>
        <i val="false"/>
        <strike val="false"/>
        <color rgb="FF000000"/>
        <sz val="9"/>
        <u val="none"/>
      </rPr>
      <t xml:space="preserve">)</t>
    </r>
  </si>
  <si>
    <r>
      <t xml:space="preserve">Riesgo de negocio económico (φ</t>
    </r>
    <r>
      <rPr>
        <rFont val="Calibri"/>
        <b val="false"/>
        <i val="false"/>
        <vertAlign val="subscript"/>
        <strike val="false"/>
        <color rgb="FF000000"/>
        <sz val="9"/>
        <u val="none"/>
      </rPr>
      <t xml:space="preserve">e</t>
    </r>
    <r>
      <rPr>
        <rFont val="Calibri"/>
        <b val="false"/>
        <i val="false"/>
        <strike val="false"/>
        <color rgb="FF000000"/>
        <sz val="9"/>
        <u val="none"/>
      </rPr>
      <t xml:space="preserve">)</t>
    </r>
  </si>
  <si>
    <t>WACC (Capitalización de Mercado) - Método integrado</t>
  </si>
  <si>
    <t>3. Formación del CPPC</t>
  </si>
  <si>
    <t>Tabla3</t>
  </si>
  <si>
    <t>Tabla7</t>
  </si>
  <si>
    <t>Columna5</t>
  </si>
  <si>
    <t>Empresa - Dólares</t>
  </si>
  <si>
    <t>Empresa Dolares</t>
  </si>
  <si>
    <t>Empresa Soles</t>
  </si>
  <si>
    <t>Industria</t>
  </si>
  <si>
    <t>Var D/C</t>
  </si>
  <si>
    <t>Tasa libre</t>
  </si>
  <si>
    <t>Año del bono</t>
  </si>
  <si>
    <t>%D</t>
  </si>
  <si>
    <t>Pais</t>
  </si>
  <si>
    <t>%C</t>
  </si>
  <si>
    <t>Kd(1-T)</t>
  </si>
  <si>
    <t>Devaluación</t>
  </si>
  <si>
    <t>Tasa</t>
  </si>
  <si>
    <t>Be</t>
  </si>
  <si>
    <t>D/C</t>
  </si>
  <si>
    <t>Deuda</t>
  </si>
  <si>
    <t>Porcentaje deuda</t>
  </si>
  <si>
    <t>Porcentaje capital</t>
  </si>
  <si>
    <t>Kd(1-t)</t>
  </si>
  <si>
    <t>WACC</t>
  </si>
  <si>
    <t>Columna6</t>
  </si>
  <si>
    <t>Parámetros del cálculo</t>
  </si>
  <si>
    <t>$$KMZGY$$</t>
  </si>
  <si>
    <t>Prima de Mercado (Rm - Rf)</t>
  </si>
  <si>
    <t>$$KMZGZ$$</t>
  </si>
  <si>
    <t>Tasa Libre de Riesgo (Rf)</t>
  </si>
  <si>
    <t>Parámetros del sector</t>
  </si>
  <si>
    <t>$$KMZGX$$</t>
  </si>
  <si>
    <t>Porcentaje de Deuda (%D)</t>
  </si>
  <si>
    <t>$$KMZGH$$</t>
  </si>
  <si>
    <t>Impuestos del Sector (t)</t>
  </si>
  <si>
    <t>Parámetros del Costo de Capital Financiero</t>
  </si>
  <si>
    <t>$$ASD256$$</t>
  </si>
  <si>
    <t>Beta Apalancado (Be)</t>
  </si>
  <si>
    <t>$$KYZA9$$</t>
  </si>
  <si>
    <t>Parámetros del Costo de Capital Económico</t>
  </si>
  <si>
    <t>$$7TZYU$$</t>
  </si>
  <si>
    <t>Beta Desapalancado (Boa)</t>
  </si>
  <si>
    <t>$$7TZYV$$</t>
  </si>
  <si>
    <t>Parámetros del Costo de Deuda</t>
  </si>
  <si>
    <t>$$FGBGB$$</t>
  </si>
  <si>
    <t>Spread de la Deuda</t>
  </si>
  <si>
    <t>$$FGBGC$$</t>
  </si>
  <si>
    <t>$$FGBGD$$</t>
  </si>
  <si>
    <t>Costo de Deuda (Kd)</t>
  </si>
  <si>
    <t>$$FGBGE$$</t>
  </si>
  <si>
    <t>Costo de Deuda Después de Impuestos Kd(1-t)</t>
  </si>
  <si>
    <t>Parámetros del CPPC</t>
  </si>
  <si>
    <t>$$WPBYC$$</t>
  </si>
  <si>
    <t>$$WPBYD$$</t>
  </si>
  <si>
    <t>$$WPBYE$$</t>
  </si>
  <si>
    <t>$$WPBYF$$</t>
  </si>
  <si>
    <t>$$WPBYG$$</t>
  </si>
  <si>
    <t>4. Estructura de Capital</t>
  </si>
  <si>
    <t>Parámetros del País Seleccionado</t>
  </si>
  <si>
    <t>$$NPQ3H$$</t>
  </si>
  <si>
    <t>M. Desarrollado</t>
  </si>
  <si>
    <t>M. Emergente</t>
  </si>
  <si>
    <t>$$HG8KI$$</t>
  </si>
  <si>
    <t>$$HG8KJ$$</t>
  </si>
  <si>
    <t>Riesgo País</t>
  </si>
  <si>
    <t>$$HG8KK$$</t>
  </si>
  <si>
    <t xml:space="preserve">Tasa Impositiva </t>
  </si>
  <si>
    <t>*MD: Mercado Desarrollado</t>
  </si>
  <si>
    <t>Parámetros de la Estructura del Financiamiento</t>
  </si>
  <si>
    <t>**ME: Mercado Emergente</t>
  </si>
  <si>
    <t>$$GH7RV$$</t>
  </si>
  <si>
    <t>$$GH7RU$$</t>
  </si>
  <si>
    <t>Parámetros Generales</t>
  </si>
  <si>
    <t>5. Tasas de la empresa</t>
  </si>
  <si>
    <t>$$AAMKD$$</t>
  </si>
  <si>
    <t>$$AAMKE$$</t>
  </si>
  <si>
    <t>$$AAMKF$$</t>
  </si>
  <si>
    <t>$$5AKK4$$</t>
  </si>
  <si>
    <t>$$5AKK5$$</t>
  </si>
  <si>
    <t>$$HTJR8$$</t>
  </si>
  <si>
    <t>$$HTJR9$$</t>
  </si>
  <si>
    <t>$$M2MZA$$</t>
  </si>
  <si>
    <t>Costo de Deuda (Mercado Emergente)</t>
  </si>
  <si>
    <t>$$M2MZB$$</t>
  </si>
  <si>
    <t>$$M2MZC$$</t>
  </si>
  <si>
    <t>$$M2MZD$$</t>
  </si>
  <si>
    <t>Desarrollado</t>
  </si>
  <si>
    <t>Emergente</t>
  </si>
  <si>
    <t>$$XI3SQ$$</t>
  </si>
  <si>
    <t>$$XI3SO$$</t>
  </si>
  <si>
    <t>$$XI3SR$$</t>
  </si>
  <si>
    <t>$$XI3SS$$</t>
  </si>
  <si>
    <t>$$XI3ST$$</t>
  </si>
  <si>
    <t>Costo de Deuda de la Empresa</t>
  </si>
  <si>
    <t>$$IE7QQ$$</t>
  </si>
  <si>
    <t>$$IE7QH$$</t>
  </si>
  <si>
    <t>Costo de Deuda de su Empresa</t>
  </si>
  <si>
    <t>Costo de Deuda del Sector</t>
  </si>
  <si>
    <t>6. Reporte Sectorial</t>
  </si>
  <si>
    <t>$$V9NJF$$</t>
  </si>
  <si>
    <t>Prima de la Empresa</t>
  </si>
  <si>
    <t>Estructura de Financiamiento de su Inversión</t>
  </si>
  <si>
    <t>$$RUDYF$$</t>
  </si>
  <si>
    <t>$$E0C1K$$</t>
  </si>
  <si>
    <t>Porcentaje de Deuda de la Empresa (%D)</t>
  </si>
  <si>
    <t>$$RUDYG$$</t>
  </si>
  <si>
    <t>$$E0C1L$$</t>
  </si>
  <si>
    <t>Porcentaje de Capital de la Empresa (%C)</t>
  </si>
  <si>
    <t>$$RUDYH$$</t>
  </si>
  <si>
    <t>Parámetros del Costo Financiero</t>
  </si>
  <si>
    <t>$$RUDYI$$</t>
  </si>
  <si>
    <t>$$B5JVC$$</t>
  </si>
  <si>
    <t>$$B5JVD$$</t>
  </si>
  <si>
    <t>$$MHNTZ$$</t>
  </si>
  <si>
    <t>Costo de Capital Económico (Koa) - M. Desarrollado</t>
  </si>
  <si>
    <t>$$MHNTX$$</t>
  </si>
  <si>
    <t>$$MHNTY$$</t>
  </si>
  <si>
    <t>$$YXOFT$$</t>
  </si>
  <si>
    <t>$$YXOFA$$</t>
  </si>
  <si>
    <t>Soles</t>
  </si>
  <si>
    <t>$$FLEMN$$</t>
  </si>
  <si>
    <t>$$MJUYB$$</t>
  </si>
  <si>
    <t>$$MJU45$$</t>
  </si>
  <si>
    <t>$$MJU46$$</t>
  </si>
  <si>
    <t>$$MJU47$$</t>
  </si>
  <si>
    <t>$$MJU48$$</t>
  </si>
  <si>
    <t>7. Comparación Sectorial de Mi Empresa</t>
  </si>
  <si>
    <t>$$MJUYH$$</t>
  </si>
  <si>
    <t>$$MJUYJ$$</t>
  </si>
  <si>
    <t>Empresa (Dólares)</t>
  </si>
  <si>
    <t>Empresa (Moneda Nacional)</t>
  </si>
  <si>
    <t>$$MJUYR$$</t>
  </si>
  <si>
    <t>$$MJUYT$$</t>
  </si>
  <si>
    <t>$$MJUYG$$</t>
  </si>
  <si>
    <t>Empresa (ME)</t>
  </si>
  <si>
    <t>$$MJU1$$</t>
  </si>
  <si>
    <t>$$MJU2$$</t>
  </si>
  <si>
    <t>$$MJU3$$</t>
  </si>
  <si>
    <t>$$MJU4$$</t>
  </si>
  <si>
    <t>$$MJUT$$</t>
  </si>
  <si>
    <t>$$MJUY$$</t>
  </si>
  <si>
    <t>Empresa (MN)</t>
  </si>
  <si>
    <t>$$MJU5$$</t>
  </si>
  <si>
    <t>$$MJU6$$</t>
  </si>
  <si>
    <t>$$MJU7$$</t>
  </si>
  <si>
    <t>$$MJU8$$</t>
  </si>
  <si>
    <t>$$MJUR$$</t>
  </si>
  <si>
    <t>Industry Name</t>
  </si>
  <si>
    <t>D/(D+E)</t>
  </si>
  <si>
    <t>E/(D+E)</t>
  </si>
  <si>
    <t>Tax rate2</t>
  </si>
  <si>
    <t>Beta</t>
  </si>
  <si>
    <t>Std Dev in Stock</t>
  </si>
  <si>
    <t>Spread Debt</t>
  </si>
  <si>
    <t>Spread debt</t>
  </si>
  <si>
    <t>Aeroespacial/ Defensa</t>
  </si>
  <si>
    <t>Transporte aéreo</t>
  </si>
  <si>
    <t>Confección de ropa</t>
  </si>
  <si>
    <t>Automóviles y Camiones</t>
  </si>
  <si>
    <t>Partes de Automóviles</t>
  </si>
  <si>
    <t>Bebida alcohólicas</t>
  </si>
  <si>
    <t>Bebidas sin alcohol</t>
  </si>
  <si>
    <t>Radiofusión</t>
  </si>
  <si>
    <t>Corretaje e inversión bancaria</t>
  </si>
  <si>
    <t>Materiales de construcción</t>
  </si>
  <si>
    <t>Servicios para empresas y consumidores</t>
  </si>
  <si>
    <t>Televisión por cable</t>
  </si>
  <si>
    <t>Químico (Básico)</t>
  </si>
  <si>
    <t>Químico (Diversificado)</t>
  </si>
  <si>
    <t>Químico (Especialidad)</t>
  </si>
  <si>
    <t>Carbón y energía relacionada</t>
  </si>
  <si>
    <t>Servicios informáticos</t>
  </si>
  <si>
    <t>Computadoras/Periféricos</t>
  </si>
  <si>
    <t>Suministros de construcción</t>
  </si>
  <si>
    <t>Diversificado</t>
  </si>
  <si>
    <t>Drogas (Biotecnología)</t>
  </si>
  <si>
    <t>Drogas (Farmacéutica)</t>
  </si>
  <si>
    <t>Educación</t>
  </si>
  <si>
    <t>Equipamiento eléctrico</t>
  </si>
  <si>
    <t>Electrónica (Consumo y Oficina)</t>
  </si>
  <si>
    <t>Electrónica (General)</t>
  </si>
  <si>
    <t>Ingeniería/Construcción</t>
  </si>
  <si>
    <t>Entretenimiento</t>
  </si>
  <si>
    <t>Servicios ambientales y de residuos</t>
  </si>
  <si>
    <t>Agricultura</t>
  </si>
  <si>
    <t>Procesamiento de alimentos</t>
  </si>
  <si>
    <t>Mayoristas de alimentos</t>
  </si>
  <si>
    <t>Muebles y Decoración del hogar</t>
  </si>
  <si>
    <t>Energía verde y renovable</t>
  </si>
  <si>
    <t>Productos de atención médica</t>
  </si>
  <si>
    <t>Servicios de apoyo médico</t>
  </si>
  <si>
    <t>Información y tecnología de atención médica</t>
  </si>
  <si>
    <t>Construcción de viviendas</t>
  </si>
  <si>
    <t>Hospitales/Instalaciones de atención médica</t>
  </si>
  <si>
    <t>Hotel/Juegos de azar</t>
  </si>
  <si>
    <t>Productos del hogar</t>
  </si>
  <si>
    <t>Servicios de información</t>
  </si>
  <si>
    <t>Seguros (Generales)</t>
  </si>
  <si>
    <t>Seguros de vida</t>
  </si>
  <si>
    <t>Seguros de Prop/Cas.</t>
  </si>
  <si>
    <t>Inversiones y Gestión de activos</t>
  </si>
  <si>
    <t>Maquinaria</t>
  </si>
  <si>
    <t>Metales y minería</t>
  </si>
  <si>
    <t>Equipo y servicios de oficina</t>
  </si>
  <si>
    <t>Petróleo/Gas (integrado)</t>
  </si>
  <si>
    <t>Petróleo/Gas (producción y exploración)</t>
  </si>
  <si>
    <t>Distribución de petróleo y gas</t>
  </si>
  <si>
    <t>Servicios/equipo de campo petrolero</t>
  </si>
  <si>
    <t>Envases y contenedores</t>
  </si>
  <si>
    <t>Papel/Productos forestales</t>
  </si>
  <si>
    <t>Energía eléctrica</t>
  </si>
  <si>
    <t>Metales preciosos</t>
  </si>
  <si>
    <t>Publicación/Periódicos</t>
  </si>
  <si>
    <t>Fideicomiso de bienes raíces</t>
  </si>
  <si>
    <t>Bienes raíces (Desarrollo)</t>
  </si>
  <si>
    <t>Bienes raíces (General/Diversificado)</t>
  </si>
  <si>
    <t>Bienes raíces (Operaciones y servicios)</t>
  </si>
  <si>
    <t>Recreación</t>
  </si>
  <si>
    <t>Reaseguro</t>
  </si>
  <si>
    <t>Restaurante/Comedor</t>
  </si>
  <si>
    <t>Minoristas (Automotriz)</t>
  </si>
  <si>
    <t>Minoristas (Materiales de construcción)</t>
  </si>
  <si>
    <t>Minoristas (Distribuidores)</t>
  </si>
  <si>
    <t>Minoristas (General)</t>
  </si>
  <si>
    <t>Minoristas (Comestibles y alimentos)</t>
  </si>
  <si>
    <t>Minoristas (En línea)</t>
  </si>
  <si>
    <t>Minoristas (Líneas Especiales)</t>
  </si>
  <si>
    <t>Caucho y neumáticos</t>
  </si>
  <si>
    <t>Semiconductores</t>
  </si>
  <si>
    <t>Equipos semiconductores</t>
  </si>
  <si>
    <t>Construcción naval y marina</t>
  </si>
  <si>
    <t>Zapatos</t>
  </si>
  <si>
    <t>Software (Entretenimiento)</t>
  </si>
  <si>
    <t>Software (Internet)</t>
  </si>
  <si>
    <t>Software (Sistema y aplicación)</t>
  </si>
  <si>
    <t>Acero</t>
  </si>
  <si>
    <t>Telecomunicaciones (Inalámbrico)</t>
  </si>
  <si>
    <t>Equipamiento de telecomunicaciones</t>
  </si>
  <si>
    <t>Servicios de telecomunicaciones</t>
  </si>
  <si>
    <t>Tabaco</t>
  </si>
  <si>
    <t>Transporte</t>
  </si>
  <si>
    <t>Transporte (Ferrocarriles)</t>
  </si>
  <si>
    <t>Transporte de carga por Carretera</t>
  </si>
  <si>
    <t>Servicios Públicos (No incluye Servicios de Agua</t>
  </si>
  <si>
    <t>Servicios Público de Agua Potable</t>
  </si>
  <si>
    <t>Mercado Total</t>
  </si>
  <si>
    <t>Mercado Total (sin el sector financiero)</t>
  </si>
  <si>
    <t>Cost of Debt Lookup Table (based on std dev in stock prices)</t>
  </si>
  <si>
    <t>Standard Deviation</t>
  </si>
  <si>
    <t>Basis Spread</t>
  </si>
  <si>
    <t>Yes</t>
  </si>
  <si>
    <t>MÉTODO POR CONCEPTOS</t>
  </si>
  <si>
    <t>1. Proyección de cuentas</t>
  </si>
  <si>
    <t>Ingresos</t>
  </si>
  <si>
    <t>Histórico</t>
  </si>
  <si>
    <t>Promedio Móvil</t>
  </si>
  <si>
    <t>Tendencia Logarítmica</t>
  </si>
  <si>
    <t>Tasa de crecimiento</t>
  </si>
  <si>
    <t>Proyección final</t>
  </si>
  <si>
    <t>Pendiente</t>
  </si>
  <si>
    <t>Constante</t>
  </si>
  <si>
    <t>Ajuste de la constante</t>
  </si>
  <si>
    <t>Valor real</t>
  </si>
  <si>
    <t>Valor est.</t>
  </si>
  <si>
    <t>Const. Aj.</t>
  </si>
  <si>
    <t>Costo de ventas</t>
  </si>
  <si>
    <t>Gasto de ventas</t>
  </si>
  <si>
    <t>Otros (Neto)</t>
  </si>
  <si>
    <t>Depreciación</t>
  </si>
  <si>
    <t>Variación</t>
  </si>
  <si>
    <t>Variación / Ingresos</t>
  </si>
  <si>
    <t>Ajuste</t>
  </si>
  <si>
    <t>Variación del CAPEX</t>
  </si>
  <si>
    <t>Activo corriente</t>
  </si>
  <si>
    <t>Pasivo corriente</t>
  </si>
  <si>
    <t>Promedio móvil</t>
  </si>
  <si>
    <t>Proyección</t>
  </si>
  <si>
    <t>Ratio capital de trabajo / ingresos</t>
  </si>
  <si>
    <t>Proyección del capital de trabajo</t>
  </si>
  <si>
    <t>2. Flujo de caja económico</t>
  </si>
  <si>
    <t>GANANCIA BRUTA</t>
  </si>
  <si>
    <t>Otros Neto</t>
  </si>
  <si>
    <t>UTILIDAD OPERATIVA ANTES DE IMPUESTOS</t>
  </si>
  <si>
    <t>Impuestos</t>
  </si>
  <si>
    <t>Depreciación y amortización</t>
  </si>
  <si>
    <t>UTILIDAD OP. DESPUÉS DE IMPUESTOS</t>
  </si>
  <si>
    <t>Inversiones en capital de trabajo</t>
  </si>
  <si>
    <t>FLUJO DE CAJA ECONÓMICO</t>
  </si>
  <si>
    <t>Valor Terminal</t>
  </si>
  <si>
    <t>Flujo de caja económico + Valor terminal</t>
  </si>
  <si>
    <t>3. Valorización con WACC(VALOR CONTABLE)</t>
  </si>
  <si>
    <t>Valora</t>
  </si>
  <si>
    <t>BVL</t>
  </si>
  <si>
    <t>Kallpa</t>
  </si>
  <si>
    <t>Valor Financiero del Flujo Económico</t>
  </si>
  <si>
    <t>Pasivo</t>
  </si>
  <si>
    <t>Valor por acción</t>
  </si>
  <si>
    <t>4. Valorización con WACC(CAPITALIZACIÓN DE MERCADO)</t>
  </si>
  <si>
    <t>Valor Contable del patrimonio</t>
  </si>
  <si>
    <t>Valor Financiero del  Patrimonio</t>
  </si>
  <si>
    <t>N°</t>
  </si>
  <si>
    <t>Depreciación Acumulada</t>
  </si>
  <si>
    <t>Impuesto</t>
  </si>
  <si>
    <t xml:space="preserve">Flujo de caja Operativo </t>
  </si>
  <si>
    <t>Cálculo del CAPEX</t>
  </si>
  <si>
    <t>Propiedad Planta y Equipo</t>
  </si>
  <si>
    <t>Depreciación acumulada</t>
  </si>
  <si>
    <t>Total Costo de Activos de Adquisición</t>
  </si>
  <si>
    <t>Gradiente</t>
  </si>
  <si>
    <t>Moneda (Estados Financieros)</t>
  </si>
  <si>
    <t>Periodo (años)</t>
  </si>
  <si>
    <t>Argentina</t>
  </si>
  <si>
    <t>Brazil</t>
  </si>
  <si>
    <t>Chile</t>
  </si>
  <si>
    <t>Colombia</t>
  </si>
  <si>
    <t>Ecuador</t>
  </si>
  <si>
    <t>Mexico</t>
  </si>
  <si>
    <t>United States</t>
  </si>
  <si>
    <t>Horizonte del proyecto (en años)</t>
  </si>
  <si>
    <t>Código</t>
  </si>
  <si>
    <t xml:space="preserve">Devaluación </t>
  </si>
  <si>
    <t>TIR</t>
  </si>
  <si>
    <t>Periodo</t>
  </si>
  <si>
    <t>Número de periodos</t>
  </si>
  <si>
    <t>Flujo de caja para TIR</t>
  </si>
  <si>
    <t>Periodicidad</t>
  </si>
  <si>
    <t>Flujo de caja_O</t>
  </si>
  <si>
    <t>VP(Flujo*t)</t>
  </si>
  <si>
    <t>Flujo*Periodo</t>
  </si>
  <si>
    <t>Valor actual de las inversiones</t>
  </si>
  <si>
    <t>Flujo de inversiones</t>
  </si>
  <si>
    <t>Duration</t>
  </si>
  <si>
    <t>FFE</t>
  </si>
  <si>
    <t>Duaratio (Anual)</t>
  </si>
  <si>
    <t>TIR FFE</t>
  </si>
  <si>
    <t>Elección de Rf en función de la duración</t>
  </si>
  <si>
    <t>X</t>
  </si>
  <si>
    <t>Y</t>
  </si>
  <si>
    <t>Date</t>
  </si>
  <si>
    <t>Rendimiento</t>
  </si>
  <si>
    <t>Curva de rendimiento (en años)</t>
  </si>
  <si>
    <t>0.25 (3 m)</t>
  </si>
  <si>
    <t>0.5 (6 m)</t>
  </si>
  <si>
    <t xml:space="preserve">Rf  seleccionado </t>
  </si>
  <si>
    <t>Boa</t>
  </si>
  <si>
    <t>PRM (T-bonds) actual</t>
  </si>
  <si>
    <t>Rm</t>
  </si>
  <si>
    <t>Rf (t-bonds)</t>
  </si>
  <si>
    <t>Country</t>
  </si>
  <si>
    <t>2015</t>
  </si>
  <si>
    <t>2016</t>
  </si>
  <si>
    <t>2017</t>
  </si>
  <si>
    <t>2018</t>
  </si>
  <si>
    <t>2019</t>
  </si>
  <si>
    <t>2020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</si>
  <si>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</si>
  <si>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</si>
  <si>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</si>
  <si>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</si>
  <si>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</si>
  <si>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</si>
  <si>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</si>
  <si>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</si>
  <si>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</si>
  <si>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</si>
  <si>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</si>
  <si>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</si>
  <si>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</si>
  <si>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</si>
  <si>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</si>
  <si>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</si>
  <si>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</si>
  <si>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</si>
  <si>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</si>
  <si>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</si>
  <si>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Bolivia</t>
  </si>
  <si>
    <t>Bonaire, Saint Eustatius and Saba</t>
  </si>
  <si>
    <t>Bosnia and Herzegovina</t>
  </si>
  <si>
    <t>Botswana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</si>
  <si>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</si>
  <si>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</si>
  <si>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</si>
  <si>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</si>
  <si>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</si>
  <si>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</si>
  <si>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</si>
  <si>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</si>
  <si>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China</t>
  </si>
  <si>
    <t>Congo</t>
  </si>
  <si>
    <t>NA</t>
  </si>
  <si>
    <t>Congo (Democratic Republic of the)</t>
  </si>
  <si>
    <t>Costa Rica</t>
  </si>
  <si>
    <t>Croatia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</si>
  <si>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</si>
  <si>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</si>
  <si>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</si>
  <si>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</si>
  <si>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</si>
  <si>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</si>
  <si>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</si>
  <si>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</si>
  <si>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</si>
  <si>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</si>
  <si>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</si>
  <si>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</si>
  <si>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</si>
  <si>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</si>
  <si>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</si>
  <si>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</si>
  <si>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</si>
  <si>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</si>
  <si>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</si>
  <si>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</si>
  <si>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</si>
  <si>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</si>
  <si>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</si>
  <si>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Guernsey</t>
  </si>
  <si>
    <t>Honduras</t>
  </si>
  <si>
    <t>Hong Kong SAR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</si>
  <si>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</si>
  <si>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</si>
  <si>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</si>
  <si>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</si>
  <si>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</si>
  <si>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</si>
  <si>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</si>
  <si>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</si>
  <si>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</si>
  <si>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</si>
  <si>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</si>
  <si>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</si>
  <si>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</si>
  <si>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</si>
  <si>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</si>
  <si>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</si>
  <si>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Korea, Republic of</t>
  </si>
  <si>
    <t>Kuwait</t>
  </si>
  <si>
    <t>Kyrgyzstan</t>
  </si>
  <si>
    <t>Latvia</t>
  </si>
  <si>
    <t>Lebanon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</si>
  <si>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</si>
  <si>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</si>
  <si>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</si>
  <si>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</si>
  <si>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</si>
  <si>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</si>
  <si>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</si>
  <si>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</si>
  <si>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</si>
  <si>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Malta</t>
  </si>
  <si>
    <t>Mauritius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</si>
  <si>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</si>
  <si>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</si>
  <si>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</si>
  <si>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</si>
  <si>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</si>
  <si>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</si>
  <si>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</si>
  <si>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</si>
  <si>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</si>
  <si>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</si>
  <si>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</si>
  <si>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</si>
  <si>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</si>
  <si>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</si>
  <si>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</si>
  <si>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Palestinian Territory</t>
  </si>
  <si>
    <t>Panama</t>
  </si>
  <si>
    <t>Papua New Guinea</t>
  </si>
  <si>
    <t>Paraguay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</si>
  <si>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</si>
  <si>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</si>
  <si>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</si>
  <si>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</si>
  <si>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</si>
  <si>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</si>
  <si>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</si>
  <si>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</si>
  <si>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</si>
  <si>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</si>
  <si>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</si>
  <si>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</si>
  <si>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</si>
  <si>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</si>
  <si>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Sierra Leone</t>
  </si>
  <si>
    <t>Singapore</t>
  </si>
  <si>
    <t>Sint Maarten (Dutch part)</t>
  </si>
  <si>
    <t>Slovakia</t>
  </si>
  <si>
    <t>Slovenia</t>
  </si>
  <si>
    <t>Solomon Islands</t>
  </si>
  <si>
    <t>South Africa</t>
  </si>
  <si>
    <t>Spain</t>
  </si>
  <si>
    <t>Sri Lanka</t>
  </si>
  <si>
    <t>St Maarten</t>
  </si>
  <si>
    <t>Sudan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</si>
  <si>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</si>
  <si>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</si>
  <si>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</si>
  <si>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</si>
  <si>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</si>
  <si>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</si>
  <si>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</si>
  <si>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</si>
  <si>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</si>
  <si>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</si>
  <si>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</si>
  <si>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</si>
  <si>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</si>
  <si>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</si>
  <si>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</si>
  <si>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</si>
  <si>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</si>
  <si>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</si>
  <si>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</si>
  <si>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</si>
  <si>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</si>
  <si>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</si>
  <si>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</si>
  <si>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</si>
  <si>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</si>
  <si>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Africa average</t>
  </si>
  <si>
    <t>Americas average</t>
  </si>
  <si>
    <t>Asia average</t>
  </si>
  <si>
    <t>EU average</t>
  </si>
  <si>
    <t>Europe average</t>
  </si>
  <si>
    <t>Global average</t>
  </si>
  <si>
    <t>Latin America average</t>
  </si>
  <si>
    <t>North America average</t>
  </si>
  <si>
    <t>Oceania average</t>
  </si>
  <si>
    <t>OECD average</t>
  </si>
  <si>
    <t>South America average</t>
  </si>
  <si>
    <t>Detalle de los flujos de la inversión</t>
  </si>
  <si>
    <t>Horizonte de evaluación (en años)</t>
  </si>
  <si>
    <t>Periodicidad de los flujos</t>
  </si>
  <si>
    <t>Anual</t>
  </si>
  <si>
    <t>Periodos de la inversión</t>
  </si>
  <si>
    <t>Flujo de caja</t>
  </si>
  <si>
    <t xml:space="preserve">Rf </t>
  </si>
  <si>
    <t>Bonos</t>
  </si>
  <si>
    <t>Periocidad de los flujos</t>
  </si>
  <si>
    <t>Horizonte de evaluación</t>
  </si>
  <si>
    <t>Rangos</t>
  </si>
  <si>
    <t>Países</t>
  </si>
  <si>
    <t>Trimestral</t>
  </si>
  <si>
    <t>Inicio</t>
  </si>
  <si>
    <t>Fin</t>
  </si>
  <si>
    <t>Ajustar Rf según la duración del proyecto</t>
  </si>
  <si>
    <t>Semestral</t>
  </si>
  <si>
    <t>Fechas</t>
  </si>
  <si>
    <t>MÉTODO INTEGRADO</t>
  </si>
  <si>
    <t>Flujo de caja operativo</t>
  </si>
  <si>
    <t>Flujo de caja económico + Valor Terminal</t>
  </si>
  <si>
    <t>3. Valorización con WACC (VALOR CONTABLE)</t>
  </si>
  <si>
    <t>Método por conceptos</t>
  </si>
  <si>
    <t>dProyección/dt</t>
  </si>
  <si>
    <t>d2Proyección/dt2</t>
  </si>
  <si>
    <t>Tasa de Crecimiento</t>
  </si>
  <si>
    <t>Relación Ingresos - Otras variables</t>
  </si>
  <si>
    <t>Costos de Ventas</t>
  </si>
  <si>
    <t>Gastos de ventas</t>
  </si>
  <si>
    <t>Método Integrado</t>
  </si>
  <si>
    <t>Empresa </t>
  </si>
  <si>
    <t>ID</t>
  </si>
  <si>
    <t>N. de acciones</t>
  </si>
  <si>
    <t>Capitalización_Bursátil</t>
  </si>
  <si>
    <t>Valor_por_accion</t>
  </si>
  <si>
    <t>AENZA S.A.A.</t>
  </si>
  <si>
    <t>AENZAC1</t>
  </si>
  <si>
    <t>ALICORP S.A.A.</t>
  </si>
  <si>
    <t>ALICORC1</t>
  </si>
  <si>
    <t>A.F.P. INTEGRA S.A.</t>
  </si>
  <si>
    <t>INTEGRC1</t>
  </si>
  <si>
    <t>ADMINISTRADORA DEL COMERCIO S.A.</t>
  </si>
  <si>
    <t>ADCOMEC1</t>
  </si>
  <si>
    <t>AFP HABITAT S.A.</t>
  </si>
  <si>
    <t>HABITAC1</t>
  </si>
  <si>
    <t>AGRO INDUSTRIAL PARAMONGA S.A.A.</t>
  </si>
  <si>
    <t>PARAMOC1</t>
  </si>
  <si>
    <t>AGRO PUCALA S.A.A.</t>
  </si>
  <si>
    <t>PUCALAC1</t>
  </si>
  <si>
    <t>AGROINDUSTRIAL LAREDO S.A.A.</t>
  </si>
  <si>
    <t>LAREDOC1</t>
  </si>
  <si>
    <t>AGROINDUSTRIAS AIB S.A.</t>
  </si>
  <si>
    <t>AIBC1</t>
  </si>
  <si>
    <t>AGROINDUSTRIAS SAN JACINTO SOCIEDAD ANONIMA ABIERTA (AGROINDUSTRIAS SAN JACINTO S.A.A.)</t>
  </si>
  <si>
    <t>SNJACIC1</t>
  </si>
  <si>
    <t>AGROKASA HOLDINGS S.A.</t>
  </si>
  <si>
    <t>AGROKAC1</t>
  </si>
  <si>
    <t>AGRÍCOLA CAYALTÍ S.A.A.</t>
  </si>
  <si>
    <t>CAYALTC1</t>
  </si>
  <si>
    <t>AI INVERSIONES PALO ALTO S.A.</t>
  </si>
  <si>
    <t>PALOALC1</t>
  </si>
  <si>
    <t>ALFIN BANCO S.A.</t>
  </si>
  <si>
    <t>ALFINAC1</t>
  </si>
  <si>
    <t>ALTA COPPER CORP. (antes Candente Copper Corp.)</t>
  </si>
  <si>
    <t>ATCU</t>
  </si>
  <si>
    <t>ALTURAS MINERALS CORP.</t>
  </si>
  <si>
    <t>ALT</t>
  </si>
  <si>
    <t>ANDINO INVESTMENT HOLDING S.A.A.</t>
  </si>
  <si>
    <t>AIHC1</t>
  </si>
  <si>
    <t>AUSTRAL GROUP S.A.A.</t>
  </si>
  <si>
    <t>AUSTRAC1</t>
  </si>
  <si>
    <t>AVLA PERÚ COMPAÑÍA DE SEGUROS S.A.</t>
  </si>
  <si>
    <t>AVLASGC1</t>
  </si>
  <si>
    <t>AZZARO TRADING S.A.</t>
  </si>
  <si>
    <t>AZZAROC1</t>
  </si>
  <si>
    <t>BANCO BBVA PERU</t>
  </si>
  <si>
    <t>BBVAC1</t>
  </si>
  <si>
    <t>BANCO BCI PERU S.A.</t>
  </si>
  <si>
    <t>BCIPEC1</t>
  </si>
  <si>
    <t>BANCO DE COMERCIO</t>
  </si>
  <si>
    <t>BANCOMC1</t>
  </si>
  <si>
    <t>BANCO DE CREDITO DEL PERU</t>
  </si>
  <si>
    <t>CREDITC1</t>
  </si>
  <si>
    <t>BANCO FALABELLA PERU S.A.</t>
  </si>
  <si>
    <t>BANFALC1</t>
  </si>
  <si>
    <t>BANCO GNB PERÚ S.A.</t>
  </si>
  <si>
    <t>GNBC1</t>
  </si>
  <si>
    <t>BANCO INTERAMERICANO DE FINANZAS S.A. - BANBIF</t>
  </si>
  <si>
    <t>BIFC1</t>
  </si>
  <si>
    <t>BANCO INTERNACIONAL DEL PERU S.A.A. - INTERBANK</t>
  </si>
  <si>
    <t>INTERBC1</t>
  </si>
  <si>
    <t>BANCO PICHINCHA</t>
  </si>
  <si>
    <t>BPICHC1</t>
  </si>
  <si>
    <t>BANCO RIPLEY PERÚ S.A.</t>
  </si>
  <si>
    <t>BRIPLEC1</t>
  </si>
  <si>
    <t>BANCO SANTANDER PERÚ S.A.</t>
  </si>
  <si>
    <t>SANC1</t>
  </si>
  <si>
    <t>BANK OF CHINA (PERU) S.A.</t>
  </si>
  <si>
    <t>BOCPEC1</t>
  </si>
  <si>
    <t>BAYER S.A.</t>
  </si>
  <si>
    <t>BAYERI1</t>
  </si>
  <si>
    <t>BEAR CREEK MINING CORPORATION</t>
  </si>
  <si>
    <t>BCM</t>
  </si>
  <si>
    <t>BNP PARIBAS CARDIF S.A. COMPAÑIA DE SEGUROS Y REASEGUROS</t>
  </si>
  <si>
    <t>CARDIFC1</t>
  </si>
  <si>
    <t>BOLSA DE VALORES DE LIMA S.A.</t>
  </si>
  <si>
    <t>BVLC1</t>
  </si>
  <si>
    <t>CAJA MUNICIPAL DE AHORRO Y CREDITO DE AREQUIPA S.A.</t>
  </si>
  <si>
    <t>CMAQPC1</t>
  </si>
  <si>
    <t>CAJA RURAL DE AHORRO Y CREDITO LOS ANDES S.A.</t>
  </si>
  <si>
    <t>CRANDEC1</t>
  </si>
  <si>
    <t>CARTAVIO SOCIEDAD ANONIMA ABIERTA (CARTAVIO S.A.A.)</t>
  </si>
  <si>
    <t>CARTAVC1</t>
  </si>
  <si>
    <t>CASA GRANDE SOCIEDAD ANONIMA ABIERTA (CASA GRANDE S.A.A.)</t>
  </si>
  <si>
    <t>CASAGRC1</t>
  </si>
  <si>
    <t>CASTROVIRREYNA COMPAÑIA MINERA S.A. - EN LIQUIDACION</t>
  </si>
  <si>
    <t>CASTROC1</t>
  </si>
  <si>
    <t>CAVALI S.A. I.C.L.V.</t>
  </si>
  <si>
    <t>CAVALIC1</t>
  </si>
  <si>
    <t>CEMENTOS PACASMAYO S.A.A.</t>
  </si>
  <si>
    <t>CPACASC1</t>
  </si>
  <si>
    <t>CENTRAL AZUCARERA CHUCARAPI PAMPA BLANCA S.A.</t>
  </si>
  <si>
    <t>CHUCARC1</t>
  </si>
  <si>
    <t>CERVECERIA SAN JUAN S.A.</t>
  </si>
  <si>
    <t>SNJUANC1</t>
  </si>
  <si>
    <t>CHUBB PERU S.A. COMPAÑIA DE SEGUROS Y REASEGUROS</t>
  </si>
  <si>
    <t>CHUBSGC1</t>
  </si>
  <si>
    <t>CINEPLEX S.A.</t>
  </si>
  <si>
    <t>CINEPAC1</t>
  </si>
  <si>
    <t>CITIBANK DEL PERU S.A. - CITIBANK PERU</t>
  </si>
  <si>
    <t>CITIBKC1</t>
  </si>
  <si>
    <t>COLEGIOS PERUANOS S.A.</t>
  </si>
  <si>
    <t>COLPERC1</t>
  </si>
  <si>
    <t>COMPARTAMOS FINANCIERA S.A.</t>
  </si>
  <si>
    <t>COMPFC1</t>
  </si>
  <si>
    <t>COMPAÑÍA DE MINAS BUENAVENTURA S.A.A.</t>
  </si>
  <si>
    <t>BUENAVC1</t>
  </si>
  <si>
    <t>COMPAÑÍA MINERA PODEROSA S.A.</t>
  </si>
  <si>
    <t>PODERC1</t>
  </si>
  <si>
    <t>COMPAÑÍA MINERA SAN IGNACIO DE MOROCOCHA S.A.A.</t>
  </si>
  <si>
    <t>MOROCOC1</t>
  </si>
  <si>
    <t>COMPAÑÍA MINERA SANTA LUISA S.A.</t>
  </si>
  <si>
    <t>LUISAI1</t>
  </si>
  <si>
    <t>COMPAÑÍA UNIVERSAL TEXTIL S.A. - EN LIQUIDACIÓN</t>
  </si>
  <si>
    <t>UNITEXC1</t>
  </si>
  <si>
    <t>CONSORCIO CEMENTERO DEL SUR S.A. - CONCESUR S.A.</t>
  </si>
  <si>
    <t>CONCESI1</t>
  </si>
  <si>
    <t>CONSORCIO INDUSTRIAL DE AREQUIPA S.A.</t>
  </si>
  <si>
    <t>CIAREQI1</t>
  </si>
  <si>
    <t>CORPORACION ACEROS AREQUIPA S.A.</t>
  </si>
  <si>
    <t>CORAREC1</t>
  </si>
  <si>
    <t>CORPORACION CERVESUR S.A.A.</t>
  </si>
  <si>
    <t>COCESUC1</t>
  </si>
  <si>
    <t>CORPORACION FINANCIERA DE DESARROLLO S.A. - COFIDE</t>
  </si>
  <si>
    <t>COFIDCC1</t>
  </si>
  <si>
    <t>CRECER SEGUROS S.A. COMPAÑIA DE SEGUROS</t>
  </si>
  <si>
    <t>CRECERC1</t>
  </si>
  <si>
    <t>CREDICORP CAPITAL PERÚ S.A.A.</t>
  </si>
  <si>
    <t>CRECAPC1</t>
  </si>
  <si>
    <t>CREDICORP LTD.</t>
  </si>
  <si>
    <t>BAP</t>
  </si>
  <si>
    <t>CREDISCOTIA FINANCIERA S.A.</t>
  </si>
  <si>
    <t>CSCOTIC1</t>
  </si>
  <si>
    <t>CREDITEX S.A.A.</t>
  </si>
  <si>
    <t>CRETEXC1</t>
  </si>
  <si>
    <t>DESARROLLOS SIGLO XXI S.A.A.</t>
  </si>
  <si>
    <t>DESXXIC1</t>
  </si>
  <si>
    <t>DIVISO GRUPO FINANCIERO S.A.</t>
  </si>
  <si>
    <t>DIVIC1</t>
  </si>
  <si>
    <t>DUNAS ENERGÍA S.A.A.</t>
  </si>
  <si>
    <t>DUNENC1</t>
  </si>
  <si>
    <t>ELECTRO DUNAS S.A.A.</t>
  </si>
  <si>
    <t>EDUNASC1</t>
  </si>
  <si>
    <t>ELECTRO PUNO S.A.A.</t>
  </si>
  <si>
    <t>EPUNOBC1</t>
  </si>
  <si>
    <t>ELECTRO SUR ESTE S.A.A.</t>
  </si>
  <si>
    <t>ESUREBC1</t>
  </si>
  <si>
    <t>ELEMENT 29 RESOURCES INC.</t>
  </si>
  <si>
    <t>ECU</t>
  </si>
  <si>
    <t>EMP. REG. DE SERVICIO PUBLICO DE ELECTRICIDAD ELECTRONORTE MEDIO S.A.- HIDRANDINA</t>
  </si>
  <si>
    <t>HIDRA2C1</t>
  </si>
  <si>
    <t>EMPRESA AGRARIA AZUCARERA ANDAHUASI S.A.A.</t>
  </si>
  <si>
    <t>ANDAHUC1</t>
  </si>
  <si>
    <t>EMPRESA AGRARIA CHIQUITOY S.A. - EN REESTRUCTURACION</t>
  </si>
  <si>
    <t>CHIQUIC1</t>
  </si>
  <si>
    <t>EMPRESA AGRICOLA GANADERA SALAMANCA S.A.</t>
  </si>
  <si>
    <t>GANSALC1</t>
  </si>
  <si>
    <t>EMPRESA AGRICOLA LA UNION S.A.</t>
  </si>
  <si>
    <t>AUNIONC1</t>
  </si>
  <si>
    <t>EMPRESA AGRICOLA SAN JUAN S.A.</t>
  </si>
  <si>
    <t>ASJUANC1</t>
  </si>
  <si>
    <t>EMPRESA AGRICOLA SINTUCO S.A.</t>
  </si>
  <si>
    <t>SINTUC1</t>
  </si>
  <si>
    <t>EMPRESA AGROINDUSTRIAL POMALCA S.A.A.</t>
  </si>
  <si>
    <t>POMALCC1</t>
  </si>
  <si>
    <t>EMPRESA AGROINDUSTRIAL TUMAN S.A.A.</t>
  </si>
  <si>
    <t>TUMANC1</t>
  </si>
  <si>
    <t>EMPRESA AZUCARERA "EL INGENIO" S.A.</t>
  </si>
  <si>
    <t>INGENIC1</t>
  </si>
  <si>
    <t>EMPRESA DE GENERACION ELECTRICA SAN GABAN S.A.</t>
  </si>
  <si>
    <t>SANGABC1</t>
  </si>
  <si>
    <t>EMPRESA DE GENERACIÓN ELÉCTRICA DEL SUR S.A. - EGESUR</t>
  </si>
  <si>
    <t>EGESUBC1</t>
  </si>
  <si>
    <t>EMPRESA EDITORA EL COMERCIO S.A.</t>
  </si>
  <si>
    <t>ELCOMEI1</t>
  </si>
  <si>
    <t>EMPRESA ELECTRICIDAD DEL PERU - ELECTROPERU S.A.</t>
  </si>
  <si>
    <t>ELECPBC1</t>
  </si>
  <si>
    <t>EMPRESA REGIONAL DE SERVICIO PUBLICO DE ELECTRICIDAD - ELECTROSUR S.A.</t>
  </si>
  <si>
    <t>ELESUDC1</t>
  </si>
  <si>
    <t>EMPRESA SIDERURGICA DEL PERU S.A.A.</t>
  </si>
  <si>
    <t>SIDERC1</t>
  </si>
  <si>
    <t>ENEL DISTRIBUCIÓN PERÚ S.A.A.</t>
  </si>
  <si>
    <t>ENDISPC1</t>
  </si>
  <si>
    <t>ENEL GENERACIÓN PERÚ S.A.A.</t>
  </si>
  <si>
    <t>ENGEPEC1</t>
  </si>
  <si>
    <t>ENEL GENERACIÓN PIURA S.A.</t>
  </si>
  <si>
    <t>EGEPIBC1</t>
  </si>
  <si>
    <t>ENERGÍA DEL PACÍFICO S.A.</t>
  </si>
  <si>
    <t>ENPACIC1</t>
  </si>
  <si>
    <t>ENGIE ENERGIA PERU S.A</t>
  </si>
  <si>
    <t>ENGIEC1</t>
  </si>
  <si>
    <t>EXPERTIA TRAVEL S.A.</t>
  </si>
  <si>
    <t>EXPERTC1</t>
  </si>
  <si>
    <t>FABRICA NACIONAL DE ACUMULADORES ETNA S.A.</t>
  </si>
  <si>
    <t>ETNAI1</t>
  </si>
  <si>
    <t>FABRICA PERUANA ETERNIT S.A.</t>
  </si>
  <si>
    <t>ETERNII1</t>
  </si>
  <si>
    <t>FALABELLA PERÚ S.A.A.</t>
  </si>
  <si>
    <t>FALABEC1</t>
  </si>
  <si>
    <t>FERREYCORP S.A.A.</t>
  </si>
  <si>
    <t>FERREYC1</t>
  </si>
  <si>
    <t>FILAMENTOS INDUSTRIALES S.A.</t>
  </si>
  <si>
    <t>FILAMEI1</t>
  </si>
  <si>
    <t>FINANCIERA CONFIANZA S.A.A.</t>
  </si>
  <si>
    <t>FCONFIC1</t>
  </si>
  <si>
    <t>FINANCIERA CREDINKA S.A.</t>
  </si>
  <si>
    <t>FCREDIC1</t>
  </si>
  <si>
    <t>FINANCIERA EFECTIVA S.A.</t>
  </si>
  <si>
    <t>EFECTIC1</t>
  </si>
  <si>
    <t>FINANCIERA OH! S.A.</t>
  </si>
  <si>
    <t>FINOHC1</t>
  </si>
  <si>
    <t>FINANCIERA PROEMPRESA S.A.</t>
  </si>
  <si>
    <t>FPROEMC1</t>
  </si>
  <si>
    <t>FINANCIERA QAPAQ S.A.</t>
  </si>
  <si>
    <t>QAPAQC1</t>
  </si>
  <si>
    <t>FINANCIERA TFC S.A. - EN LIQUIDACIÓN</t>
  </si>
  <si>
    <t>FINTFCC1</t>
  </si>
  <si>
    <t>FOSFATOS DEL PACÍFICO S.A. - FOSPAC S.A.</t>
  </si>
  <si>
    <t>FOSPACC1</t>
  </si>
  <si>
    <t>FOSSAL S.A.A.</t>
  </si>
  <si>
    <t>FOSSALC1</t>
  </si>
  <si>
    <t>FUTURA CONSORCIO INMOBILIARIO S.A.</t>
  </si>
  <si>
    <t>FUTURAC1</t>
  </si>
  <si>
    <t>GR HOLDING S.A.</t>
  </si>
  <si>
    <t>GRHOLDC1</t>
  </si>
  <si>
    <t>GRUPO BVL S.A.A.</t>
  </si>
  <si>
    <t>GBVLAC1</t>
  </si>
  <si>
    <t>HERMES TRANSPORTES BLINDADOS S.A.</t>
  </si>
  <si>
    <t>HERMESC1</t>
  </si>
  <si>
    <t>HIDROSTAL S.A.</t>
  </si>
  <si>
    <t>HIDROSI1</t>
  </si>
  <si>
    <t>ICBC PERÚ BANK S.A.</t>
  </si>
  <si>
    <t>ICBCC1</t>
  </si>
  <si>
    <t>INCA RAIL S.A.</t>
  </si>
  <si>
    <t>INCRAIC1</t>
  </si>
  <si>
    <t>INDECO S.A.</t>
  </si>
  <si>
    <t>INDECOI1</t>
  </si>
  <si>
    <t>INDUSTRIA TEXTIL PIURA S.A.</t>
  </si>
  <si>
    <t>PIURAC1</t>
  </si>
  <si>
    <t>INDUSTRIAS ELECTRO QUIMICAS S.A. - IEQSA</t>
  </si>
  <si>
    <t>IEQSAI1</t>
  </si>
  <si>
    <t>INMOBILIARIA IDE S.A.</t>
  </si>
  <si>
    <t>IIDEC1</t>
  </si>
  <si>
    <t>INMOBILIARIA SIC S.A.</t>
  </si>
  <si>
    <t>ISICC1</t>
  </si>
  <si>
    <t>INRETAIL PERÚ CORP.</t>
  </si>
  <si>
    <t>INRETC1</t>
  </si>
  <si>
    <t>INSUR S.A. COMPAÑÍA DE SEGUROS</t>
  </si>
  <si>
    <t>INSURC1</t>
  </si>
  <si>
    <t>INTERCORP FINANCIAL SERVICES INC.</t>
  </si>
  <si>
    <t>IFS</t>
  </si>
  <si>
    <t>INTERCORP PERU LTD.</t>
  </si>
  <si>
    <t>INTCOBC1</t>
  </si>
  <si>
    <t>INTERSEGURO COMPAÑÍA DE SEGUROS S.A.</t>
  </si>
  <si>
    <t>INTSEGC1</t>
  </si>
  <si>
    <t>INVERFAL PERÚ S.A.A.</t>
  </si>
  <si>
    <t>INVFALC1</t>
  </si>
  <si>
    <t>INVERSIONES CENTENARIO S.A.A.</t>
  </si>
  <si>
    <t>INVCENC1</t>
  </si>
  <si>
    <t>INVERSIONES CORPORATIVAS A1 S.A.</t>
  </si>
  <si>
    <t>INVCO2C1</t>
  </si>
  <si>
    <t>INVERSIONES EN TURISMO S.A. - INVERTUR</t>
  </si>
  <si>
    <t>INVERTC1</t>
  </si>
  <si>
    <t>J.P. MORGAN BANCO DE INVERSIÓN</t>
  </si>
  <si>
    <t>JPMORGC1</t>
  </si>
  <si>
    <t>LA POSITIVA SEGUROS Y REASEGUROS S.A.A.</t>
  </si>
  <si>
    <t>POSITIC1</t>
  </si>
  <si>
    <t>LA POSITIVA VIDA SEGUROS Y REASEGUROS S.A.</t>
  </si>
  <si>
    <t>POSITVC1</t>
  </si>
  <si>
    <t>LAIVE S.A.</t>
  </si>
  <si>
    <t>LAIVEBC1</t>
  </si>
  <si>
    <t>LECHE GLORIA S.A.</t>
  </si>
  <si>
    <t>GLORIAI1</t>
  </si>
  <si>
    <t>LIBERTY SEGUROS S.A.</t>
  </si>
  <si>
    <t>LIBSEGC1</t>
  </si>
  <si>
    <t>LIMA CAUCHO S.A. - EN LIQUIDACIÓN</t>
  </si>
  <si>
    <t>CAUCH2C1</t>
  </si>
  <si>
    <t>LOS PORTALES S.A.</t>
  </si>
  <si>
    <t>PORTAC1</t>
  </si>
  <si>
    <t>LUZ DEL SUR S.A.A.</t>
  </si>
  <si>
    <t>LUSURC1</t>
  </si>
  <si>
    <t>MANUFACTURA DE METALES Y ALUMINIO "RECORD" S.A.</t>
  </si>
  <si>
    <t>RECORDI1</t>
  </si>
  <si>
    <t>MAPFRE PERÚ COMPAÑÍA DE SEGUROS Y REASEGUROS</t>
  </si>
  <si>
    <t>MAPFSGC1</t>
  </si>
  <si>
    <t>MIBANCO BANCO DE LA MICRO EMPRESA S.A.</t>
  </si>
  <si>
    <t>MIBANC1</t>
  </si>
  <si>
    <t>MICHELL Y CIA. S.A.</t>
  </si>
  <si>
    <t>MICHEI1</t>
  </si>
  <si>
    <t>MINERA ANDINA DE EXPLORACIONES S.A.A.</t>
  </si>
  <si>
    <t>ANDEXAC1</t>
  </si>
  <si>
    <t>MINERA IRL LIMITED</t>
  </si>
  <si>
    <t>MIRL</t>
  </si>
  <si>
    <t>MINSUR S.A.</t>
  </si>
  <si>
    <t>MINSURI1</t>
  </si>
  <si>
    <t>MITSUI AUTO FINANCE PERÚ S.A.</t>
  </si>
  <si>
    <t>MITSUFC1</t>
  </si>
  <si>
    <t>NESSUS HOTELES PERÚ S.A.</t>
  </si>
  <si>
    <t>NESSUSC1</t>
  </si>
  <si>
    <t>NEXA RESOURCES ATACOCHA S.A.A.</t>
  </si>
  <si>
    <t>ATACOAC1</t>
  </si>
  <si>
    <t>NEXA RESOURCES PERU S.A.A.</t>
  </si>
  <si>
    <t>NEXAPEC1</t>
  </si>
  <si>
    <t>OHIO NATIONAL SEGUROS DE VIDA S.A.</t>
  </si>
  <si>
    <t>OHIOC1</t>
  </si>
  <si>
    <t>PACÍFICO COMPAÑÍA DE SEGUROS Y REASEGUROS</t>
  </si>
  <si>
    <t>PACIFIC1</t>
  </si>
  <si>
    <t>PANORO MINERALS LTD.</t>
  </si>
  <si>
    <t>PML</t>
  </si>
  <si>
    <t>PERU HOLDING DE TURISMO S.A.A.</t>
  </si>
  <si>
    <t>PHTBC1</t>
  </si>
  <si>
    <t>PERUANA DE ENERGIA S.A.A.</t>
  </si>
  <si>
    <t>PERENAC1</t>
  </si>
  <si>
    <t>PERUBAR S.A.</t>
  </si>
  <si>
    <t>PERUBAI1</t>
  </si>
  <si>
    <t>PESQUERA EXALMAR S.A.A.</t>
  </si>
  <si>
    <t>EXALMC1</t>
  </si>
  <si>
    <t>PETROLEOS DEL PERÚ - PETROPERU S.A.</t>
  </si>
  <si>
    <t>PETROBC1</t>
  </si>
  <si>
    <t>PPX MINING CORP.</t>
  </si>
  <si>
    <t>PPX</t>
  </si>
  <si>
    <t>PRIMA AFP S.A.</t>
  </si>
  <si>
    <t>PRIMAC1</t>
  </si>
  <si>
    <t>PROFUTURO A.F.P.</t>
  </si>
  <si>
    <t>PROFUTC1</t>
  </si>
  <si>
    <t>PROTECTA S.A. COMPAÑÍA DE SEGUROS</t>
  </si>
  <si>
    <t>PROTECC1</t>
  </si>
  <si>
    <t>PUCARA GOLD LIMITED</t>
  </si>
  <si>
    <t>TORO</t>
  </si>
  <si>
    <t>PVT PORTAFOLIO DE VALORES S.A.</t>
  </si>
  <si>
    <t>PVTBC1</t>
  </si>
  <si>
    <t>RED BICOLOR DE COMUNICACIONES S.A.A. - EN REESTRUCTURACIÓN</t>
  </si>
  <si>
    <t>RBCBC1</t>
  </si>
  <si>
    <t>RED VIAL 5 S.A.</t>
  </si>
  <si>
    <t>RVIA5BC1</t>
  </si>
  <si>
    <t>REGULUS RESOURCES INC.</t>
  </si>
  <si>
    <t>REG</t>
  </si>
  <si>
    <t>RIMAC SEGUROS Y REASEGUROS</t>
  </si>
  <si>
    <t>RIMSEGC1</t>
  </si>
  <si>
    <t>RIO2 LIMITED</t>
  </si>
  <si>
    <t>RIO</t>
  </si>
  <si>
    <t>SAGA FALABELLA S.A.</t>
  </si>
  <si>
    <t>SAGAC1</t>
  </si>
  <si>
    <t>SCOTIABANK PERU S.A.A.</t>
  </si>
  <si>
    <t>SCOTIAC1</t>
  </si>
  <si>
    <t>SECREX COMPAÑIA DE SEGUROS DE CREDITO Y GARANTIAS S.A.</t>
  </si>
  <si>
    <t>SECREXC1</t>
  </si>
  <si>
    <t>SERVICIO DE AGUA POTABLE Y ALCANTARILLADO DE LIMA - SEDAPAL</t>
  </si>
  <si>
    <t>SEDAPBC1</t>
  </si>
  <si>
    <t>SHOUGANG GENERACION ELECTRICA S.A.A.</t>
  </si>
  <si>
    <t>SHOUGEC1</t>
  </si>
  <si>
    <t>SHOUGANG HIERRO PERU S.A.A.</t>
  </si>
  <si>
    <t>SHPC1</t>
  </si>
  <si>
    <t>SILVER MOUNTAIN RESOURCES INC.</t>
  </si>
  <si>
    <t>AGMR</t>
  </si>
  <si>
    <t>SOCIEDAD AGRICOLA FANUPE VICHAYAL S.A.</t>
  </si>
  <si>
    <t>FANUPEC1</t>
  </si>
  <si>
    <t>SOCIEDAD ELECTRICA DEL SUR OESTE S.A. - SEAL</t>
  </si>
  <si>
    <t>SEALDC1</t>
  </si>
  <si>
    <t>SOCIEDAD MINERA CERRO VERDE S.A.A.</t>
  </si>
  <si>
    <t>CVERDEC1</t>
  </si>
  <si>
    <t>SOCIEDAD MINERA CORONA S.A.</t>
  </si>
  <si>
    <t>MINCORC1</t>
  </si>
  <si>
    <t>SOCIEDAD MINERA EL BROCAL S.A.A.</t>
  </si>
  <si>
    <t>BROCALC1</t>
  </si>
  <si>
    <t>SOLUCION EMPRESA ADMINISTRADORA HIPOTECARIA S.A.</t>
  </si>
  <si>
    <t>SOLUCIC1</t>
  </si>
  <si>
    <t>SOUTHERN COPPER CORPORATION</t>
  </si>
  <si>
    <t>SCCO</t>
  </si>
  <si>
    <t>SOUTHERN PERU COPPER CORPORATION - SUCURSAL DEL PERU</t>
  </si>
  <si>
    <t>SPCCPI1</t>
  </si>
  <si>
    <t>TC SIGLO 21 S.A.A.</t>
  </si>
  <si>
    <t>TELCAAC1</t>
  </si>
  <si>
    <t>TELEFONICA DEL PERU S.A.A.</t>
  </si>
  <si>
    <t>TELEFBC1</t>
  </si>
  <si>
    <t>TEXTIL SAN CRISTOBAL S.A. - EN LIQUIDACIÓN</t>
  </si>
  <si>
    <t>SNCRISC1</t>
  </si>
  <si>
    <t>TINKA RESOURCES LIMITED</t>
  </si>
  <si>
    <t>TK</t>
  </si>
  <si>
    <t>TOTAL SERVICIOS FINANCIEROS EMPRESA DE CREDITOS</t>
  </si>
  <si>
    <t>TOTALSC1</t>
  </si>
  <si>
    <t>TRADI S.A.</t>
  </si>
  <si>
    <t>TRADIC1</t>
  </si>
  <si>
    <t>UNACEM CORP S.A.A.</t>
  </si>
  <si>
    <t>UNACEMC1</t>
  </si>
  <si>
    <t xml:space="preserve">UNION DE CERVECERIAS PERUANAS BACKUS Y JOHNSTON S.A.A. </t>
  </si>
  <si>
    <t>BACKUAC1</t>
  </si>
  <si>
    <t>VIVIR SEGUROS COMPAÑÍA DE SEGUROS DE VIDA S.A.</t>
  </si>
  <si>
    <t>VIVSEGC1</t>
  </si>
  <si>
    <t>VOLCAN COMPAÑIA MINERA S.A.A.</t>
  </si>
  <si>
    <t>VOLCAAC1</t>
  </si>
  <si>
    <t>VOLVO FINANCIAL SERVICES EMPRESA DE CREDITOS S.A.</t>
  </si>
  <si>
    <t>VFSECAC1</t>
  </si>
</sst>
</file>

<file path=xl/styles.xml><?xml version="1.0" encoding="utf-8"?>
<styleSheet xmlns="http://schemas.openxmlformats.org/spreadsheetml/2006/main" xml:space="preserve">
  <numFmts count="17">
    <numFmt numFmtId="164" formatCode="0.00000000%"/>
    <numFmt numFmtId="165" formatCode="&quot;S/&quot;\ #,##0.00;[Red]\-&quot;S/&quot;\ #,##0.00"/>
    <numFmt numFmtId="166" formatCode="0.000%"/>
    <numFmt numFmtId="167" formatCode="0.0000"/>
    <numFmt numFmtId="168" formatCode="#,##0.00_ ;\-#,##0.00\ "/>
    <numFmt numFmtId="169" formatCode="_-* #,##0.00_-;\-* #,##0.00_-;_-* &quot;-&quot;??_-;_-@_-"/>
    <numFmt numFmtId="170" formatCode="0.0%"/>
    <numFmt numFmtId="171" formatCode="0.000"/>
    <numFmt numFmtId="172" formatCode="_-* #,##0_-;\-* #,##0_-;_-* &quot;-&quot;??_-;_-@_-"/>
    <numFmt numFmtId="173" formatCode="0.00000%"/>
    <numFmt numFmtId="174" formatCode="0.000000%"/>
    <numFmt numFmtId="175" formatCode="_-* #,##0.000_-;\-* #,##0.000_-;_-* &quot;-&quot;??_-;_-@_-"/>
    <numFmt numFmtId="176" formatCode="#,##0_ ;\-#,##0\ "/>
    <numFmt numFmtId="177" formatCode="&quot;S/&quot;#,##0"/>
    <numFmt numFmtId="178" formatCode="#,##0.0000000_ ;\-#,##0.0000000\ "/>
    <numFmt numFmtId="179" formatCode="##\ ##0.00"/>
    <numFmt numFmtId="180" formatCode="0.0000%"/>
  </numFmts>
  <fonts count="5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Bahnschrift"/>
    </font>
    <font>
      <b val="0"/>
      <i val="0"/>
      <strike val="0"/>
      <u val="none"/>
      <sz val="11"/>
      <color rgb="FF000000"/>
      <name val="Bahnschrift"/>
    </font>
    <font>
      <b val="0"/>
      <i val="0"/>
      <strike val="0"/>
      <u val="none"/>
      <sz val="10"/>
      <color rgb="FF000000"/>
      <name val="Bahnschrift"/>
    </font>
    <font>
      <b val="0"/>
      <i val="0"/>
      <strike val="0"/>
      <u val="none"/>
      <sz val="11"/>
      <color rgb="FFFFFFFF"/>
      <name val="Bahnschrift"/>
    </font>
    <font>
      <b val="1"/>
      <i val="0"/>
      <strike val="0"/>
      <u val="none"/>
      <sz val="10"/>
      <color rgb="FFFFFFFF"/>
      <name val="Bahnschrift"/>
    </font>
    <font>
      <b val="1"/>
      <i val="0"/>
      <strike val="0"/>
      <u val="none"/>
      <sz val="9"/>
      <color rgb="FF2A2A2A"/>
      <name val="Arial"/>
    </font>
    <font>
      <b val="1"/>
      <i val="1"/>
      <strike val="0"/>
      <u val="none"/>
      <sz val="9"/>
      <color rgb="FF000000"/>
      <name val="Geneva"/>
    </font>
    <font>
      <b val="1"/>
      <i val="0"/>
      <strike val="0"/>
      <u val="none"/>
      <sz val="11"/>
      <color rgb="FFFFFFFF"/>
      <name val="Calibri"/>
    </font>
    <font>
      <b val="1"/>
      <i val="1"/>
      <strike val="0"/>
      <u val="none"/>
      <sz val="10"/>
      <color rgb="FF00257E"/>
      <name val="Arial"/>
    </font>
    <font>
      <b val="0"/>
      <i val="0"/>
      <strike val="0"/>
      <u val="none"/>
      <sz val="10"/>
      <color rgb="FF333333"/>
      <name val="Arial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002060"/>
      <name val="Calibri"/>
    </font>
    <font>
      <b val="0"/>
      <i val="0"/>
      <strike val="0"/>
      <u val="none"/>
      <sz val="9"/>
      <color rgb="FF000000"/>
      <name val="Geneva"/>
    </font>
    <font>
      <b val="1"/>
      <i val="0"/>
      <strike val="0"/>
      <u val="none"/>
      <sz val="9"/>
      <color rgb="FF000000"/>
      <name val="Geneva"/>
    </font>
    <font>
      <b val="0"/>
      <i val="0"/>
      <strike val="0"/>
      <u val="none"/>
      <sz val="13"/>
      <color rgb="FF393B3E"/>
      <name val="Source Sans Pro"/>
    </font>
    <font>
      <b val="0"/>
      <i val="0"/>
      <strike val="0"/>
      <u val="none"/>
      <sz val="11"/>
      <color rgb="FF393B3E"/>
      <name val="Source Sans Pro"/>
    </font>
    <font>
      <b val="0"/>
      <i val="0"/>
      <strike val="0"/>
      <u val="none"/>
      <sz val="11"/>
      <color rgb="FFA6A6A6"/>
      <name val="Calibri"/>
      <scheme val="minor"/>
    </font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1"/>
      <color rgb="FFA6A6A6"/>
      <name val="Calibri"/>
      <scheme val="minor"/>
    </font>
    <font>
      <b val="1"/>
      <i val="0"/>
      <strike val="0"/>
      <u val="none"/>
      <sz val="11"/>
      <color rgb="FFFFFFFF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21306B"/>
      <name val="Calibri"/>
      <scheme val="minor"/>
    </font>
    <font>
      <b val="0"/>
      <i val="0"/>
      <strike val="0"/>
      <u val="none"/>
      <sz val="11"/>
      <color rgb="FFFF0000"/>
      <name val="Calibri"/>
      <scheme val="minor"/>
    </font>
    <font>
      <b val="0"/>
      <i val="0"/>
      <strike val="0"/>
      <u val="none"/>
      <sz val="11"/>
      <color rgb="FF31479F"/>
      <name val="Calibri"/>
      <scheme val="minor"/>
    </font>
    <font>
      <b val="0"/>
      <i val="0"/>
      <strike val="0"/>
      <u val="none"/>
      <sz val="11"/>
      <color rgb="FF002060"/>
      <name val="Calibri"/>
      <scheme val="minor"/>
    </font>
    <font>
      <b val="1"/>
      <i val="0"/>
      <strike val="0"/>
      <u val="none"/>
      <sz val="11"/>
      <color rgb="FF31479F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1"/>
      <color rgb="FFF14124"/>
      <name val="Calibri"/>
      <scheme val="minor"/>
    </font>
    <font>
      <b val="0"/>
      <i val="0"/>
      <strike val="0"/>
      <u val="none"/>
      <sz val="9"/>
      <color rgb="FF2A2A2A"/>
      <name val="Arial"/>
    </font>
    <font>
      <b val="0"/>
      <i val="0"/>
      <strike val="0"/>
      <u val="none"/>
      <sz val="9"/>
      <color rgb="FFFF0000"/>
      <name val="Geneva"/>
    </font>
    <font>
      <b val="1"/>
      <i val="0"/>
      <strike val="0"/>
      <u val="none"/>
      <sz val="10"/>
      <color rgb="FF0070C0"/>
      <name val="Calibri"/>
    </font>
    <font>
      <b val="1"/>
      <i val="0"/>
      <strike val="0"/>
      <u val="none"/>
      <sz val="11"/>
      <color rgb="FF34AD8C"/>
      <name val="Calibri"/>
    </font>
    <font>
      <b val="1"/>
      <i val="0"/>
      <strike val="0"/>
      <u val="none"/>
      <sz val="11"/>
      <color rgb="FFF14124"/>
      <name val="Calibri"/>
    </font>
    <font>
      <b val="1"/>
      <i val="0"/>
      <strike val="0"/>
      <u val="none"/>
      <sz val="11"/>
      <color rgb="FF4E67C8"/>
      <name val="Calibri"/>
    </font>
    <font>
      <b val="0"/>
      <i val="0"/>
      <strike val="0"/>
      <u val="none"/>
      <sz val="11"/>
      <color rgb="FF5DCEAF"/>
      <name val="Calibri"/>
      <scheme val="minor"/>
    </font>
    <font>
      <b val="0"/>
      <i val="0"/>
      <strike val="0"/>
      <u val="none"/>
      <sz val="11"/>
      <color rgb="FF5DCEAF"/>
      <name val="Calibri"/>
    </font>
    <font>
      <b val="1"/>
      <i val="0"/>
      <strike val="0"/>
      <u val="none"/>
      <sz val="11"/>
      <color rgb="FF0070C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333333"/>
      <name val="Calibri"/>
      <scheme val="minor"/>
    </font>
    <font>
      <b val="1"/>
      <i val="0"/>
      <strike val="0"/>
      <u val="none"/>
      <sz val="9"/>
      <color rgb="FFFF0000"/>
      <name val="Calibri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2"/>
      <color rgb="FF31479F"/>
      <name val="Calibri"/>
      <scheme val="minor"/>
    </font>
    <font>
      <b val="1"/>
      <i val="0"/>
      <strike val="0"/>
      <u val="none"/>
      <sz val="11"/>
      <color rgb="FF0E5672"/>
      <name val="Arial Rounded MT Bold"/>
    </font>
  </fonts>
  <fills count="42">
    <fill>
      <patternFill patternType="none"/>
    </fill>
    <fill>
      <patternFill patternType="gray125"/>
    </fill>
    <fill>
      <patternFill patternType="solid">
        <fgColor rgb="FFD3F5F6"/>
        <bgColor rgb="FFFFFFFF"/>
      </patternFill>
    </fill>
    <fill>
      <patternFill patternType="solid">
        <fgColor rgb="FFD3E6F3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FFFCC"/>
        <bgColor rgb="FFFFFFCC"/>
      </patternFill>
    </fill>
    <fill>
      <patternFill patternType="solid">
        <fgColor rgb="FF1CADE4"/>
        <bgColor rgb="FF1CADE4"/>
      </patternFill>
    </fill>
    <fill>
      <patternFill patternType="solid">
        <fgColor rgb="FFD1EEF9"/>
        <bgColor rgb="FFD1EEF9"/>
      </patternFill>
    </fill>
    <fill>
      <patternFill patternType="solid">
        <fgColor rgb="FFFFFFFF"/>
        <bgColor rgb="FFFFFFFF"/>
      </patternFill>
    </fill>
    <fill>
      <patternFill patternType="solid">
        <fgColor rgb="FFD8E7DC"/>
        <bgColor rgb="FFFFFFFF"/>
      </patternFill>
    </fill>
    <fill>
      <patternFill patternType="solid">
        <fgColor rgb="FF134163"/>
        <bgColor rgb="FFFFFFFF"/>
      </patternFill>
    </fill>
    <fill>
      <patternFill patternType="solid">
        <fgColor rgb="FFDFECEB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DF1F9"/>
        <bgColor rgb="FFFFFFFF"/>
      </patternFill>
    </fill>
    <fill>
      <patternFill patternType="solid">
        <fgColor rgb="FFD7D7D7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4DCFA"/>
        <bgColor rgb="FFFFFFFF"/>
      </patternFill>
    </fill>
    <fill>
      <patternFill patternType="solid">
        <fgColor rgb="FFFCF305"/>
        <bgColor rgb="FF000000"/>
      </patternFill>
    </fill>
    <fill>
      <patternFill patternType="solid">
        <fgColor rgb="FFA4DE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DFF5FD"/>
        <bgColor rgb="FFFFFFFF"/>
      </patternFill>
    </fill>
    <fill>
      <patternFill patternType="solid">
        <fgColor rgb="FF073D66"/>
        <bgColor rgb="FFFFFFFF"/>
      </patternFill>
    </fill>
    <fill>
      <patternFill patternType="solid">
        <fgColor rgb="FFDEF5EF"/>
        <bgColor rgb="FFFFFFFF"/>
      </patternFill>
    </fill>
    <fill>
      <patternFill patternType="solid">
        <fgColor rgb="FFDBE0F4"/>
        <bgColor rgb="FFFFFFFF"/>
      </patternFill>
    </fill>
    <fill>
      <patternFill patternType="solid">
        <fgColor rgb="FFFCD9D3"/>
        <bgColor rgb="FFFFFFFF"/>
      </patternFill>
    </fill>
    <fill>
      <patternFill patternType="solid">
        <fgColor rgb="FFDFF5FD"/>
        <bgColor rgb="FFDFF5FD"/>
      </patternFill>
    </fill>
    <fill>
      <patternFill patternType="solid">
        <fgColor rgb="FFFFFFFF"/>
        <bgColor rgb="FFDFF5FD"/>
      </patternFill>
    </fill>
    <fill>
      <patternFill patternType="solid">
        <fgColor rgb="FFDBE0F4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AEDFB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DF5FD"/>
        <bgColor rgb="FF000000"/>
      </patternFill>
    </fill>
    <fill>
      <patternFill patternType="solid">
        <fgColor rgb="FFEDFBDD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FFFFFF"/>
      </patternFill>
    </fill>
    <fill>
      <patternFill patternType="solid">
        <fgColor rgb="FFB8C2E9"/>
        <bgColor rgb="FFB8C2E9"/>
      </patternFill>
    </fill>
    <fill>
      <patternFill patternType="solid">
        <fgColor rgb="FFDBE0F4"/>
        <bgColor rgb="FFDBE0F4"/>
      </patternFill>
    </fill>
    <fill>
      <patternFill patternType="solid">
        <fgColor rgb="FF0070C0"/>
        <bgColor rgb="FFFFFFFF"/>
      </patternFill>
    </fill>
    <fill>
      <patternFill patternType="solid">
        <fgColor rgb="FFFF8021"/>
        <bgColor rgb="FFFFFFFF"/>
      </patternFill>
    </fill>
    <fill>
      <patternFill patternType="solid">
        <fgColor rgb="FF4E67C8"/>
        <bgColor rgb="FFFFFFFF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6CDEE"/>
      </left>
      <right style="thin">
        <color rgb="FF76CDEE"/>
      </right>
      <top style="thin">
        <color rgb="FF76CDEE"/>
      </top>
      <bottom/>
      <diagonal/>
    </border>
    <border>
      <left style="thin">
        <color rgb="FF76CDEE"/>
      </left>
      <right style="thin">
        <color rgb="FF76CDEE"/>
      </right>
      <top style="thin">
        <color rgb="FF76CDEE"/>
      </top>
      <bottom style="thin">
        <color rgb="FF76CD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6CDEE"/>
      </left>
      <right/>
      <top style="medium">
        <color rgb="FF000000"/>
      </top>
      <bottom/>
      <diagonal/>
    </border>
    <border>
      <left style="medium">
        <color rgb="FF134163"/>
      </left>
      <right style="medium">
        <color rgb="FF134163"/>
      </right>
      <top style="medium">
        <color rgb="FF134163"/>
      </top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 style="medium">
        <color rgb="FF215D4B"/>
      </top>
      <bottom style="medium">
        <color rgb="FF215D4B"/>
      </bottom>
      <diagonal/>
    </border>
    <border>
      <left style="medium">
        <color rgb="FF134163"/>
      </left>
      <right style="medium">
        <color rgb="FF134163"/>
      </right>
      <top/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/>
      <bottom style="medium">
        <color rgb="FF215D4B"/>
      </bottom>
      <diagonal/>
    </border>
    <border>
      <left style="thin">
        <color rgb="FF76CDEE"/>
      </left>
      <right style="thin">
        <color rgb="FF76CDEE"/>
      </right>
      <top/>
      <bottom/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76CDEE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4E67C8"/>
      </left>
      <right style="thin">
        <color rgb="FF4E67C8"/>
      </right>
      <top style="thin">
        <color rgb="FF4E67C8"/>
      </top>
      <bottom style="thin">
        <color rgb="FF4E67C8"/>
      </bottom>
      <diagonal/>
    </border>
    <border>
      <left style="thin">
        <color rgb="FFF14124"/>
      </left>
      <right style="thin">
        <color rgb="FFF14124"/>
      </right>
      <top style="thin">
        <color rgb="FFF14124"/>
      </top>
      <bottom style="thin">
        <color rgb="FFF14124"/>
      </bottom>
      <diagonal/>
    </border>
    <border>
      <left style="thin">
        <color rgb="FFF14124"/>
      </left>
      <right style="thin">
        <color rgb="FFF14124"/>
      </right>
      <top style="thin">
        <color rgb="FFF1412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ECCF3"/>
      </left>
      <right style="thin">
        <color rgb="FF5ECCF3"/>
      </right>
      <top style="thin">
        <color rgb="FF5ECCF3"/>
      </top>
      <bottom style="thin">
        <color rgb="FF5ECCF3"/>
      </bottom>
      <diagonal/>
    </border>
    <border>
      <left/>
      <right style="thin">
        <color rgb="FF5ECCF3"/>
      </right>
      <top/>
      <bottom style="thin">
        <color rgb="FF5ECCF3"/>
      </bottom>
      <diagonal/>
    </border>
    <border>
      <left style="thin">
        <color rgb="FF5ECCF3"/>
      </left>
      <right/>
      <top/>
      <bottom style="thin">
        <color rgb="FF5ECCF3"/>
      </bottom>
      <diagonal/>
    </border>
    <border>
      <left/>
      <right style="thin">
        <color rgb="FF5ECCF3"/>
      </right>
      <top style="thin">
        <color rgb="FF5ECCF3"/>
      </top>
      <bottom style="thin">
        <color rgb="FF5ECCF3"/>
      </bottom>
      <diagonal/>
    </border>
    <border>
      <left style="thin">
        <color rgb="FF5ECCF3"/>
      </left>
      <right/>
      <top style="thin">
        <color rgb="FF5ECCF3"/>
      </top>
      <bottom style="thin">
        <color rgb="FF5ECCF3"/>
      </bottom>
      <diagonal/>
    </border>
    <border>
      <left/>
      <right style="thin">
        <color rgb="FF5ECCF3"/>
      </right>
      <top style="thin">
        <color rgb="FF5ECCF3"/>
      </top>
      <bottom/>
      <diagonal/>
    </border>
    <border>
      <left style="thin">
        <color rgb="FF5ECCF3"/>
      </left>
      <right/>
      <top style="thin">
        <color rgb="FF5ECCF3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F14124"/>
      </left>
      <right/>
      <top style="thin">
        <color rgb="FFF14124"/>
      </top>
      <bottom style="thin">
        <color rgb="FFF14124"/>
      </bottom>
      <diagonal/>
    </border>
    <border>
      <left style="thin">
        <color rgb="FFF14124"/>
      </left>
      <right/>
      <top style="thin">
        <color rgb="FFF14124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F14124"/>
      </left>
      <right/>
      <top/>
      <bottom/>
      <diagonal/>
    </border>
    <border>
      <left style="thin">
        <color rgb="FFF14124"/>
      </left>
      <right style="thin">
        <color rgb="FFF14124"/>
      </right>
      <top/>
      <bottom/>
      <diagonal/>
    </border>
    <border>
      <left/>
      <right/>
      <top style="thin">
        <color rgb="FFF14124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14124"/>
      </top>
      <bottom/>
      <diagonal/>
    </border>
    <border>
      <left/>
      <right/>
      <top style="thin">
        <color rgb="FFFFFFFF"/>
      </top>
      <bottom style="thin">
        <color rgb="FFF14124"/>
      </bottom>
      <diagonal/>
    </border>
    <border>
      <left style="thin">
        <color rgb="FFF14124"/>
      </left>
      <right/>
      <top style="thin">
        <color rgb="FFFFFFFF"/>
      </top>
      <bottom/>
      <diagonal/>
    </border>
    <border>
      <left style="thin">
        <color rgb="FFF14124"/>
      </left>
      <right/>
      <top style="thin">
        <color rgb="FFFFFFFF"/>
      </top>
      <bottom style="thin">
        <color rgb="FFF14124"/>
      </bottom>
      <diagonal/>
    </border>
    <border>
      <left style="thin">
        <color rgb="FFFFFFFF"/>
      </left>
      <right/>
      <top/>
      <bottom/>
      <diagonal/>
    </border>
    <border>
      <left/>
      <right/>
      <top style="thick">
        <color rgb="FFFFFFFF"/>
      </top>
      <bottom/>
      <diagonal/>
    </border>
    <border>
      <left style="thin">
        <color rgb="FFFFFFFF"/>
      </left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FFFFFF"/>
      </top>
      <bottom style="thin">
        <color rgb="FF00B050"/>
      </bottom>
      <diagonal/>
    </border>
    <border>
      <left/>
      <right/>
      <top style="thin">
        <color rgb="FF00B050"/>
      </top>
      <bottom/>
      <diagonal/>
    </border>
    <border>
      <left style="thin">
        <color rgb="FFFFFFFF"/>
      </left>
      <right/>
      <top style="thin">
        <color rgb="FF00B050"/>
      </top>
      <bottom/>
      <diagonal/>
    </border>
    <border>
      <left style="thin">
        <color rgb="FFFFFFFF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rgb="FFFFFFFF"/>
      </left>
      <right/>
      <top style="thick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FFFF"/>
      </left>
      <right/>
      <top style="thin">
        <color rgb="FFF14124"/>
      </top>
      <bottom style="thin">
        <color rgb="FFF14124"/>
      </bottom>
      <diagonal/>
    </border>
    <border>
      <left style="thin">
        <color rgb="FF4E67C8"/>
      </left>
      <right style="thin">
        <color rgb="FF4E67C8"/>
      </right>
      <top style="thin">
        <color rgb="FF4E67C8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79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9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5" fillId="0" borderId="1" applyFont="0" applyNumberFormat="1" applyFill="0" applyBorder="1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5" fillId="0" borderId="1" applyFont="0" applyNumberFormat="1" applyFill="0" applyBorder="1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2" fillId="0" borderId="1" applyFont="0" applyNumberFormat="1" applyFill="0" applyBorder="1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1">
      <alignment horizontal="right" vertical="bottom" textRotation="0" wrapText="false" shrinkToFit="false"/>
    </xf>
    <xf xfId="0" fontId="0" numFmtId="2" fillId="4" borderId="1" applyFont="0" applyNumberFormat="1" applyFill="1" applyBorder="1" applyAlignment="1">
      <alignment horizontal="right" vertical="bottom" textRotation="0" wrapText="false" shrinkToFit="false"/>
    </xf>
    <xf xfId="0" fontId="4" numFmtId="164" fillId="0" borderId="2" applyFont="1" applyNumberFormat="1" applyFill="0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10" fillId="0" borderId="0" applyFont="0" applyNumberFormat="1" applyFill="0" applyBorder="0" applyAlignment="0"/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6" borderId="0" applyFont="1" applyNumberFormat="0" applyFill="1" applyBorder="0" applyAlignment="1">
      <alignment horizontal="center" vertical="bottom" textRotation="0" wrapText="false" shrinkToFit="false"/>
    </xf>
    <xf xfId="0" fontId="0" numFmtId="10" fillId="7" borderId="1" applyFont="0" applyNumberFormat="1" applyFill="1" applyBorder="1" applyAlignment="0"/>
    <xf xfId="0" fontId="9" numFmtId="0" fillId="8" borderId="4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9" borderId="4" applyFont="0" applyNumberFormat="0" applyFill="1" applyBorder="1" applyAlignment="0"/>
    <xf xfId="0" fontId="0" numFmtId="0" fillId="9" borderId="4" applyFont="0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10" numFmtId="0" fillId="10" borderId="3" applyFont="1" applyNumberFormat="0" applyFill="1" applyBorder="1" applyAlignment="1">
      <alignment horizontal="center" vertical="bottom" textRotation="0" wrapText="false" shrinkToFit="false"/>
    </xf>
    <xf xfId="0" fontId="11" numFmtId="49" fillId="10" borderId="3" applyFont="1" applyNumberFormat="1" applyFill="1" applyBorder="1" applyAlignment="0"/>
    <xf xfId="0" fontId="11" numFmtId="10" fillId="10" borderId="3" applyFont="1" applyNumberFormat="1" applyFill="1" applyBorder="1" applyAlignment="1">
      <alignment horizontal="center" vertical="bottom" textRotation="0" wrapText="false" shrinkToFit="false"/>
    </xf>
    <xf xfId="0" fontId="11" numFmtId="10" fillId="10" borderId="6" applyFont="1" applyNumberFormat="1" applyFill="1" applyBorder="1" applyAlignment="1">
      <alignment horizontal="center" vertical="bottom" textRotation="0" wrapText="false" shrinkToFit="false"/>
    </xf>
    <xf xfId="0" fontId="3" numFmtId="49" fillId="11" borderId="7" applyFont="1" applyNumberFormat="1" applyFill="1" applyBorder="1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right" vertical="bottom" textRotation="0" wrapText="false" shrinkToFit="false"/>
    </xf>
    <xf xfId="0" fontId="12" numFmtId="0" fillId="0" borderId="0" applyFont="1" applyNumberFormat="0" applyFill="0" applyBorder="0" applyAlignment="0"/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right" vertical="bottom" textRotation="0" wrapText="false" shrinkToFit="false"/>
    </xf>
    <xf xfId="0" fontId="13" numFmtId="0" fillId="0" borderId="0" applyFont="1" applyNumberFormat="0" applyFill="0" applyBorder="0" applyAlignment="0"/>
    <xf xfId="0" fontId="14" numFmtId="0" fillId="0" borderId="0" applyFont="1" applyNumberFormat="0" applyFill="0" applyBorder="0" applyAlignment="0"/>
    <xf xfId="0" fontId="13" numFmtId="10" fillId="0" borderId="1" applyFont="1" applyNumberFormat="1" applyFill="0" applyBorder="1" applyAlignment="1">
      <alignment horizontal="right" vertical="bottom" textRotation="0" wrapText="false" shrinkToFit="false"/>
    </xf>
    <xf xfId="0" fontId="13" numFmtId="2" fillId="0" borderId="1" applyFont="1" applyNumberFormat="1" applyFill="0" applyBorder="1" applyAlignment="1">
      <alignment horizontal="right" vertical="bottom" textRotation="0" wrapText="false" shrinkToFit="false"/>
    </xf>
    <xf xfId="0" fontId="13" numFmtId="10" fillId="0" borderId="1" applyFont="1" applyNumberFormat="1" applyFill="0" applyBorder="1" applyAlignment="0"/>
    <xf xfId="0" fontId="13" numFmtId="2" fillId="0" borderId="1" applyFont="1" applyNumberFormat="1" applyFill="0" applyBorder="1" applyAlignment="0"/>
    <xf xfId="0" fontId="13" numFmtId="10" fillId="0" borderId="1" applyFont="1" applyNumberFormat="1" applyFill="0" applyBorder="1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10" fillId="0" borderId="0" applyFont="1" applyNumberFormat="1" applyFill="0" applyBorder="0" applyAlignment="1">
      <alignment horizontal="center" vertical="bottom" textRotation="0" wrapText="false" shrinkToFit="false"/>
    </xf>
    <xf xfId="0" fontId="13" numFmtId="2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10" fillId="0" borderId="0" applyFont="1" applyNumberFormat="1" applyFill="0" applyBorder="0" applyAlignment="0"/>
    <xf xfId="0" fontId="13" numFmtId="10" fillId="10" borderId="1" applyFont="1" applyNumberFormat="1" applyFill="1" applyBorder="1" applyAlignment="0"/>
    <xf xfId="0" fontId="0" numFmtId="166" fillId="0" borderId="0" applyFont="0" applyNumberFormat="1" applyFill="0" applyBorder="0" applyAlignment="0"/>
    <xf xfId="0" fontId="13" numFmtId="167" fillId="0" borderId="1" applyFont="1" applyNumberFormat="1" applyFill="0" applyBorder="1" applyAlignment="0"/>
    <xf xfId="0" fontId="13" numFmtId="167" fillId="0" borderId="1" applyFont="1" applyNumberFormat="1" applyFill="0" applyBorder="1" applyAlignment="1">
      <alignment horizontal="right" vertical="bottom" textRotation="0" wrapText="false" shrinkToFit="false"/>
    </xf>
    <xf xfId="0" fontId="0" numFmtId="0" fillId="9" borderId="5" applyFont="0" applyNumberFormat="0" applyFill="1" applyBorder="1" applyAlignment="0"/>
    <xf xfId="0" fontId="0" numFmtId="0" fillId="10" borderId="0" applyFont="0" applyNumberFormat="0" applyFill="1" applyBorder="0" applyAlignment="0"/>
    <xf xfId="0" fontId="6" numFmtId="0" fillId="12" borderId="8" applyFont="1" applyNumberFormat="0" applyFill="1" applyBorder="1" applyAlignment="1">
      <alignment horizontal="center" vertical="bottom" textRotation="0" wrapText="false" shrinkToFit="false"/>
    </xf>
    <xf xfId="0" fontId="15" numFmtId="0" fillId="13" borderId="9" applyFont="1" applyNumberFormat="0" applyFill="1" applyBorder="1" applyAlignment="1">
      <alignment horizontal="center" vertical="center" textRotation="0" wrapText="false" shrinkToFit="false"/>
    </xf>
    <xf xfId="0" fontId="6" numFmtId="0" fillId="12" borderId="10" applyFont="1" applyNumberFormat="0" applyFill="1" applyBorder="1" applyAlignment="1">
      <alignment horizontal="center" vertical="bottom" textRotation="0" wrapText="false" shrinkToFit="false"/>
    </xf>
    <xf xfId="0" fontId="15" numFmtId="0" fillId="13" borderId="11" applyFont="1" applyNumberFormat="0" applyFill="1" applyBorder="1" applyAlignment="1">
      <alignment horizontal="center" vertical="center" textRotation="0" wrapText="false" shrinkToFit="false"/>
    </xf>
    <xf xfId="0" fontId="13" numFmtId="0" fillId="10" borderId="0" applyFont="1" applyNumberFormat="0" applyFill="1" applyBorder="0" applyAlignment="0"/>
    <xf xfId="0" fontId="3" numFmtId="0" fillId="10" borderId="0" applyFont="1" applyNumberFormat="0" applyFill="1" applyBorder="0" applyAlignment="0"/>
    <xf xfId="0" fontId="5" numFmtId="0" fillId="12" borderId="8" applyFont="1" applyNumberFormat="0" applyFill="1" applyBorder="1" applyAlignment="1">
      <alignment horizontal="center" vertical="center" textRotation="0" wrapText="false" shrinkToFit="false"/>
    </xf>
    <xf xfId="0" fontId="0" numFmtId="0" fillId="13" borderId="8" applyFont="0" applyNumberFormat="0" applyFill="1" applyBorder="1" applyAlignment="1">
      <alignment horizontal="center" vertical="center" textRotation="0" wrapText="false" shrinkToFit="false"/>
    </xf>
    <xf xfId="0" fontId="0" numFmtId="0" fillId="10" borderId="0" applyFont="0" applyNumberFormat="0" applyFill="1" applyBorder="0" applyAlignment="1">
      <alignment horizontal="center" vertical="center" textRotation="0" wrapText="false" shrinkToFit="false"/>
    </xf>
    <xf xfId="0" fontId="14" numFmtId="0" fillId="10" borderId="0" applyFont="1" applyNumberFormat="0" applyFill="1" applyBorder="0" applyAlignment="0"/>
    <xf xfId="0" fontId="15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9" fillId="0" borderId="0" applyFont="0" applyNumberFormat="1" applyFill="0" applyBorder="0" applyAlignment="0"/>
    <xf xfId="0" fontId="0" numFmtId="0" fillId="0" borderId="12" applyFont="0" applyNumberFormat="0" applyFill="0" applyBorder="1" applyAlignment="0"/>
    <xf xfId="0" fontId="0" numFmtId="0" fillId="9" borderId="12" applyFont="0" applyNumberFormat="0" applyFill="1" applyBorder="1" applyAlignment="0"/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14" borderId="1" applyFont="0" applyNumberFormat="0" applyFill="1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14" borderId="1" applyFont="0" applyNumberFormat="1" applyFill="1" applyBorder="1" applyAlignment="1">
      <alignment horizontal="center" vertical="bottom" textRotation="0" wrapText="false" shrinkToFit="false"/>
    </xf>
    <xf xfId="0" fontId="0" numFmtId="0" fillId="15" borderId="1" applyFont="0" applyNumberFormat="0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0"/>
    <xf xfId="0" fontId="0" numFmtId="168" fillId="0" borderId="1" applyFont="0" applyNumberFormat="1" applyFill="0" applyBorder="1" applyAlignment="1">
      <alignment vertical="center" textRotation="0" wrapText="false" shrinkToFit="false"/>
    </xf>
    <xf xfId="0" fontId="7" numFmtId="0" fillId="16" borderId="6" applyFont="1" applyNumberFormat="0" applyFill="1" applyBorder="1" applyAlignment="1">
      <alignment horizontal="center" vertical="center" textRotation="0" wrapText="true" shrinkToFit="false"/>
    </xf>
    <xf xfId="0" fontId="7" numFmtId="0" fillId="16" borderId="1" applyFont="1" applyNumberFormat="0" applyFill="1" applyBorder="1" applyAlignment="1">
      <alignment horizontal="center" vertical="center" textRotation="0" wrapText="true" shrinkToFit="false"/>
    </xf>
    <xf xfId="0" fontId="7" numFmtId="2" fillId="16" borderId="1" applyFont="1" applyNumberFormat="1" applyFill="1" applyBorder="1" applyAlignment="1">
      <alignment horizontal="center" vertical="center" textRotation="0" wrapText="true" shrinkToFit="false"/>
    </xf>
    <xf xfId="0" fontId="16" numFmtId="0" fillId="17" borderId="1" applyFont="1" applyNumberFormat="0" applyFill="1" applyBorder="1" applyAlignment="0"/>
    <xf xfId="0" fontId="16" numFmtId="2" fillId="17" borderId="1" applyFont="1" applyNumberFormat="1" applyFill="1" applyBorder="1" applyAlignment="0"/>
    <xf xfId="0" fontId="0" numFmtId="10" fillId="17" borderId="1" applyFont="0" applyNumberFormat="1" applyFill="1" applyBorder="1" applyAlignment="1">
      <alignment horizontal="center" vertical="bottom" textRotation="0" wrapText="false" shrinkToFit="false"/>
    </xf>
    <xf xfId="0" fontId="16" numFmtId="0" fillId="0" borderId="1" applyFont="1" applyNumberFormat="0" applyFill="0" applyBorder="1" applyAlignment="0"/>
    <xf xfId="0" fontId="17" numFmtId="0" fillId="0" borderId="1" applyFont="1" applyNumberFormat="0" applyFill="0" applyBorder="1" applyAlignment="0"/>
    <xf xfId="0" fontId="17" numFmtId="0" fillId="17" borderId="1" applyFont="1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4" applyFont="0" applyNumberFormat="0" applyFill="0" applyBorder="1" applyAlignment="0"/>
    <xf xfId="0" fontId="18" numFmtId="0" fillId="0" borderId="0" applyFont="1" applyNumberFormat="0" applyFill="0" applyBorder="0" applyAlignment="1">
      <alignment horizontal="left" vertical="center" textRotation="0" wrapText="true" shrinkToFit="false" indent="1"/>
    </xf>
    <xf xfId="0" fontId="0" numFmtId="0" fillId="9" borderId="4" applyFont="0" applyNumberFormat="0" applyFill="1" applyBorder="1" applyAlignment="0"/>
    <xf xfId="0" fontId="19" numFmtId="0" fillId="0" borderId="13" applyFont="1" applyNumberFormat="0" applyFill="0" applyBorder="1" applyAlignment="1">
      <alignment vertical="center" textRotation="0" wrapText="true" shrinkToFit="false"/>
    </xf>
    <xf xfId="0" fontId="19" numFmtId="14" fillId="0" borderId="0" applyFont="1" applyNumberFormat="1" applyFill="0" applyBorder="0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tru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0" numFmtId="14" fillId="18" borderId="0" applyFont="0" applyNumberFormat="1" applyFill="1" applyBorder="0" applyAlignment="0"/>
    <xf xfId="0" fontId="0" numFmtId="169" fillId="0" borderId="14" applyFont="0" applyNumberFormat="1" applyFill="0" applyBorder="1" applyAlignment="0"/>
    <xf xfId="0" fontId="16" numFmtId="0" fillId="0" borderId="0" applyFont="1" applyNumberFormat="0" applyFill="0" applyBorder="0" applyAlignment="0"/>
    <xf xfId="0" fontId="16" numFmtId="0" fillId="0" borderId="1" applyFont="1" applyNumberFormat="0" applyFill="0" applyBorder="1" applyAlignment="1">
      <alignment horizontal="center" vertical="bottom" textRotation="0" wrapText="false" shrinkToFit="false"/>
    </xf>
    <xf xfId="0" fontId="16" numFmtId="0" fillId="5" borderId="1" applyFont="1" applyNumberFormat="0" applyFill="1" applyBorder="1" applyAlignment="1">
      <alignment horizontal="center" vertical="bottom" textRotation="0" wrapText="false" shrinkToFit="false"/>
    </xf>
    <xf xfId="0" fontId="16" numFmtId="0" fillId="5" borderId="1" applyFont="1" applyNumberFormat="0" applyFill="1" applyBorder="1" applyAlignment="0"/>
    <xf xfId="0" fontId="16" numFmtId="10" fillId="5" borderId="1" applyFont="1" applyNumberFormat="1" applyFill="1" applyBorder="1" applyAlignment="1">
      <alignment horizontal="center" vertical="bottom" textRotation="0" wrapText="false" shrinkToFit="false"/>
    </xf>
    <xf xfId="0" fontId="16" numFmtId="0" fillId="19" borderId="15" applyFont="1" applyNumberFormat="0" applyFill="1" applyBorder="1" applyAlignment="1">
      <alignment horizontal="center" vertical="bottom" textRotation="0" wrapText="false" shrinkToFit="false"/>
    </xf>
    <xf xfId="0" fontId="16" numFmtId="9" fillId="19" borderId="16" applyFont="1" applyNumberFormat="1" applyFill="1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0"/>
    <xf xfId="0" fontId="0" numFmtId="2" fillId="0" borderId="1" applyFont="0" applyNumberFormat="1" applyFill="0" applyBorder="1" applyAlignment="1">
      <alignment horizontal="center" vertical="center" textRotation="0" wrapText="false" shrinkToFit="false"/>
    </xf>
    <xf xfId="0" fontId="17" numFmtId="0" fillId="20" borderId="6" applyFont="1" applyNumberFormat="0" applyFill="1" applyBorder="1" applyAlignment="1">
      <alignment horizontal="center" vertical="center" textRotation="0" wrapText="true" shrinkToFit="false"/>
    </xf>
    <xf xfId="0" fontId="9" numFmtId="14" fillId="8" borderId="0" applyFont="1" applyNumberFormat="1" applyFill="1" applyBorder="0" applyAlignment="1">
      <alignment horizontal="center" vertical="bottom" textRotation="0" wrapText="false" shrinkToFit="false"/>
    </xf>
    <xf xfId="0" fontId="0" numFmtId="14" fillId="9" borderId="18" applyFont="0" applyNumberFormat="1" applyFill="1" applyBorder="1" applyAlignment="0"/>
    <xf xfId="0" fontId="9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170" fillId="0" borderId="1" applyFont="0" applyNumberFormat="1" applyFill="0" applyBorder="1" applyAlignment="0"/>
    <xf xfId="0" fontId="13" numFmtId="10" fillId="10" borderId="0" applyFont="1" applyNumberFormat="1" applyFill="1" applyBorder="0" applyAlignment="0"/>
    <xf xfId="0" fontId="0" numFmtId="9" fillId="10" borderId="0" applyFont="0" applyNumberFormat="1" applyFill="1" applyBorder="0" applyAlignment="0"/>
    <xf xfId="0" fontId="12" numFmtId="10" fillId="10" borderId="1" applyFont="1" applyNumberFormat="1" applyFill="1" applyBorder="1" applyAlignment="0"/>
    <xf xfId="0" fontId="13" numFmtId="171" fillId="10" borderId="1" applyFont="1" applyNumberFormat="1" applyFill="1" applyBorder="1" applyAlignment="0"/>
    <xf xfId="0" fontId="13" numFmtId="2" fillId="10" borderId="1" applyFont="1" applyNumberFormat="1" applyFill="1" applyBorder="1" applyAlignment="0"/>
    <xf xfId="0" fontId="19" numFmtId="10" fillId="0" borderId="0" applyFont="1" applyNumberFormat="1" applyFill="0" applyBorder="0" applyAlignment="1">
      <alignment vertical="center" textRotation="0" wrapText="true" shrinkToFit="false"/>
    </xf>
    <xf xfId="0" fontId="20" numFmtId="0" fillId="0" borderId="0" applyFont="1" applyNumberFormat="0" applyFill="0" applyBorder="0" applyAlignment="0"/>
    <xf xfId="0" fontId="21" numFmtId="0" fillId="0" borderId="0" applyFont="1" applyNumberFormat="0" applyFill="0" applyBorder="0" applyAlignment="0"/>
    <xf xfId="0" fontId="21" numFmtId="0" fillId="10" borderId="0" applyFont="1" applyNumberFormat="0" applyFill="1" applyBorder="0" applyAlignment="0"/>
    <xf xfId="0" fontId="21" numFmtId="0" fillId="21" borderId="0" applyFont="1" applyNumberFormat="0" applyFill="1" applyBorder="0" applyAlignment="0"/>
    <xf xfId="0" fontId="21" numFmtId="14" fillId="10" borderId="0" applyFont="1" applyNumberFormat="1" applyFill="1" applyBorder="0" applyAlignment="0"/>
    <xf xfId="0" fontId="22" numFmtId="0" fillId="21" borderId="0" applyFont="1" applyNumberFormat="0" applyFill="1" applyBorder="0" applyAlignment="1">
      <alignment horizontal="left" vertical="center" textRotation="0" wrapText="false" shrinkToFit="false"/>
    </xf>
    <xf xfId="0" fontId="23" numFmtId="0" fillId="21" borderId="0" applyFont="1" applyNumberFormat="0" applyFill="1" applyBorder="0" applyAlignment="1">
      <alignment horizontal="center" vertical="bottom" textRotation="0" wrapText="false" shrinkToFit="false"/>
    </xf>
    <xf xfId="0" fontId="23" numFmtId="0" fillId="10" borderId="0" applyFont="1" applyNumberFormat="0" applyFill="1" applyBorder="0" applyAlignment="1">
      <alignment horizontal="center" vertical="bottom" textRotation="0" wrapText="false" shrinkToFit="false"/>
    </xf>
    <xf xfId="0" fontId="24" numFmtId="0" fillId="10" borderId="0" applyFont="1" applyNumberFormat="0" applyFill="1" applyBorder="0" applyAlignment="1">
      <alignment horizontal="left" vertical="center" textRotation="0" wrapText="true" shrinkToFit="false"/>
    </xf>
    <xf xfId="0" fontId="0" numFmtId="172" fillId="10" borderId="0" applyFont="0" applyNumberFormat="1" applyFill="1" applyBorder="0" applyAlignment="0"/>
    <xf xfId="0" fontId="0" numFmtId="172" fillId="10" borderId="0" applyFont="0" applyNumberFormat="1" applyFill="1" applyBorder="0" applyAlignment="0"/>
    <xf xfId="0" fontId="24" numFmtId="0" fillId="21" borderId="0" applyFont="1" applyNumberFormat="0" applyFill="1" applyBorder="0" applyAlignment="1">
      <alignment horizontal="left" vertical="center" textRotation="0" wrapText="true" shrinkToFit="false"/>
    </xf>
    <xf xfId="0" fontId="21" numFmtId="172" fillId="21" borderId="0" applyFont="1" applyNumberFormat="1" applyFill="1" applyBorder="0" applyAlignment="0"/>
    <xf xfId="0" fontId="21" numFmtId="172" fillId="21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24" numFmtId="0" fillId="22" borderId="0" applyFont="1" applyNumberFormat="0" applyFill="1" applyBorder="0" applyAlignment="1">
      <alignment horizontal="left" vertical="center" textRotation="0" wrapText="true" shrinkToFit="false"/>
    </xf>
    <xf xfId="0" fontId="21" numFmtId="172" fillId="22" borderId="0" applyFont="1" applyNumberFormat="1" applyFill="1" applyBorder="0" applyAlignment="0"/>
    <xf xfId="0" fontId="24" numFmtId="0" fillId="10" borderId="0" applyFont="1" applyNumberFormat="0" applyFill="1" applyBorder="0" applyAlignment="1">
      <alignment vertical="bottom" textRotation="0" wrapText="true" shrinkToFit="false"/>
    </xf>
    <xf xfId="0" fontId="24" numFmtId="0" fillId="22" borderId="0" applyFont="1" applyNumberFormat="0" applyFill="1" applyBorder="0" applyAlignment="1">
      <alignment vertical="bottom" textRotation="0" wrapText="true" shrinkToFit="false"/>
    </xf>
    <xf xfId="0" fontId="21" numFmtId="0" fillId="22" borderId="0" applyFont="1" applyNumberFormat="0" applyFill="1" applyBorder="0" applyAlignment="0"/>
    <xf xfId="0" fontId="25" numFmtId="0" fillId="0" borderId="17" applyFont="1" applyNumberFormat="0" applyFill="0" applyBorder="1" applyAlignment="1">
      <alignment horizontal="center" vertical="bottom" textRotation="0" wrapText="false" shrinkToFit="false"/>
    </xf>
    <xf xfId="0" fontId="23" numFmtId="0" fillId="0" borderId="17" applyFont="1" applyNumberFormat="0" applyFill="0" applyBorder="1" applyAlignment="0"/>
    <xf xfId="0" fontId="23" numFmtId="1" fillId="0" borderId="17" applyFont="1" applyNumberFormat="1" applyFill="0" applyBorder="1" applyAlignment="0"/>
    <xf xfId="0" fontId="21" numFmtId="1" fillId="0" borderId="0" applyFont="1" applyNumberFormat="1" applyFill="0" applyBorder="0" applyAlignment="0"/>
    <xf xfId="0" fontId="23" numFmtId="0" fillId="0" borderId="0" applyFont="1" applyNumberFormat="0" applyFill="0" applyBorder="0" applyAlignment="0"/>
    <xf xfId="0" fontId="20" numFmtId="1" fillId="0" borderId="0" applyFont="1" applyNumberFormat="1" applyFill="0" applyBorder="0" applyAlignment="0"/>
    <xf xfId="0" fontId="21" numFmtId="3" fillId="0" borderId="0" applyFont="1" applyNumberFormat="1" applyFill="0" applyBorder="0" applyAlignment="0"/>
    <xf xfId="0" fontId="21" numFmtId="0" fillId="22" borderId="17" applyFont="1" applyNumberFormat="0" applyFill="1" applyBorder="1" applyAlignment="0"/>
    <xf xfId="0" fontId="21" numFmtId="3" fillId="22" borderId="17" applyFont="1" applyNumberFormat="1" applyFill="1" applyBorder="1" applyAlignment="0"/>
    <xf xfId="0" fontId="21" numFmtId="3" fillId="22" borderId="0" applyFont="1" applyNumberFormat="1" applyFill="1" applyBorder="0" applyAlignment="0"/>
    <xf xfId="0" fontId="21" numFmtId="3" fillId="10" borderId="0" applyFont="1" applyNumberFormat="1" applyFill="1" applyBorder="0" applyAlignment="0"/>
    <xf xfId="0" fontId="21" numFmtId="0" fillId="21" borderId="17" applyFont="1" applyNumberFormat="0" applyFill="1" applyBorder="1" applyAlignment="0"/>
    <xf xfId="0" fontId="21" numFmtId="3" fillId="21" borderId="17" applyFont="1" applyNumberFormat="1" applyFill="1" applyBorder="1" applyAlignment="0"/>
    <xf xfId="0" fontId="13" numFmtId="10" fillId="0" borderId="0" applyFont="1" applyNumberFormat="1" applyFill="0" applyBorder="0" applyAlignment="0"/>
    <xf xfId="0" fontId="13" numFmtId="1" fillId="0" borderId="0" applyFont="1" applyNumberFormat="1" applyFill="0" applyBorder="0" applyAlignment="0"/>
    <xf xfId="0" fontId="13" numFmtId="10" fillId="0" borderId="0" applyFont="1" applyNumberFormat="1" applyFill="0" applyBorder="0" applyAlignment="0"/>
    <xf xfId="0" fontId="13" numFmtId="10" fillId="10" borderId="19" applyFont="1" applyNumberFormat="1" applyFill="1" applyBorder="1" applyAlignment="1">
      <alignment horizontal="center" vertical="bottom" textRotation="0" wrapText="false" shrinkToFit="false"/>
    </xf>
    <xf xfId="0" fontId="0" numFmtId="10" fillId="10" borderId="0" applyFont="0" applyNumberFormat="1" applyFill="1" applyBorder="0" applyAlignment="0"/>
    <xf xfId="0" fontId="21" numFmtId="2" fillId="10" borderId="0" applyFont="1" applyNumberFormat="1" applyFill="1" applyBorder="0" applyAlignment="0"/>
    <xf xfId="0" fontId="26" numFmtId="0" fillId="23" borderId="0" applyFont="1" applyNumberFormat="0" applyFill="1" applyBorder="0" applyAlignment="0"/>
    <xf xfId="0" fontId="26" numFmtId="0" fillId="23" borderId="20" applyFont="1" applyNumberFormat="0" applyFill="1" applyBorder="1" applyAlignment="0"/>
    <xf xfId="0" fontId="22" numFmtId="0" fillId="21" borderId="0" applyFont="1" applyNumberFormat="0" applyFill="1" applyBorder="0" applyAlignment="0"/>
    <xf xfId="0" fontId="27" numFmtId="0" fillId="21" borderId="0" applyFont="1" applyNumberFormat="0" applyFill="1" applyBorder="0" applyAlignment="0"/>
    <xf xfId="0" fontId="27" numFmtId="0" fillId="21" borderId="20" applyFont="1" applyNumberFormat="0" applyFill="1" applyBorder="1" applyAlignment="0"/>
    <xf xfId="0" fontId="28" numFmtId="0" fillId="21" borderId="21" applyFont="1" applyNumberFormat="0" applyFill="1" applyBorder="1" applyAlignment="0"/>
    <xf xfId="0" fontId="28" numFmtId="0" fillId="21" borderId="22" applyFont="1" applyNumberFormat="0" applyFill="1" applyBorder="1" applyAlignment="0"/>
    <xf xfId="0" fontId="28" numFmtId="0" fillId="21" borderId="23" applyFont="1" applyNumberFormat="0" applyFill="1" applyBorder="1" applyAlignment="0"/>
    <xf xfId="0" fontId="28" numFmtId="0" fillId="21" borderId="24" applyFont="1" applyNumberFormat="0" applyFill="1" applyBorder="1" applyAlignment="0"/>
    <xf xfId="0" fontId="21" numFmtId="0" fillId="0" borderId="0" applyFont="1" applyNumberFormat="0" applyFill="0" applyBorder="0" applyAlignment="0"/>
    <xf xfId="0" fontId="28" numFmtId="0" fillId="10" borderId="0" applyFont="1" applyNumberFormat="0" applyFill="1" applyBorder="0" applyAlignment="0"/>
    <xf xfId="0" fontId="28" numFmtId="0" fillId="21" borderId="25" applyFont="1" applyNumberFormat="0" applyFill="1" applyBorder="1" applyAlignment="0"/>
    <xf xfId="0" fontId="28" numFmtId="0" fillId="21" borderId="26" applyFont="1" applyNumberFormat="0" applyFill="1" applyBorder="1" applyAlignment="0"/>
    <xf xfId="0" fontId="28" numFmtId="0" fillId="21" borderId="27" applyFont="1" applyNumberFormat="0" applyFill="1" applyBorder="1" applyAlignment="0"/>
    <xf xfId="0" fontId="28" numFmtId="0" fillId="21" borderId="28" applyFont="1" applyNumberFormat="0" applyFill="1" applyBorder="1" applyAlignment="0"/>
    <xf xfId="0" fontId="21" numFmtId="0" fillId="10" borderId="21" applyFont="1" applyNumberFormat="0" applyFill="1" applyBorder="1" applyAlignment="0"/>
    <xf xfId="0" fontId="21" numFmtId="3" fillId="10" borderId="21" applyFont="1" applyNumberFormat="1" applyFill="1" applyBorder="1" applyAlignment="0"/>
    <xf xfId="0" fontId="21" numFmtId="3" fillId="10" borderId="22" applyFont="1" applyNumberFormat="1" applyFill="1" applyBorder="1" applyAlignment="0"/>
    <xf xfId="0" fontId="21" numFmtId="3" fillId="10" borderId="23" applyFont="1" applyNumberFormat="1" applyFill="1" applyBorder="1" applyAlignment="0"/>
    <xf xfId="0" fontId="21" numFmtId="3" fillId="10" borderId="24" applyFont="1" applyNumberFormat="1" applyFill="1" applyBorder="1" applyAlignment="0"/>
    <xf xfId="0" fontId="21" numFmtId="0" fillId="10" borderId="29" applyFont="1" applyNumberFormat="0" applyFill="1" applyBorder="1" applyAlignment="0"/>
    <xf xfId="0" fontId="21" numFmtId="3" fillId="10" borderId="29" applyFont="1" applyNumberFormat="1" applyFill="1" applyBorder="1" applyAlignment="0"/>
    <xf xfId="0" fontId="21" numFmtId="3" fillId="10" borderId="0" applyFont="1" applyNumberFormat="1" applyFill="1" applyBorder="0" applyAlignment="0"/>
    <xf xfId="0" fontId="21" numFmtId="3" fillId="10" borderId="20" applyFont="1" applyNumberFormat="1" applyFill="1" applyBorder="1" applyAlignment="0"/>
    <xf xfId="0" fontId="21" numFmtId="0" fillId="10" borderId="0" applyFont="1" applyNumberFormat="0" applyFill="1" applyBorder="0" applyAlignment="0"/>
    <xf xfId="0" fontId="21" numFmtId="0" fillId="10" borderId="30" applyFont="1" applyNumberFormat="0" applyFill="1" applyBorder="1" applyAlignment="0"/>
    <xf xfId="0" fontId="21" numFmtId="3" fillId="10" borderId="30" applyFont="1" applyNumberFormat="1" applyFill="1" applyBorder="1" applyAlignment="0"/>
    <xf xfId="0" fontId="0" numFmtId="10" fillId="10" borderId="29" applyFont="0" applyNumberFormat="1" applyFill="1" applyBorder="1" applyAlignment="0"/>
    <xf xfId="0" fontId="0" numFmtId="10" fillId="10" borderId="0" applyFont="0" applyNumberFormat="1" applyFill="1" applyBorder="0" applyAlignment="0"/>
    <xf xfId="0" fontId="0" numFmtId="10" fillId="10" borderId="20" applyFont="0" applyNumberFormat="1" applyFill="1" applyBorder="1" applyAlignment="0"/>
    <xf xfId="0" fontId="0" numFmtId="10" fillId="10" borderId="30" applyFont="0" applyNumberFormat="1" applyFill="1" applyBorder="1" applyAlignment="0"/>
    <xf xfId="0" fontId="21" numFmtId="0" fillId="24" borderId="31" applyFont="1" applyNumberFormat="0" applyFill="1" applyBorder="1" applyAlignment="0"/>
    <xf xfId="0" fontId="21" numFmtId="0" fillId="24" borderId="25" applyFont="1" applyNumberFormat="0" applyFill="1" applyBorder="1" applyAlignment="0"/>
    <xf xfId="0" fontId="21" numFmtId="0" fillId="24" borderId="26" applyFont="1" applyNumberFormat="0" applyFill="1" applyBorder="1" applyAlignment="0"/>
    <xf xfId="0" fontId="21" numFmtId="0" fillId="24" borderId="27" applyFont="1" applyNumberFormat="0" applyFill="1" applyBorder="1" applyAlignment="0"/>
    <xf xfId="0" fontId="21" numFmtId="3" fillId="24" borderId="26" applyFont="1" applyNumberFormat="1" applyFill="1" applyBorder="1" applyAlignment="0"/>
    <xf xfId="0" fontId="21" numFmtId="3" fillId="24" borderId="28" applyFont="1" applyNumberFormat="1" applyFill="1" applyBorder="1" applyAlignment="0"/>
    <xf xfId="0" fontId="21" numFmtId="0" fillId="0" borderId="20" applyFont="1" applyNumberFormat="0" applyFill="0" applyBorder="1" applyAlignment="0"/>
    <xf xfId="0" fontId="21" numFmtId="10" fillId="0" borderId="0" applyFont="1" applyNumberFormat="1" applyFill="0" applyBorder="0" applyAlignment="0"/>
    <xf xfId="0" fontId="21" numFmtId="0" fillId="22" borderId="32" applyFont="1" applyNumberFormat="0" applyFill="1" applyBorder="1" applyAlignment="1">
      <alignment horizontal="center" vertical="bottom" textRotation="0" wrapText="false" shrinkToFit="false"/>
    </xf>
    <xf xfId="0" fontId="21" numFmtId="0" fillId="22" borderId="33" applyFont="1" applyNumberFormat="0" applyFill="1" applyBorder="1" applyAlignment="1">
      <alignment horizontal="center" vertical="bottom" textRotation="0" wrapText="false" shrinkToFit="false"/>
    </xf>
    <xf xfId="0" fontId="21" numFmtId="3" fillId="10" borderId="34" applyFont="1" applyNumberFormat="1" applyFill="1" applyBorder="1" applyAlignment="0"/>
    <xf xfId="0" fontId="21" numFmtId="3" fillId="10" borderId="35" applyFont="1" applyNumberFormat="1" applyFill="1" applyBorder="1" applyAlignment="0"/>
    <xf xfId="0" fontId="21" numFmtId="0" fillId="10" borderId="20" applyFont="1" applyNumberFormat="0" applyFill="1" applyBorder="1" applyAlignment="0"/>
    <xf xfId="0" fontId="21" numFmtId="0" fillId="22" borderId="36" applyFont="1" applyNumberFormat="0" applyFill="1" applyBorder="1" applyAlignment="1">
      <alignment horizontal="center" vertical="bottom" textRotation="0" wrapText="false" shrinkToFit="false"/>
    </xf>
    <xf xfId="0" fontId="21" numFmtId="0" fillId="10" borderId="37" applyFont="1" applyNumberFormat="0" applyFill="1" applyBorder="1" applyAlignment="0"/>
    <xf xfId="0" fontId="21" numFmtId="3" fillId="10" borderId="37" applyFont="1" applyNumberFormat="1" applyFill="1" applyBorder="1" applyAlignment="0"/>
    <xf xfId="0" fontId="21" numFmtId="0" fillId="10" borderId="38" applyFont="1" applyNumberFormat="0" applyFill="1" applyBorder="1" applyAlignment="0"/>
    <xf xfId="0" fontId="21" numFmtId="3" fillId="10" borderId="38" applyFont="1" applyNumberFormat="1" applyFill="1" applyBorder="1" applyAlignment="0"/>
    <xf xfId="0" fontId="21" numFmtId="0" fillId="10" borderId="34" applyFont="1" applyNumberFormat="0" applyFill="1" applyBorder="1" applyAlignment="0"/>
    <xf xfId="0" fontId="21" numFmtId="0" fillId="10" borderId="39" applyFont="1" applyNumberFormat="0" applyFill="1" applyBorder="1" applyAlignment="0"/>
    <xf xfId="0" fontId="21" numFmtId="0" fillId="0" borderId="22" applyFont="1" applyNumberFormat="0" applyFill="0" applyBorder="1" applyAlignment="0"/>
    <xf xfId="0" fontId="21" numFmtId="0" fillId="0" borderId="24" applyFont="1" applyNumberFormat="0" applyFill="0" applyBorder="1" applyAlignment="0"/>
    <xf xfId="0" fontId="21" numFmtId="0" fillId="10" borderId="40" applyFont="1" applyNumberFormat="0" applyFill="1" applyBorder="1" applyAlignment="0"/>
    <xf xfId="0" fontId="0" numFmtId="10" fillId="0" borderId="0" applyFont="0" applyNumberFormat="1" applyFill="0" applyBorder="0" applyAlignment="0"/>
    <xf xfId="0" fontId="0" numFmtId="10" fillId="0" borderId="20" applyFont="0" applyNumberFormat="1" applyFill="0" applyBorder="1" applyAlignment="0"/>
    <xf xfId="0" fontId="21" numFmtId="3" fillId="0" borderId="0" applyFont="1" applyNumberFormat="1" applyFill="0" applyBorder="0" applyAlignment="0"/>
    <xf xfId="0" fontId="21" numFmtId="3" fillId="0" borderId="20" applyFont="1" applyNumberFormat="1" applyFill="0" applyBorder="1" applyAlignment="0"/>
    <xf xfId="0" fontId="29" numFmtId="0" fillId="0" borderId="0" applyFont="1" applyNumberFormat="0" applyFill="0" applyBorder="0" applyAlignment="0"/>
    <xf xfId="0" fontId="21" numFmtId="0" fillId="10" borderId="22" applyFont="1" applyNumberFormat="0" applyFill="1" applyBorder="1" applyAlignment="0"/>
    <xf xfId="0" fontId="21" numFmtId="0" fillId="10" borderId="24" applyFont="1" applyNumberFormat="0" applyFill="1" applyBorder="1" applyAlignment="0"/>
    <xf xfId="0" fontId="21" numFmtId="3" fillId="24" borderId="25" applyFont="1" applyNumberFormat="1" applyFill="1" applyBorder="1" applyAlignment="0"/>
    <xf xfId="0" fontId="21" numFmtId="3" fillId="24" borderId="27" applyFont="1" applyNumberFormat="1" applyFill="1" applyBorder="1" applyAlignment="0"/>
    <xf xfId="0" fontId="21" numFmtId="0" fillId="22" borderId="37" applyFont="1" applyNumberFormat="0" applyFill="1" applyBorder="1" applyAlignment="1">
      <alignment horizontal="center" vertical="bottom" textRotation="0" wrapText="false" shrinkToFit="false"/>
    </xf>
    <xf xfId="0" fontId="0" numFmtId="10" fillId="10" borderId="34" applyFont="0" applyNumberFormat="1" applyFill="1" applyBorder="1" applyAlignment="0"/>
    <xf xfId="0" fontId="0" numFmtId="10" fillId="10" borderId="35" applyFont="0" applyNumberFormat="1" applyFill="1" applyBorder="1" applyAlignment="0"/>
    <xf xfId="0" fontId="21" numFmtId="10" fillId="10" borderId="37" applyFont="1" applyNumberFormat="1" applyFill="1" applyBorder="1" applyAlignment="0"/>
    <xf xfId="0" fontId="21" numFmtId="10" fillId="10" borderId="38" applyFont="1" applyNumberFormat="1" applyFill="1" applyBorder="1" applyAlignment="0"/>
    <xf xfId="0" fontId="21" numFmtId="10" fillId="10" borderId="34" applyFont="1" applyNumberFormat="1" applyFill="1" applyBorder="1" applyAlignment="0"/>
    <xf xfId="0" fontId="28" numFmtId="0" fillId="21" borderId="29" applyFont="1" applyNumberFormat="0" applyFill="1" applyBorder="1" applyAlignment="0"/>
    <xf xfId="0" fontId="28" numFmtId="0" fillId="21" borderId="0" applyFont="1" applyNumberFormat="0" applyFill="1" applyBorder="0" applyAlignment="0"/>
    <xf xfId="0" fontId="28" numFmtId="0" fillId="21" borderId="20" applyFont="1" applyNumberFormat="0" applyFill="1" applyBorder="1" applyAlignment="0"/>
    <xf xfId="0" fontId="23" numFmtId="0" fillId="10" borderId="0" applyFont="1" applyNumberFormat="0" applyFill="1" applyBorder="0" applyAlignment="0"/>
    <xf xfId="0" fontId="23" numFmtId="0" fillId="0" borderId="0" applyFont="1" applyNumberFormat="0" applyFill="0" applyBorder="0" applyAlignment="0"/>
    <xf xfId="0" fontId="21" numFmtId="0" fillId="21" borderId="25" applyFont="1" applyNumberFormat="0" applyFill="1" applyBorder="1" applyAlignment="0"/>
    <xf xfId="0" fontId="21" numFmtId="0" fillId="21" borderId="26" applyFont="1" applyNumberFormat="0" applyFill="1" applyBorder="1" applyAlignment="0"/>
    <xf xfId="0" fontId="21" numFmtId="0" fillId="21" borderId="27" applyFont="1" applyNumberFormat="0" applyFill="1" applyBorder="1" applyAlignment="0"/>
    <xf xfId="0" fontId="21" numFmtId="0" fillId="0" borderId="39" applyFont="1" applyNumberFormat="0" applyFill="0" applyBorder="1" applyAlignment="0"/>
    <xf xfId="0" fontId="30" numFmtId="3" fillId="0" borderId="21" applyFont="1" applyNumberFormat="1" applyFill="0" applyBorder="1" applyAlignment="0"/>
    <xf xfId="0" fontId="30" numFmtId="3" fillId="0" borderId="22" applyFont="1" applyNumberFormat="1" applyFill="0" applyBorder="1" applyAlignment="0"/>
    <xf xfId="0" fontId="30" numFmtId="3" fillId="0" borderId="23" applyFont="1" applyNumberFormat="1" applyFill="0" applyBorder="1" applyAlignment="0"/>
    <xf xfId="0" fontId="30" numFmtId="3" fillId="0" borderId="24" applyFont="1" applyNumberFormat="1" applyFill="0" applyBorder="1" applyAlignment="0"/>
    <xf xfId="0" fontId="21" numFmtId="0" fillId="0" borderId="40" applyFont="1" applyNumberFormat="0" applyFill="0" applyBorder="1" applyAlignment="0"/>
    <xf xfId="0" fontId="30" numFmtId="3" fillId="0" borderId="29" applyFont="1" applyNumberFormat="1" applyFill="0" applyBorder="1" applyAlignment="0"/>
    <xf xfId="0" fontId="30" numFmtId="3" fillId="0" borderId="0" applyFont="1" applyNumberFormat="1" applyFill="0" applyBorder="0" applyAlignment="0"/>
    <xf xfId="0" fontId="30" numFmtId="3" fillId="0" borderId="20" applyFont="1" applyNumberFormat="1" applyFill="0" applyBorder="1" applyAlignment="0"/>
    <xf xfId="0" fontId="30" numFmtId="3" fillId="0" borderId="30" applyFont="1" applyNumberFormat="1" applyFill="0" applyBorder="1" applyAlignment="0"/>
    <xf xfId="0" fontId="21" numFmtId="0" fillId="24" borderId="40" applyFont="1" applyNumberFormat="0" applyFill="1" applyBorder="1" applyAlignment="0"/>
    <xf xfId="0" fontId="21" numFmtId="3" fillId="24" borderId="29" applyFont="1" applyNumberFormat="1" applyFill="1" applyBorder="1" applyAlignment="0"/>
    <xf xfId="0" fontId="21" numFmtId="3" fillId="24" borderId="0" applyFont="1" applyNumberFormat="1" applyFill="1" applyBorder="0" applyAlignment="0"/>
    <xf xfId="0" fontId="21" numFmtId="3" fillId="24" borderId="20" applyFont="1" applyNumberFormat="1" applyFill="1" applyBorder="1" applyAlignment="0"/>
    <xf xfId="0" fontId="21" numFmtId="3" fillId="24" borderId="30" applyFont="1" applyNumberFormat="1" applyFill="1" applyBorder="1" applyAlignment="0"/>
    <xf xfId="0" fontId="21" numFmtId="0" fillId="0" borderId="40" applyFont="1" applyNumberFormat="0" applyFill="0" applyBorder="1" applyAlignment="0"/>
    <xf xfId="0" fontId="21" numFmtId="0" fillId="0" borderId="29" applyFont="1" applyNumberFormat="0" applyFill="0" applyBorder="1" applyAlignment="0"/>
    <xf xfId="0" fontId="21" numFmtId="0" fillId="24" borderId="29" applyFont="1" applyNumberFormat="0" applyFill="1" applyBorder="1" applyAlignment="0"/>
    <xf xfId="0" fontId="21" numFmtId="0" fillId="24" borderId="0" applyFont="1" applyNumberFormat="0" applyFill="1" applyBorder="0" applyAlignment="0"/>
    <xf xfId="0" fontId="21" numFmtId="0" fillId="24" borderId="20" applyFont="1" applyNumberFormat="0" applyFill="1" applyBorder="1" applyAlignment="0"/>
    <xf xfId="0" fontId="31" numFmtId="0" fillId="10" borderId="40" applyFont="1" applyNumberFormat="0" applyFill="1" applyBorder="1" applyAlignment="0"/>
    <xf xfId="0" fontId="32" numFmtId="0" fillId="10" borderId="0" applyFont="1" applyNumberFormat="0" applyFill="1" applyBorder="0" applyAlignment="1">
      <alignment horizontal="center" vertical="bottom" textRotation="0" wrapText="false" shrinkToFit="false"/>
    </xf>
    <xf xfId="0" fontId="0" numFmtId="172" fillId="0" borderId="0" applyFont="0" applyNumberFormat="1" applyFill="0" applyBorder="0" applyAlignment="0"/>
    <xf xfId="0" fontId="21" numFmtId="0" fillId="21" borderId="0" applyFont="1" applyNumberFormat="0" applyFill="1" applyBorder="0" applyAlignment="0"/>
    <xf xfId="0" fontId="21" numFmtId="0" fillId="21" borderId="20" applyFont="1" applyNumberFormat="0" applyFill="1" applyBorder="1" applyAlignment="0"/>
    <xf xfId="0" fontId="21" numFmtId="3" fillId="21" borderId="0" applyFont="1" applyNumberFormat="1" applyFill="1" applyBorder="0" applyAlignment="0"/>
    <xf xfId="0" fontId="0" numFmtId="172" fillId="21" borderId="0" applyFont="0" applyNumberFormat="1" applyFill="1" applyBorder="0" applyAlignment="0"/>
    <xf xfId="0" fontId="23" numFmtId="172" fillId="0" borderId="41" applyFont="1" applyNumberFormat="1" applyFill="0" applyBorder="1" applyAlignment="1">
      <alignment horizontal="center" vertical="bottom" textRotation="0" wrapText="false" shrinkToFit="false"/>
    </xf>
    <xf xfId="0" fontId="23" numFmtId="0" fillId="0" borderId="41" applyFont="1" applyNumberFormat="0" applyFill="0" applyBorder="1" applyAlignment="1">
      <alignment horizontal="center" vertical="bottom" textRotation="0" wrapText="false" shrinkToFit="false"/>
    </xf>
    <xf xfId="0" fontId="23" numFmtId="0" fillId="0" borderId="42" applyFont="1" applyNumberFormat="0" applyFill="0" applyBorder="1" applyAlignment="1">
      <alignment horizontal="center" vertical="bottom" textRotation="0" wrapText="false" shrinkToFit="false"/>
    </xf>
    <xf xfId="0" fontId="21" numFmtId="0" fillId="10" borderId="25" applyFont="1" applyNumberFormat="0" applyFill="1" applyBorder="1" applyAlignment="0"/>
    <xf xfId="0" fontId="21" numFmtId="0" fillId="10" borderId="26" applyFont="1" applyNumberFormat="0" applyFill="1" applyBorder="1" applyAlignment="0"/>
    <xf xfId="0" fontId="21" numFmtId="3" fillId="10" borderId="31" applyFont="1" applyNumberFormat="1" applyFill="1" applyBorder="1" applyAlignment="0"/>
    <xf xfId="0" fontId="21" numFmtId="3" fillId="10" borderId="28" applyFont="1" applyNumberFormat="1" applyFill="1" applyBorder="1" applyAlignment="0"/>
    <xf xfId="0" fontId="21" numFmtId="0" fillId="24" borderId="43" applyFont="1" applyNumberFormat="0" applyFill="1" applyBorder="1" applyAlignment="0"/>
    <xf xfId="0" fontId="21" numFmtId="0" fillId="24" borderId="44" applyFont="1" applyNumberFormat="0" applyFill="1" applyBorder="1" applyAlignment="0"/>
    <xf xfId="0" fontId="21" numFmtId="169" fillId="24" borderId="41" applyFont="1" applyNumberFormat="1" applyFill="1" applyBorder="1" applyAlignment="0"/>
    <xf xfId="0" fontId="23" numFmtId="0" fillId="0" borderId="0" applyFont="1" applyNumberFormat="0" applyFill="0" applyBorder="0" applyAlignment="1">
      <alignment vertical="center" textRotation="0" wrapText="false" shrinkToFit="false"/>
    </xf>
    <xf xfId="0" fontId="33" numFmtId="0" fillId="23" borderId="0" applyFont="1" applyNumberFormat="0" applyFill="1" applyBorder="0" applyAlignment="0"/>
    <xf xfId="0" fontId="33" numFmtId="0" fillId="23" borderId="20" applyFont="1" applyNumberFormat="0" applyFill="1" applyBorder="1" applyAlignment="0"/>
    <xf xfId="0" fontId="33" numFmtId="0" fillId="0" borderId="0" applyFont="1" applyNumberFormat="0" applyFill="0" applyBorder="0" applyAlignment="0"/>
    <xf xfId="0" fontId="33" numFmtId="0" fillId="0" borderId="20" applyFont="1" applyNumberFormat="0" applyFill="0" applyBorder="1" applyAlignment="0"/>
    <xf xfId="0" fontId="31" numFmtId="0" fillId="21" borderId="21" applyFont="1" applyNumberFormat="0" applyFill="1" applyBorder="1" applyAlignment="0"/>
    <xf xfId="0" fontId="31" numFmtId="0" fillId="21" borderId="22" applyFont="1" applyNumberFormat="0" applyFill="1" applyBorder="1" applyAlignment="0"/>
    <xf xfId="0" fontId="31" numFmtId="0" fillId="21" borderId="23" applyFont="1" applyNumberFormat="0" applyFill="1" applyBorder="1" applyAlignment="0"/>
    <xf xfId="0" fontId="31" numFmtId="0" fillId="21" borderId="24" applyFont="1" applyNumberFormat="0" applyFill="1" applyBorder="1" applyAlignment="0"/>
    <xf xfId="0" fontId="31" numFmtId="0" fillId="21" borderId="25" applyFont="1" applyNumberFormat="0" applyFill="1" applyBorder="1" applyAlignment="0"/>
    <xf xfId="0" fontId="31" numFmtId="0" fillId="21" borderId="26" applyFont="1" applyNumberFormat="0" applyFill="1" applyBorder="1" applyAlignment="0"/>
    <xf xfId="0" fontId="31" numFmtId="0" fillId="21" borderId="27" applyFont="1" applyNumberFormat="0" applyFill="1" applyBorder="1" applyAlignment="0"/>
    <xf xfId="0" fontId="31" numFmtId="0" fillId="21" borderId="30" applyFont="1" applyNumberFormat="0" applyFill="1" applyBorder="1" applyAlignment="0"/>
    <xf xfId="0" fontId="27" numFmtId="0" fillId="10" borderId="0" applyFont="1" applyNumberFormat="0" applyFill="1" applyBorder="0" applyAlignment="0"/>
    <xf xfId="0" fontId="22" numFmtId="0" fillId="10" borderId="0" applyFont="1" applyNumberFormat="0" applyFill="1" applyBorder="0" applyAlignment="0"/>
    <xf xfId="0" fontId="27" numFmtId="0" fillId="10" borderId="20" applyFont="1" applyNumberFormat="0" applyFill="1" applyBorder="1" applyAlignment="0"/>
    <xf xfId="0" fontId="34" numFmtId="0" fillId="0" borderId="0" applyFont="1" applyNumberFormat="0" applyFill="0" applyBorder="0" applyAlignment="1">
      <alignment horizontal="center" vertical="bottom" textRotation="0" wrapText="false" shrinkToFit="false"/>
    </xf>
    <xf xfId="0" fontId="21" numFmtId="0" fillId="10" borderId="23" applyFont="1" applyNumberFormat="0" applyFill="1" applyBorder="1" applyAlignment="0"/>
    <xf xfId="0" fontId="30" numFmtId="3" fillId="10" borderId="22" applyFont="1" applyNumberFormat="1" applyFill="1" applyBorder="1" applyAlignment="0"/>
    <xf xfId="0" fontId="30" numFmtId="3" fillId="10" borderId="24" applyFont="1" applyNumberFormat="1" applyFill="1" applyBorder="1" applyAlignment="0"/>
    <xf xfId="0" fontId="30" numFmtId="3" fillId="10" borderId="0" applyFont="1" applyNumberFormat="1" applyFill="1" applyBorder="0" applyAlignment="0"/>
    <xf xfId="0" fontId="30" numFmtId="3" fillId="10" borderId="30" applyFont="1" applyNumberFormat="1" applyFill="1" applyBorder="1" applyAlignment="0"/>
    <xf xfId="0" fontId="21" numFmtId="172" fillId="0" borderId="41" applyFont="1" applyNumberFormat="1" applyFill="0" applyBorder="1" applyAlignment="1">
      <alignment horizontal="center" vertical="bottom" textRotation="0" wrapText="false" shrinkToFit="false"/>
    </xf>
    <xf xfId="0" fontId="21" numFmtId="0" fillId="0" borderId="41" applyFont="1" applyNumberFormat="0" applyFill="0" applyBorder="1" applyAlignment="1">
      <alignment horizontal="center" vertical="bottom" textRotation="0" wrapText="false" shrinkToFit="false"/>
    </xf>
    <xf xfId="0" fontId="21" numFmtId="4" fillId="24" borderId="41" applyFont="1" applyNumberFormat="1" applyFill="1" applyBorder="1" applyAlignment="0"/>
    <xf xfId="0" fontId="23" numFmtId="0" fillId="25" borderId="0" applyFont="1" applyNumberFormat="0" applyFill="1" applyBorder="0" applyAlignment="1">
      <alignment horizontal="left" vertical="bottom" textRotation="0" wrapText="false" shrinkToFit="false" indent="1"/>
    </xf>
    <xf xfId="0" fontId="21" numFmtId="0" fillId="25" borderId="0" applyFont="1" applyNumberFormat="0" applyFill="1" applyBorder="0" applyAlignment="0"/>
    <xf xfId="0" fontId="30" numFmtId="0" fillId="21" borderId="45" applyFont="1" applyNumberFormat="0" applyFill="1" applyBorder="1" applyAlignment="0"/>
    <xf xfId="0" fontId="30" numFmtId="0" fillId="21" borderId="46" applyFont="1" applyNumberFormat="0" applyFill="1" applyBorder="1" applyAlignment="0"/>
    <xf xfId="0" fontId="21" numFmtId="0" fillId="0" borderId="47" applyFont="1" applyNumberFormat="0" applyFill="0" applyBorder="1" applyAlignment="0"/>
    <xf xfId="0" fontId="0" numFmtId="10" fillId="0" borderId="48" applyFont="0" applyNumberFormat="1" applyFill="0" applyBorder="1" applyAlignment="0"/>
    <xf xfId="0" fontId="21" numFmtId="0" fillId="0" borderId="49" applyFont="1" applyNumberFormat="0" applyFill="0" applyBorder="1" applyAlignment="0"/>
    <xf xfId="0" fontId="21" numFmtId="0" fillId="0" borderId="46" applyFont="1" applyNumberFormat="0" applyFill="0" applyBorder="1" applyAlignment="0"/>
    <xf xfId="0" fontId="21" numFmtId="10" fillId="0" borderId="46" applyFont="1" applyNumberFormat="1" applyFill="0" applyBorder="1" applyAlignment="0"/>
    <xf xfId="0" fontId="21" numFmtId="10" fillId="0" borderId="50" applyFont="1" applyNumberFormat="1" applyFill="0" applyBorder="1" applyAlignment="0"/>
    <xf xfId="0" fontId="21" numFmtId="0" fillId="0" borderId="51" applyFont="1" applyNumberFormat="0" applyFill="0" applyBorder="1" applyAlignment="0"/>
    <xf xfId="0" fontId="21" numFmtId="0" fillId="0" borderId="45" applyFont="1" applyNumberFormat="0" applyFill="0" applyBorder="1" applyAlignment="0"/>
    <xf xfId="0" fontId="0" numFmtId="10" fillId="0" borderId="45" applyFont="0" applyNumberFormat="1" applyFill="0" applyBorder="1" applyAlignment="0"/>
    <xf xfId="0" fontId="0" numFmtId="10" fillId="0" borderId="52" applyFont="0" applyNumberFormat="1" applyFill="0" applyBorder="1" applyAlignment="0"/>
    <xf xfId="0" fontId="21" numFmtId="3" fillId="0" borderId="46" applyFont="1" applyNumberFormat="1" applyFill="0" applyBorder="1" applyAlignment="0"/>
    <xf xfId="0" fontId="21" numFmtId="3" fillId="0" borderId="50" applyFont="1" applyNumberFormat="1" applyFill="0" applyBorder="1" applyAlignment="0"/>
    <xf xfId="0" fontId="32" numFmtId="0" fillId="21" borderId="53" applyFont="1" applyNumberFormat="0" applyFill="1" applyBorder="1" applyAlignment="0"/>
    <xf xfId="0" fontId="32" numFmtId="0" fillId="21" borderId="54" applyFont="1" applyNumberFormat="0" applyFill="1" applyBorder="1" applyAlignment="0"/>
    <xf xfId="0" fontId="21" numFmtId="10" fillId="10" borderId="55" applyFont="1" applyNumberFormat="1" applyFill="1" applyBorder="1" applyAlignment="0"/>
    <xf xfId="0" fontId="30" numFmtId="0" fillId="21" borderId="56" applyFont="1" applyNumberFormat="0" applyFill="1" applyBorder="1" applyAlignment="0"/>
    <xf xfId="0" fontId="30" numFmtId="0" fillId="21" borderId="52" applyFont="1" applyNumberFormat="0" applyFill="1" applyBorder="1" applyAlignment="0"/>
    <xf xfId="0" fontId="30" numFmtId="0" fillId="21" borderId="57" applyFont="1" applyNumberFormat="0" applyFill="1" applyBorder="1" applyAlignment="0"/>
    <xf xfId="0" fontId="30" numFmtId="0" fillId="21" borderId="50" applyFont="1" applyNumberFormat="0" applyFill="1" applyBorder="1" applyAlignment="0"/>
    <xf xfId="0" fontId="21" numFmtId="10" fillId="10" borderId="45" applyFont="1" applyNumberFormat="1" applyFill="1" applyBorder="1" applyAlignment="0"/>
    <xf xfId="0" fontId="21" numFmtId="0" fillId="0" borderId="56" applyFont="1" applyNumberFormat="0" applyFill="0" applyBorder="1" applyAlignment="0"/>
    <xf xfId="0" fontId="21" numFmtId="10" fillId="0" borderId="45" applyFont="1" applyNumberFormat="1" applyFill="0" applyBorder="1" applyAlignment="0"/>
    <xf xfId="0" fontId="21" numFmtId="0" fillId="0" borderId="57" applyFont="1" applyNumberFormat="0" applyFill="0" applyBorder="1" applyAlignment="0"/>
    <xf xfId="0" fontId="21" numFmtId="0" fillId="0" borderId="58" applyFont="1" applyNumberFormat="0" applyFill="0" applyBorder="1" applyAlignment="0"/>
    <xf xfId="0" fontId="21" numFmtId="0" fillId="0" borderId="48" applyFont="1" applyNumberFormat="0" applyFill="0" applyBorder="1" applyAlignment="0"/>
    <xf xfId="0" fontId="21" numFmtId="0" fillId="0" borderId="52" applyFont="1" applyNumberFormat="0" applyFill="0" applyBorder="1" applyAlignment="0"/>
    <xf xfId="0" fontId="21" numFmtId="0" fillId="24" borderId="58" applyFont="1" applyNumberFormat="0" applyFill="1" applyBorder="1" applyAlignment="0"/>
    <xf xfId="0" fontId="21" numFmtId="0" fillId="24" borderId="48" applyFont="1" applyNumberFormat="0" applyFill="1" applyBorder="1" applyAlignment="0"/>
    <xf xfId="0" fontId="21" numFmtId="0" fillId="0" borderId="58" applyFont="1" applyNumberFormat="0" applyFill="0" applyBorder="1" applyAlignment="0"/>
    <xf xfId="0" fontId="31" numFmtId="0" fillId="10" borderId="58" applyFont="1" applyNumberFormat="0" applyFill="1" applyBorder="1" applyAlignment="0"/>
    <xf xfId="0" fontId="21" numFmtId="0" fillId="24" borderId="57" applyFont="1" applyNumberFormat="0" applyFill="1" applyBorder="1" applyAlignment="0"/>
    <xf xfId="0" fontId="21" numFmtId="0" fillId="24" borderId="50" applyFont="1" applyNumberFormat="0" applyFill="1" applyBorder="1" applyAlignment="0"/>
    <xf xfId="0" fontId="21" numFmtId="0" fillId="10" borderId="56" applyFont="1" applyNumberFormat="0" applyFill="1" applyBorder="1" applyAlignment="0"/>
    <xf xfId="0" fontId="30" numFmtId="3" fillId="10" borderId="45" applyFont="1" applyNumberFormat="1" applyFill="1" applyBorder="1" applyAlignment="0"/>
    <xf xfId="0" fontId="30" numFmtId="3" fillId="10" borderId="52" applyFont="1" applyNumberFormat="1" applyFill="1" applyBorder="1" applyAlignment="0"/>
    <xf xfId="0" fontId="21" numFmtId="0" fillId="10" borderId="58" applyFont="1" applyNumberFormat="0" applyFill="1" applyBorder="1" applyAlignment="0"/>
    <xf xfId="0" fontId="30" numFmtId="3" fillId="10" borderId="48" applyFont="1" applyNumberFormat="1" applyFill="1" applyBorder="1" applyAlignment="0"/>
    <xf xfId="0" fontId="21" numFmtId="3" fillId="24" borderId="48" applyFont="1" applyNumberFormat="1" applyFill="1" applyBorder="1" applyAlignment="0"/>
    <xf xfId="0" fontId="21" numFmtId="0" fillId="24" borderId="46" applyFont="1" applyNumberFormat="0" applyFill="1" applyBorder="1" applyAlignment="0"/>
    <xf xfId="0" fontId="21" numFmtId="3" fillId="24" borderId="46" applyFont="1" applyNumberFormat="1" applyFill="1" applyBorder="1" applyAlignment="0"/>
    <xf xfId="0" fontId="21" numFmtId="3" fillId="24" borderId="50" applyFont="1" applyNumberFormat="1" applyFill="1" applyBorder="1" applyAlignment="0"/>
    <xf xfId="0" fontId="0" numFmtId="172" fillId="10" borderId="0" applyFont="0" applyNumberFormat="1" applyFill="1" applyBorder="0" applyAlignment="0"/>
    <xf xfId="0" fontId="0" numFmtId="10" fillId="10" borderId="25" applyFont="0" applyNumberFormat="1" applyFill="1" applyBorder="1" applyAlignment="0"/>
    <xf xfId="0" fontId="0" numFmtId="10" fillId="10" borderId="26" applyFont="0" applyNumberFormat="1" applyFill="1" applyBorder="1" applyAlignment="0"/>
    <xf xfId="0" fontId="0" numFmtId="10" fillId="10" borderId="27" applyFont="0" applyNumberFormat="1" applyFill="1" applyBorder="1" applyAlignment="0"/>
    <xf xfId="0" fontId="31" numFmtId="0" fillId="21" borderId="0" applyFont="1" applyNumberFormat="0" applyFill="1" applyBorder="0" applyAlignment="0"/>
    <xf xfId="0" fontId="12" numFmtId="0" fillId="0" borderId="20" applyFont="1" applyNumberFormat="0" applyFill="0" applyBorder="1" applyAlignment="0"/>
    <xf xfId="0" fontId="13" numFmtId="0" fillId="0" borderId="20" applyFont="1" applyNumberFormat="0" applyFill="0" applyBorder="1" applyAlignment="0"/>
    <xf xfId="0" fontId="13" numFmtId="0" fillId="0" borderId="20" applyFont="1" applyNumberFormat="0" applyFill="0" applyBorder="1" applyAlignment="1">
      <alignment horizontal="left" vertical="bottom" textRotation="0" wrapText="false" shrinkToFit="false"/>
    </xf>
    <xf xfId="0" fontId="12" numFmtId="0" fillId="0" borderId="20" applyFont="1" applyNumberFormat="0" applyFill="0" applyBorder="1" applyAlignment="1">
      <alignment horizontal="center" vertical="bottom" textRotation="0" wrapText="false" shrinkToFit="false"/>
    </xf>
    <xf xfId="0" fontId="13" numFmtId="10" fillId="10" borderId="1" applyFont="1" applyNumberFormat="1" applyFill="1" applyBorder="1" applyAlignment="1">
      <alignment horizontal="center" vertical="bottom" textRotation="0" wrapText="false" shrinkToFit="false"/>
    </xf>
    <xf xfId="0" fontId="21" numFmtId="10" fillId="10" borderId="0" applyFont="1" applyNumberFormat="1" applyFill="1" applyBorder="0" applyAlignment="0"/>
    <xf xfId="0" fontId="21" numFmtId="10" fillId="0" borderId="0" applyFont="1" applyNumberFormat="1" applyFill="0" applyBorder="0" applyAlignment="0"/>
    <xf xfId="0" fontId="21" numFmtId="0" fillId="0" borderId="0" applyFont="1" applyNumberFormat="0" applyFill="0" applyBorder="0" applyAlignment="0"/>
    <xf xfId="0" fontId="21" numFmtId="172" fillId="0" borderId="0" applyFont="1" applyNumberFormat="1" applyFill="0" applyBorder="0" applyAlignment="0"/>
    <xf xfId="0" fontId="21" numFmtId="0" fillId="10" borderId="0" applyFont="1" applyNumberFormat="0" applyFill="1" applyBorder="0" applyAlignment="0"/>
    <xf xfId="0" fontId="21" numFmtId="4" fillId="24" borderId="42" applyFont="1" applyNumberFormat="1" applyFill="1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1" numFmtId="0" fillId="0" borderId="0" applyFont="1" applyNumberFormat="0" applyFill="0" applyBorder="0" applyAlignment="1">
      <alignment horizontal="center" vertical="bottom" textRotation="0" wrapText="true" shrinkToFit="false"/>
    </xf>
    <xf xfId="0" fontId="35" numFmtId="0" fillId="0" borderId="0" applyFont="1" applyNumberFormat="0" applyFill="0" applyBorder="0" applyAlignment="1">
      <alignment vertical="top" textRotation="0" wrapText="true" shrinkToFit="false"/>
    </xf>
    <xf xfId="0" fontId="35" numFmtId="10" fillId="0" borderId="0" applyFont="1" applyNumberFormat="1" applyFill="0" applyBorder="0" applyAlignment="1">
      <alignment vertical="top" textRotation="0" wrapText="true" shrinkToFit="false"/>
    </xf>
    <xf xfId="0" fontId="21" numFmtId="15" fillId="10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0" numFmtId="3" fillId="10" borderId="31" applyFont="0" applyNumberFormat="1" applyFill="1" applyBorder="1" applyAlignment="0"/>
    <xf xfId="0" fontId="0" numFmtId="3" fillId="10" borderId="28" applyFont="0" applyNumberFormat="1" applyFill="1" applyBorder="1" applyAlignment="0"/>
    <xf xfId="0" fontId="0" numFmtId="4" fillId="24" borderId="41" applyFont="0" applyNumberFormat="1" applyFill="1" applyBorder="1" applyAlignment="0"/>
    <xf xfId="0" fontId="0" numFmtId="4" fillId="24" borderId="42" applyFont="0" applyNumberFormat="1" applyFill="1" applyBorder="1" applyAlignment="0"/>
    <xf xfId="0" fontId="21" numFmtId="172" fillId="0" borderId="48" applyFont="1" applyNumberFormat="1" applyFill="0" applyBorder="1" applyAlignment="0"/>
    <xf xfId="0" fontId="36" numFmtId="0" fillId="17" borderId="1" applyFont="1" applyNumberFormat="0" applyFill="1" applyBorder="1" applyAlignment="0"/>
    <xf xfId="0" fontId="21" numFmtId="4" fillId="10" borderId="0" applyFont="1" applyNumberFormat="1" applyFill="1" applyBorder="0" applyAlignment="0"/>
    <xf xfId="0" fontId="21" numFmtId="0" fillId="24" borderId="39" applyFont="1" applyNumberFormat="0" applyFill="1" applyBorder="1" applyAlignment="0"/>
    <xf xfId="0" fontId="21" numFmtId="0" fillId="24" borderId="21" applyFont="1" applyNumberFormat="0" applyFill="1" applyBorder="1" applyAlignment="0"/>
    <xf xfId="0" fontId="21" numFmtId="0" fillId="24" borderId="22" applyFont="1" applyNumberFormat="0" applyFill="1" applyBorder="1" applyAlignment="0"/>
    <xf xfId="0" fontId="21" numFmtId="0" fillId="24" borderId="23" applyFont="1" applyNumberFormat="0" applyFill="1" applyBorder="1" applyAlignment="0"/>
    <xf xfId="0" fontId="21" numFmtId="3" fillId="24" borderId="22" applyFont="1" applyNumberFormat="1" applyFill="1" applyBorder="1" applyAlignment="0"/>
    <xf xfId="0" fontId="21" numFmtId="3" fillId="24" borderId="24" applyFont="1" applyNumberFormat="1" applyFill="1" applyBorder="1" applyAlignment="0"/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40" numFmtId="0" fillId="0" borderId="0" applyFont="1" applyNumberFormat="0" applyFill="0" applyBorder="0" applyAlignment="0"/>
    <xf xfId="0" fontId="12" numFmtId="0" fillId="25" borderId="1" applyFont="1" applyNumberFormat="0" applyFill="1" applyBorder="1" applyAlignment="0"/>
    <xf xfId="0" fontId="13" numFmtId="0" fillId="25" borderId="1" applyFont="1" applyNumberFormat="0" applyFill="1" applyBorder="1" applyAlignment="0"/>
    <xf xfId="0" fontId="13" numFmtId="0" fillId="25" borderId="1" applyFont="1" applyNumberFormat="0" applyFill="1" applyBorder="1" applyAlignment="1">
      <alignment horizontal="center" vertical="bottom" textRotation="0" wrapText="false" shrinkToFit="false"/>
    </xf>
    <xf xfId="0" fontId="13" numFmtId="0" fillId="25" borderId="1" applyFont="1" applyNumberFormat="0" applyFill="1" applyBorder="1" applyAlignment="1">
      <alignment vertical="bottom" textRotation="0" wrapText="true" shrinkToFit="false"/>
    </xf>
    <xf xfId="0" fontId="13" numFmtId="0" fillId="25" borderId="15" applyFont="1" applyNumberFormat="0" applyFill="1" applyBorder="1" applyAlignment="0"/>
    <xf xfId="0" fontId="13" numFmtId="173" fillId="0" borderId="1" applyFont="1" applyNumberFormat="1" applyFill="0" applyBorder="1" applyAlignment="1">
      <alignment horizontal="center" vertical="bottom" textRotation="0" wrapText="false" shrinkToFit="false"/>
    </xf>
    <xf xfId="0" fontId="21" numFmtId="169" fillId="10" borderId="0" applyFont="1" applyNumberFormat="1" applyFill="1" applyBorder="0" applyAlignment="0"/>
    <xf xfId="0" fontId="0" numFmtId="4" fillId="10" borderId="0" applyFont="0" applyNumberFormat="1" applyFill="1" applyBorder="0" applyAlignment="0"/>
    <xf xfId="0" fontId="0" numFmtId="172" fillId="10" borderId="0" applyFont="0" applyNumberFormat="1" applyFill="1" applyBorder="0" applyAlignment="0"/>
    <xf xfId="0" fontId="21" numFmtId="172" fillId="22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0" numFmtId="169" fillId="10" borderId="0" applyFont="0" applyNumberFormat="1" applyFill="1" applyBorder="0" applyAlignment="0"/>
    <xf xfId="0" fontId="13" numFmtId="173" fillId="0" borderId="1" applyFont="1" applyNumberFormat="1" applyFill="0" applyBorder="1" applyAlignment="0"/>
    <xf xfId="0" fontId="13" numFmtId="174" fillId="0" borderId="1" applyFont="1" applyNumberFormat="1" applyFill="0" applyBorder="1" applyAlignment="1">
      <alignment horizontal="center" vertical="bottom" textRotation="0" wrapText="false" shrinkToFit="false"/>
    </xf>
    <xf xfId="0" fontId="21" numFmtId="166" fillId="10" borderId="0" applyFont="1" applyNumberFormat="1" applyFill="1" applyBorder="0" applyAlignment="0"/>
    <xf xfId="0" fontId="21" numFmtId="0" fillId="24" borderId="31" applyFont="1" applyNumberFormat="0" applyFill="1" applyBorder="1" applyAlignment="0"/>
    <xf xfId="0" fontId="20" numFmtId="0" fillId="10" borderId="0" applyFont="1" applyNumberFormat="0" applyFill="1" applyBorder="0" applyAlignment="0"/>
    <xf xfId="0" fontId="21" numFmtId="10" fillId="21" borderId="0" applyFont="1" applyNumberFormat="1" applyFill="1" applyBorder="0" applyAlignment="0"/>
    <xf xfId="0" fontId="21" numFmtId="0" fillId="21" borderId="0" applyFont="1" applyNumberFormat="0" applyFill="1" applyBorder="0" applyAlignment="0"/>
    <xf xfId="0" fontId="21" numFmtId="0" fillId="10" borderId="0" applyFont="1" applyNumberFormat="0" applyFill="1" applyBorder="0" applyAlignment="0"/>
    <xf xfId="0" fontId="21" numFmtId="175" fillId="0" borderId="0" applyFont="1" applyNumberFormat="1" applyFill="0" applyBorder="0" applyAlignment="1">
      <alignment horizontal="left" vertical="bottom" textRotation="0" wrapText="false" shrinkToFit="false"/>
    </xf>
    <xf xfId="0" fontId="21" numFmtId="0" fillId="0" borderId="0" applyFont="1" applyNumberFormat="0" applyFill="0" applyBorder="0" applyAlignment="1">
      <alignment horizontal="left" vertical="bottom" textRotation="0" wrapText="false" shrinkToFit="false"/>
    </xf>
    <xf xfId="0" fontId="21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21" borderId="1" applyFont="1" applyNumberFormat="0" applyFill="1" applyBorder="1" applyAlignment="1">
      <alignment vertical="center" textRotation="0" wrapText="false" shrinkToFit="false"/>
    </xf>
    <xf xfId="0" fontId="13" numFmtId="0" fillId="21" borderId="1" applyFont="1" applyNumberFormat="0" applyFill="1" applyBorder="1" applyAlignment="1">
      <alignment vertical="bottom" textRotation="0" wrapText="true" shrinkToFit="false"/>
    </xf>
    <xf xfId="0" fontId="12" numFmtId="0" fillId="21" borderId="1" applyFont="1" applyNumberFormat="0" applyFill="1" applyBorder="1" applyAlignment="0"/>
    <xf xfId="0" fontId="13" numFmtId="0" fillId="21" borderId="1" applyFont="1" applyNumberFormat="0" applyFill="1" applyBorder="1" applyAlignment="0"/>
    <xf xfId="0" fontId="13" numFmtId="0" fillId="21" borderId="1" applyFont="1" applyNumberFormat="0" applyFill="1" applyBorder="1" applyAlignment="1">
      <alignment horizontal="left" vertical="bottom" textRotation="0" wrapText="true" shrinkToFit="false"/>
    </xf>
    <xf xfId="0" fontId="12" numFmtId="0" fillId="21" borderId="6" applyFont="1" applyNumberFormat="0" applyFill="1" applyBorder="1" applyAlignment="0"/>
    <xf xfId="0" fontId="12" numFmtId="0" fillId="21" borderId="2" applyFont="1" applyNumberFormat="0" applyFill="1" applyBorder="1" applyAlignment="0"/>
    <xf xfId="0" fontId="12" numFmtId="0" fillId="21" borderId="1" applyFont="1" applyNumberFormat="0" applyFill="1" applyBorder="1" applyAlignment="1">
      <alignment horizontal="center" vertical="center" textRotation="0" wrapText="false" shrinkToFit="false"/>
    </xf>
    <xf xfId="0" fontId="12" numFmtId="0" fillId="21" borderId="1" applyFont="1" applyNumberFormat="0" applyFill="1" applyBorder="1" applyAlignment="1">
      <alignment horizontal="center" vertical="center" textRotation="0" wrapText="true" shrinkToFit="false"/>
    </xf>
    <xf xfId="0" fontId="13" numFmtId="0" fillId="21" borderId="1" applyFont="1" applyNumberFormat="0" applyFill="1" applyBorder="1" applyAlignment="1">
      <alignment horizontal="center" vertical="bottom" textRotation="0" wrapText="false" shrinkToFit="false"/>
    </xf>
    <xf xfId="0" fontId="13" numFmtId="0" fillId="21" borderId="15" applyFont="1" applyNumberFormat="0" applyFill="1" applyBorder="1" applyAlignment="0"/>
    <xf xfId="0" fontId="21" numFmtId="0" fillId="25" borderId="29" applyFont="1" applyNumberFormat="0" applyFill="1" applyBorder="1" applyAlignment="0"/>
    <xf xfId="0" fontId="21" numFmtId="0" fillId="25" borderId="40" applyFont="1" applyNumberFormat="0" applyFill="1" applyBorder="1" applyAlignment="0"/>
    <xf xfId="0" fontId="32" numFmtId="3" fillId="25" borderId="30" applyFont="1" applyNumberFormat="1" applyFill="1" applyBorder="1" applyAlignment="0"/>
    <xf xfId="0" fontId="0" numFmtId="3" fillId="25" borderId="40" applyFont="0" applyNumberFormat="1" applyFill="1" applyBorder="1" applyAlignment="0"/>
    <xf xfId="0" fontId="0" numFmtId="3" fillId="25" borderId="30" applyFont="0" applyNumberFormat="1" applyFill="1" applyBorder="1" applyAlignment="0"/>
    <xf xfId="0" fontId="21" numFmtId="176" fillId="25" borderId="40" applyFont="1" applyNumberFormat="1" applyFill="1" applyBorder="1" applyAlignment="0"/>
    <xf xfId="0" fontId="21" numFmtId="10" fillId="25" borderId="45" applyFont="1" applyNumberFormat="1" applyFill="1" applyBorder="1" applyAlignment="0"/>
    <xf xfId="0" fontId="41" numFmtId="0" fillId="10" borderId="0" applyFont="1" applyNumberFormat="0" applyFill="1" applyBorder="0" applyAlignment="0"/>
    <xf xfId="0" fontId="42" numFmtId="172" fillId="10" borderId="0" applyFont="1" applyNumberFormat="1" applyFill="1" applyBorder="0" applyAlignment="0"/>
    <xf xfId="0" fontId="13" numFmtId="14" fillId="0" borderId="1" applyFont="1" applyNumberFormat="1" applyFill="0" applyBorder="1" applyAlignment="1">
      <alignment horizontal="center" vertical="bottom" textRotation="0" wrapText="false" shrinkToFit="false"/>
    </xf>
    <xf xfId="0" fontId="21" numFmtId="0" fillId="21" borderId="0" applyFont="1" applyNumberFormat="0" applyFill="1" applyBorder="0" applyAlignment="1">
      <alignment horizontal="right" vertical="bottom" textRotation="0" wrapText="false" shrinkToFit="false"/>
    </xf>
    <xf xfId="0" fontId="21" numFmtId="0" fillId="10" borderId="29" applyFont="1" applyNumberFormat="0" applyFill="1" applyBorder="1" applyAlignment="0"/>
    <xf xfId="0" fontId="21" numFmtId="0" fillId="21" borderId="0" applyFont="1" applyNumberFormat="0" applyFill="1" applyBorder="0" applyAlignment="0"/>
    <xf xfId="0" fontId="0" numFmtId="3" fillId="25" borderId="31" applyFont="0" applyNumberFormat="1" applyFill="1" applyBorder="1" applyAlignment="0"/>
    <xf xfId="0" fontId="21" numFmtId="172" fillId="25" borderId="40" applyFont="1" applyNumberFormat="1" applyFill="1" applyBorder="1" applyAlignment="0"/>
    <xf xfId="0" fontId="21" numFmtId="14" fillId="5" borderId="0" applyFont="1" applyNumberFormat="1" applyFill="1" applyBorder="0" applyAlignment="1">
      <alignment horizontal="right" vertical="bottom" textRotation="0" wrapText="false" shrinkToFit="false"/>
    </xf>
    <xf xfId="0" fontId="21" numFmtId="14" fillId="5" borderId="0" applyFont="1" applyNumberFormat="1" applyFill="1" applyBorder="0" applyAlignment="1">
      <alignment horizontal="right" vertical="bottom" textRotation="0" wrapText="false" shrinkToFit="false"/>
    </xf>
    <xf xfId="0" fontId="0" numFmtId="3" fillId="5" borderId="0" applyFont="0" applyNumberFormat="1" applyFill="1" applyBorder="0" applyAlignment="1">
      <alignment horizontal="right" vertical="center" textRotation="0" wrapText="false" shrinkToFit="false"/>
    </xf>
    <xf xfId="0" fontId="13" numFmtId="2" fillId="10" borderId="1" applyFont="1" applyNumberFormat="1" applyFill="1" applyBorder="1" applyAlignment="1">
      <alignment horizontal="right" vertical="bottom" textRotation="0" wrapText="false" shrinkToFit="false"/>
    </xf>
    <xf xfId="0" fontId="43" numFmtId="0" fillId="0" borderId="0" applyFont="1" applyNumberFormat="0" applyFill="0" applyBorder="0" applyAlignment="0"/>
    <xf xfId="0" fontId="0" numFmtId="0" fillId="21" borderId="1" applyFont="0" applyNumberFormat="0" applyFill="1" applyBorder="1" applyAlignment="1">
      <alignment horizontal="center" vertical="bottom" textRotation="0" wrapText="false" shrinkToFit="false"/>
    </xf>
    <xf xfId="0" fontId="0" numFmtId="0" fillId="21" borderId="1" applyFont="0" applyNumberFormat="0" applyFill="1" applyBorder="1" applyAlignment="0"/>
    <xf xfId="0" fontId="0" numFmtId="10" fillId="0" borderId="1" applyFont="0" applyNumberFormat="1" applyFill="0" applyBorder="1" applyAlignment="0"/>
    <xf xfId="0" fontId="21" numFmtId="0" fillId="21" borderId="1" applyFont="1" applyNumberFormat="0" applyFill="1" applyBorder="1" applyAlignment="0"/>
    <xf xfId="0" fontId="21" numFmtId="0" fillId="21" borderId="1" applyFont="1" applyNumberFormat="0" applyFill="1" applyBorder="1" applyAlignment="1">
      <alignment horizontal="center" vertical="bottom" textRotation="0" wrapText="false" shrinkToFit="false"/>
    </xf>
    <xf xfId="0" fontId="21" numFmtId="10" fillId="0" borderId="1" applyFont="1" applyNumberFormat="1" applyFill="0" applyBorder="1" applyAlignment="1">
      <alignment horizontal="center" vertical="bottom" textRotation="0" wrapText="false" shrinkToFit="false"/>
    </xf>
    <xf xfId="0" fontId="21" numFmtId="0" fillId="0" borderId="1" applyFont="1" applyNumberFormat="0" applyFill="0" applyBorder="1" applyAlignment="1">
      <alignment horizontal="center" vertical="bottom" textRotation="0" wrapText="false" shrinkToFit="false"/>
    </xf>
    <xf xfId="0" fontId="23" numFmtId="0" fillId="0" borderId="1" applyFont="1" applyNumberFormat="0" applyFill="0" applyBorder="1" applyAlignment="0"/>
    <xf xfId="0" fontId="21" numFmtId="9" fillId="0" borderId="0" applyFont="1" applyNumberFormat="1" applyFill="0" applyBorder="0" applyAlignment="0"/>
    <xf xfId="0" fontId="21" numFmtId="10" fillId="0" borderId="0" applyFont="1" applyNumberFormat="1" applyFill="0" applyBorder="0" applyAlignment="1">
      <alignment horizontal="center" vertical="bottom" textRotation="0" wrapText="false" shrinkToFit="false"/>
    </xf>
    <xf xfId="0" fontId="21" numFmtId="10" fillId="0" borderId="0" applyFont="1" applyNumberFormat="1" applyFill="0" applyBorder="0" applyAlignment="1">
      <alignment horizontal="right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bottom" textRotation="0" wrapText="false" shrinkToFit="false"/>
    </xf>
    <xf xfId="0" fontId="21" numFmtId="0" fillId="0" borderId="0" applyFont="1" applyNumberFormat="0" applyFill="0" applyBorder="0" applyAlignment="0"/>
    <xf xfId="0" fontId="23" numFmtId="0" fillId="0" borderId="0" applyFont="1" applyNumberFormat="0" applyFill="0" applyBorder="0" applyAlignment="0"/>
    <xf xfId="0" fontId="12" numFmtId="171" fillId="0" borderId="0" applyFont="1" applyNumberFormat="1" applyFill="0" applyBorder="0" applyAlignment="0"/>
    <xf xfId="0" fontId="1" numFmtId="10" fillId="0" borderId="1" applyFont="1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0"/>
    <xf xfId="0" fontId="1" numFmtId="0" fillId="0" borderId="0" applyFont="1" applyNumberFormat="0" applyFill="0" applyBorder="0" applyAlignment="0"/>
    <xf xfId="0" fontId="0" numFmtId="2" fillId="0" borderId="0" applyFont="0" applyNumberFormat="1" applyFill="0" applyBorder="0" applyAlignment="0"/>
    <xf xfId="0" fontId="1" numFmtId="0" fillId="0" borderId="1" applyFont="1" applyNumberFormat="0" applyFill="0" applyBorder="1" applyAlignment="0"/>
    <xf xfId="0" fontId="0" numFmtId="10" fillId="0" borderId="1" applyFont="0" applyNumberFormat="1" applyFill="0" applyBorder="1" applyAlignment="0"/>
    <xf xfId="0" fontId="1" numFmtId="0" fillId="10" borderId="1" applyFont="1" applyNumberFormat="0" applyFill="1" applyBorder="1" applyAlignment="1">
      <alignment horizontal="left" vertical="bottom" textRotation="0" wrapText="false" shrinkToFit="false"/>
    </xf>
    <xf xfId="0" fontId="0" numFmtId="10" fillId="10" borderId="1" applyFont="0" applyNumberFormat="1" applyFill="1" applyBorder="1" applyAlignment="0"/>
    <xf xfId="0" fontId="1" numFmtId="10" fillId="10" borderId="1" applyFont="1" applyNumberFormat="1" applyFill="1" applyBorder="1" applyAlignment="1">
      <alignment horizontal="left" vertical="bottom" textRotation="0" wrapText="false" shrinkToFit="false"/>
    </xf>
    <xf xfId="0" fontId="0" numFmtId="2" fillId="10" borderId="1" applyFont="0" applyNumberFormat="1" applyFill="1" applyBorder="1" applyAlignment="0"/>
    <xf xfId="0" fontId="1" numFmtId="10" fillId="21" borderId="1" applyFont="1" applyNumberFormat="1" applyFill="1" applyBorder="1" applyAlignment="1">
      <alignment horizontal="left" vertical="bottom" textRotation="0" wrapText="false" shrinkToFit="false"/>
    </xf>
    <xf xfId="0" fontId="0" numFmtId="10" fillId="21" borderId="1" applyFont="0" applyNumberFormat="1" applyFill="1" applyBorder="1" applyAlignment="0"/>
    <xf xfId="0" fontId="1" numFmtId="0" fillId="21" borderId="1" applyFont="1" applyNumberFormat="0" applyFill="1" applyBorder="1" applyAlignment="1">
      <alignment horizontal="left" vertical="bottom" textRotation="0" wrapText="false" shrinkToFit="false"/>
    </xf>
    <xf xfId="0" fontId="1" numFmtId="0" fillId="21" borderId="1" applyFont="1" applyNumberFormat="0" applyFill="1" applyBorder="1" applyAlignment="0"/>
    <xf xfId="0" fontId="21" numFmtId="0" fillId="10" borderId="0" applyFont="1" applyNumberFormat="0" applyFill="1" applyBorder="0" applyAlignment="0"/>
    <xf xfId="0" fontId="23" numFmtId="0" fillId="22" borderId="1" applyFont="1" applyNumberFormat="0" applyFill="1" applyBorder="1" applyAlignment="1">
      <alignment horizontal="center" vertical="bottom" textRotation="0" wrapText="false" shrinkToFit="false"/>
    </xf>
    <xf xfId="0" fontId="23" numFmtId="0" fillId="24" borderId="1" applyFont="1" applyNumberFormat="0" applyFill="1" applyBorder="1" applyAlignment="1">
      <alignment horizontal="center" vertical="bottom" textRotation="0" wrapText="false" shrinkToFit="false"/>
    </xf>
    <xf xfId="0" fontId="23" numFmtId="0" fillId="26" borderId="1" applyFont="1" applyNumberFormat="0" applyFill="1" applyBorder="1" applyAlignment="1">
      <alignment horizontal="center" vertical="bottom" textRotation="0" wrapText="false" shrinkToFit="false"/>
    </xf>
    <xf xfId="0" fontId="21" numFmtId="10" fillId="0" borderId="1" applyFont="1" applyNumberFormat="1" applyFill="0" applyBorder="1" applyAlignment="0"/>
    <xf xfId="0" fontId="21" numFmtId="0" fillId="21" borderId="1" applyFont="1" applyNumberFormat="0" applyFill="1" applyBorder="1" applyAlignment="0"/>
    <xf xfId="0" fontId="21" numFmtId="0" fillId="21" borderId="1" applyFont="1" applyNumberFormat="0" applyFill="1" applyBorder="1" applyAlignment="1">
      <alignment vertical="bottom" textRotation="0" wrapText="true" shrinkToFit="false"/>
    </xf>
    <xf xfId="0" fontId="23" numFmtId="0" fillId="22" borderId="1" applyFont="1" applyNumberFormat="0" applyFill="1" applyBorder="1" applyAlignment="1">
      <alignment horizontal="center" vertical="center" textRotation="0" wrapText="false" shrinkToFit="false"/>
    </xf>
    <xf xfId="0" fontId="23" numFmtId="0" fillId="24" borderId="1" applyFont="1" applyNumberFormat="0" applyFill="1" applyBorder="1" applyAlignment="1">
      <alignment horizontal="center" vertical="center" textRotation="0" wrapText="false" shrinkToFit="false"/>
    </xf>
    <xf xfId="0" fontId="23" numFmtId="0" fillId="26" borderId="3" applyFont="1" applyNumberFormat="0" applyFill="1" applyBorder="1" applyAlignment="1">
      <alignment horizontal="center" vertical="center" textRotation="0" wrapText="true" shrinkToFit="false"/>
    </xf>
    <xf xfId="0" fontId="23" numFmtId="0" fillId="26" borderId="6" applyFont="1" applyNumberFormat="0" applyFill="1" applyBorder="1" applyAlignment="1">
      <alignment horizontal="center" vertical="center" textRotation="0" wrapText="true" shrinkToFit="false"/>
    </xf>
    <xf xfId="0" fontId="21" numFmtId="0" fillId="21" borderId="15" applyFont="1" applyNumberFormat="0" applyFill="1" applyBorder="1" applyAlignment="0"/>
    <xf xfId="0" fontId="21" numFmtId="0" fillId="21" borderId="15" applyFont="1" applyNumberFormat="0" applyFill="1" applyBorder="1" applyAlignment="1">
      <alignment vertical="bottom" textRotation="0" wrapText="true" shrinkToFit="false"/>
    </xf>
    <xf xfId="0" fontId="0" numFmtId="10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10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0" numFmtId="10" fillId="10" borderId="0" applyFont="0" applyNumberFormat="1" applyFill="1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2" fillId="10" borderId="0" applyFont="0" applyNumberFormat="1" applyFill="1" applyBorder="0" applyAlignment="0"/>
    <xf xfId="0" fontId="0" numFmtId="2" fillId="10" borderId="0" applyFont="0" applyNumberFormat="1" applyFill="1" applyBorder="0" applyAlignment="0"/>
    <xf xfId="0" fontId="0" numFmtId="2" fillId="10" borderId="0" applyFont="0" applyNumberFormat="1" applyFill="1" applyBorder="0" applyAlignment="1">
      <alignment horizontal="right" vertical="bottom" textRotation="0" wrapText="false" shrinkToFit="false"/>
    </xf>
    <xf xfId="0" fontId="0" numFmtId="10" fillId="10" borderId="0" applyFont="0" applyNumberFormat="1" applyFill="1" applyBorder="0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10" fillId="0" borderId="0" applyFont="1" applyNumberFormat="1" applyFill="0" applyBorder="0" applyAlignment="0"/>
    <xf xfId="0" fontId="13" numFmtId="14" fillId="0" borderId="0" applyFont="1" applyNumberFormat="1" applyFill="0" applyBorder="0" applyAlignment="0"/>
    <xf xfId="0" fontId="44" numFmtId="0" fillId="10" borderId="0" applyFont="1" applyNumberFormat="0" applyFill="1" applyBorder="0" applyAlignment="1">
      <alignment horizontal="center" vertical="center" textRotation="0" wrapText="false" shrinkToFit="false"/>
    </xf>
    <xf xfId="0" fontId="44" numFmtId="0" fillId="22" borderId="0" applyFont="1" applyNumberFormat="0" applyFill="1" applyBorder="0" applyAlignment="1">
      <alignment vertical="center" textRotation="0" wrapText="false" shrinkToFit="false"/>
    </xf>
    <xf xfId="0" fontId="44" numFmtId="10" fillId="10" borderId="0" applyFont="1" applyNumberFormat="1" applyFill="1" applyBorder="0" applyAlignment="1">
      <alignment horizontal="center" vertical="center" textRotation="0" wrapText="false" shrinkToFit="false"/>
    </xf>
    <xf xfId="0" fontId="44" numFmtId="0" fillId="0" borderId="0" applyFont="1" applyNumberFormat="0" applyFill="0" applyBorder="0" applyAlignment="1">
      <alignment vertical="center" textRotation="0" wrapText="false" shrinkToFit="false"/>
    </xf>
    <xf xfId="0" fontId="45" numFmtId="0" fillId="10" borderId="0" applyFont="1" applyNumberFormat="0" applyFill="1" applyBorder="0" applyAlignment="1">
      <alignment vertical="center" textRotation="0" wrapText="false" shrinkToFit="false"/>
    </xf>
    <xf xfId="0" fontId="44" numFmtId="0" fillId="0" borderId="0" applyFont="1" applyNumberFormat="0" applyFill="0" applyBorder="0" applyAlignment="0"/>
    <xf xfId="0" fontId="44" numFmtId="0" fillId="10" borderId="59" applyFont="1" applyNumberFormat="0" applyFill="1" applyBorder="1" applyAlignment="1">
      <alignment horizontal="center" vertical="center" textRotation="0" wrapText="false" shrinkToFit="false"/>
    </xf>
    <xf xfId="0" fontId="44" numFmtId="0" fillId="24" borderId="59" applyFont="1" applyNumberFormat="0" applyFill="1" applyBorder="1" applyAlignment="1">
      <alignment vertical="center" textRotation="0" wrapText="false" shrinkToFit="false"/>
    </xf>
    <xf xfId="0" fontId="45" numFmtId="0" fillId="10" borderId="59" applyFont="1" applyNumberFormat="0" applyFill="1" applyBorder="1" applyAlignment="1">
      <alignment vertical="center" textRotation="0" wrapText="false" shrinkToFit="false"/>
    </xf>
    <xf xfId="0" fontId="21" numFmtId="0" fillId="21" borderId="0" applyFont="1" applyNumberFormat="0" applyFill="1" applyBorder="0" applyAlignment="1">
      <alignment vertical="bottom" textRotation="0" wrapText="true" shrinkToFit="false"/>
    </xf>
    <xf xfId="0" fontId="44" numFmtId="0" fillId="25" borderId="60" applyFont="1" applyNumberFormat="0" applyFill="1" applyBorder="1" applyAlignment="1">
      <alignment vertical="center" textRotation="0" wrapText="false" shrinkToFit="false"/>
    </xf>
    <xf xfId="0" fontId="44" numFmtId="10" fillId="10" borderId="59" applyFont="1" applyNumberFormat="1" applyFill="1" applyBorder="1" applyAlignment="1">
      <alignment horizontal="center" vertical="center" textRotation="0" wrapText="false" shrinkToFit="false"/>
    </xf>
    <xf xfId="0" fontId="44" numFmtId="0" fillId="21" borderId="0" applyFont="1" applyNumberFormat="0" applyFill="1" applyBorder="0" applyAlignment="1">
      <alignment vertical="center" textRotation="0" wrapText="false" shrinkToFit="false"/>
    </xf>
    <xf xfId="0" fontId="44" numFmtId="0" fillId="21" borderId="0" applyFont="1" applyNumberFormat="0" applyFill="1" applyBorder="0" applyAlignment="1">
      <alignment horizontal="center" vertical="center" textRotation="0" wrapText="false" shrinkToFit="false"/>
    </xf>
    <xf xfId="0" fontId="44" numFmtId="10" fillId="10" borderId="61" applyFont="1" applyNumberFormat="1" applyFill="1" applyBorder="1" applyAlignment="1">
      <alignment horizontal="center" vertical="center" textRotation="0" wrapText="false" shrinkToFit="false"/>
    </xf>
    <xf xfId="0" fontId="44" numFmtId="0" fillId="21" borderId="62" applyFont="1" applyNumberFormat="0" applyFill="1" applyBorder="1" applyAlignment="1">
      <alignment vertical="center" textRotation="0" wrapText="false" shrinkToFit="false"/>
    </xf>
    <xf xfId="0" fontId="44" numFmtId="0" fillId="21" borderId="62" applyFont="1" applyNumberFormat="0" applyFill="1" applyBorder="1" applyAlignment="1">
      <alignment horizontal="center" vertical="center" textRotation="0" wrapText="false" shrinkToFit="false"/>
    </xf>
    <xf xfId="0" fontId="44" numFmtId="10" fillId="10" borderId="60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1" numFmtId="0" fillId="21" borderId="1" applyFont="1" applyNumberFormat="0" applyFill="1" applyBorder="1" applyAlignment="1">
      <alignment horizontal="center" vertical="center" textRotation="0" wrapText="true" shrinkToFit="false"/>
    </xf>
    <xf xfId="0" fontId="0" numFmtId="0" fillId="21" borderId="1" applyFont="0" applyNumberFormat="0" applyFill="1" applyBorder="1" applyAlignment="1">
      <alignment horizontal="center" vertical="bottom" textRotation="0" wrapText="false" shrinkToFit="false"/>
    </xf>
    <xf xfId="0" fontId="0" numFmtId="167" fillId="0" borderId="1" applyFont="0" applyNumberFormat="1" applyFill="0" applyBorder="1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10" fillId="10" borderId="1" applyFont="0" applyNumberFormat="1" applyFill="1" applyBorder="1" applyAlignment="1">
      <alignment horizontal="center" vertical="bottom" textRotation="0" wrapText="false" shrinkToFit="false"/>
    </xf>
    <xf xfId="0" fontId="1" numFmtId="0" fillId="21" borderId="15" applyFont="1" applyNumberFormat="0" applyFill="1" applyBorder="1" applyAlignment="1">
      <alignment horizontal="center" vertical="center" textRotation="0" wrapText="true" shrinkToFit="false"/>
    </xf>
    <xf xfId="0" fontId="1" numFmtId="0" fillId="21" borderId="15" applyFont="1" applyNumberFormat="0" applyFill="1" applyBorder="1" applyAlignment="1">
      <alignment horizontal="center" vertical="bottom" textRotation="0" wrapText="false" shrinkToFit="false"/>
    </xf>
    <xf xfId="0" fontId="1" numFmtId="0" fillId="21" borderId="1" applyFont="1" applyNumberFormat="0" applyFill="1" applyBorder="1" applyAlignment="1">
      <alignment horizontal="center" vertical="bottom" textRotation="0" wrapText="false" shrinkToFit="false"/>
    </xf>
    <xf xfId="0" fontId="8" numFmtId="0" fillId="26" borderId="3" applyFont="1" applyNumberFormat="0" applyFill="1" applyBorder="1" applyAlignment="1">
      <alignment horizontal="center" vertical="center" textRotation="0" wrapText="true" shrinkToFit="false"/>
    </xf>
    <xf xfId="0" fontId="17" numFmtId="0" fillId="26" borderId="1" applyFont="1" applyNumberFormat="0" applyFill="1" applyBorder="1" applyAlignment="1">
      <alignment horizontal="center" vertical="center" textRotation="0" wrapText="true" shrinkToFit="false"/>
    </xf>
    <xf xfId="0" fontId="8" numFmtId="0" fillId="24" borderId="3" applyFont="1" applyNumberFormat="0" applyFill="1" applyBorder="1" applyAlignment="1">
      <alignment horizontal="center" vertical="center" textRotation="0" wrapText="true" shrinkToFit="false"/>
    </xf>
    <xf xfId="0" fontId="17" numFmtId="0" fillId="24" borderId="1" applyFont="1" applyNumberFormat="0" applyFill="1" applyBorder="1" applyAlignment="1">
      <alignment horizontal="center" vertical="center" textRotation="0" wrapText="true" shrinkToFit="false"/>
    </xf>
    <xf xfId="0" fontId="46" numFmtId="10" fillId="0" borderId="63" applyFont="1" applyNumberFormat="1" applyFill="0" applyBorder="1" applyAlignment="1">
      <alignment horizontal="center" vertical="bottom" textRotation="0" wrapText="false" shrinkToFit="false"/>
    </xf>
    <xf xfId="0" fontId="0" numFmtId="10" fillId="0" borderId="63" applyFont="0" applyNumberFormat="1" applyFill="0" applyBorder="1" applyAlignment="1">
      <alignment horizontal="center" vertical="bottom" textRotation="0" wrapText="false" shrinkToFit="false"/>
    </xf>
    <xf xfId="0" fontId="10" numFmtId="0" fillId="10" borderId="1" applyFont="1" applyNumberFormat="0" applyFill="1" applyBorder="1" applyAlignment="1">
      <alignment horizontal="center" vertical="bottom" textRotation="0" wrapText="false" shrinkToFit="false"/>
    </xf>
    <xf xfId="0" fontId="46" numFmtId="10" fillId="0" borderId="1" applyFont="1" applyNumberFormat="1" applyFill="0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21" numFmtId="10" fillId="0" borderId="55" applyFont="1" applyNumberFormat="1" applyFill="0" applyBorder="1" applyAlignment="0"/>
    <xf xfId="0" fontId="21" numFmtId="0" fillId="21" borderId="55" applyFont="1" applyNumberFormat="0" applyFill="1" applyBorder="1" applyAlignment="0"/>
    <xf xfId="0" fontId="17" numFmtId="0" fillId="20" borderId="3" applyFont="1" applyNumberFormat="0" applyFill="1" applyBorder="1" applyAlignment="1">
      <alignment horizontal="center" vertical="center" textRotation="0" wrapText="true" shrinkToFit="false"/>
    </xf>
    <xf xfId="0" fontId="17" numFmtId="0" fillId="20" borderId="1" applyFont="1" applyNumberFormat="0" applyFill="1" applyBorder="1" applyAlignment="1">
      <alignment horizontal="center" vertical="center" textRotation="0" wrapText="true" shrinkToFit="false"/>
    </xf>
    <xf xfId="0" fontId="0" numFmtId="2" fillId="0" borderId="15" applyFont="0" applyNumberFormat="1" applyFill="0" applyBorder="1" applyAlignment="1">
      <alignment horizontal="center" vertical="center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47" numFmtId="0" fillId="5" borderId="1" applyFont="1" applyNumberFormat="0" applyFill="1" applyBorder="1" applyAlignment="1">
      <alignment horizontal="right" vertical="center" textRotation="0" wrapText="false" shrinkToFit="false"/>
    </xf>
    <xf xfId="0" fontId="47" numFmtId="0" fillId="5" borderId="1" applyFont="1" applyNumberFormat="0" applyFill="1" applyBorder="1" applyAlignment="0"/>
    <xf xfId="0" fontId="47" numFmtId="14" fillId="5" borderId="1" applyFont="1" applyNumberFormat="1" applyFill="1" applyBorder="1" applyAlignment="1">
      <alignment vertical="center" textRotation="0" wrapText="false" shrinkToFit="false"/>
    </xf>
    <xf xfId="0" fontId="47" numFmtId="14" fillId="5" borderId="1" applyFont="1" applyNumberFormat="1" applyFill="1" applyBorder="1" applyAlignment="1">
      <alignment horizontal="right" vertical="center" textRotation="0" wrapText="false" shrinkToFit="false"/>
    </xf>
    <xf xfId="0" fontId="47" numFmtId="10" fillId="5" borderId="1" applyFont="1" applyNumberFormat="1" applyFill="1" applyBorder="1" applyAlignment="0"/>
    <xf xfId="0" fontId="24" numFmtId="0" fillId="0" borderId="0" applyFont="1" applyNumberFormat="0" applyFill="0" applyBorder="0" applyAlignment="0"/>
    <xf xfId="0" fontId="24" numFmtId="172" fillId="0" borderId="0" applyFont="1" applyNumberFormat="1" applyFill="0" applyBorder="0" applyAlignment="0"/>
    <xf xfId="0" fontId="24" numFmtId="3" fillId="0" borderId="0" applyFont="1" applyNumberFormat="1" applyFill="0" applyBorder="0" applyAlignment="0"/>
    <xf xfId="0" fontId="1" numFmtId="0" fillId="0" borderId="0" applyFont="1" applyNumberFormat="0" applyFill="0" applyBorder="0" applyAlignment="0"/>
    <xf xfId="0" fontId="0" numFmtId="0" fillId="25" borderId="1" applyFont="0" applyNumberFormat="0" applyFill="1" applyBorder="1" applyAlignment="1">
      <alignment horizontal="center" vertical="bottom" textRotation="0" wrapText="false" shrinkToFit="false"/>
    </xf>
    <xf xfId="0" fontId="48" numFmtId="0" fillId="22" borderId="0" applyFont="1" applyNumberFormat="0" applyFill="1" applyBorder="0" applyAlignment="0"/>
    <xf xfId="0" fontId="24" numFmtId="0" fillId="22" borderId="0" applyFont="1" applyNumberFormat="0" applyFill="1" applyBorder="0" applyAlignment="0"/>
    <xf xfId="0" fontId="0" numFmtId="0" fillId="22" borderId="0" applyFont="0" applyNumberFormat="0" applyFill="1" applyBorder="0" applyAlignment="0"/>
    <xf xfId="0" fontId="24" numFmtId="177" fillId="22" borderId="0" applyFont="1" applyNumberFormat="1" applyFill="1" applyBorder="0" applyAlignment="0"/>
    <xf xfId="0" fontId="0" numFmtId="2" fillId="22" borderId="0" applyFont="0" applyNumberFormat="1" applyFill="1" applyBorder="0" applyAlignment="0"/>
    <xf xfId="0" fontId="13" numFmtId="0" fillId="0" borderId="64" applyFont="1" applyNumberFormat="0" applyFill="0" applyBorder="1" applyAlignment="1">
      <alignment horizontal="center" vertical="bottom" textRotation="0" wrapText="false" shrinkToFit="false"/>
    </xf>
    <xf xfId="0" fontId="13" numFmtId="10" fillId="0" borderId="64" applyFont="1" applyNumberFormat="1" applyFill="0" applyBorder="1" applyAlignment="1">
      <alignment horizontal="center" vertical="bottom" textRotation="0" wrapText="false" shrinkToFit="false"/>
    </xf>
    <xf xfId="0" fontId="13" numFmtId="0" fillId="22" borderId="64" applyFont="1" applyNumberFormat="0" applyFill="1" applyBorder="1" applyAlignment="0"/>
    <xf xfId="0" fontId="13" numFmtId="0" fillId="22" borderId="64" applyFont="1" applyNumberFormat="0" applyFill="1" applyBorder="1" applyAlignment="1">
      <alignment horizontal="left" vertical="bottom" textRotation="0" wrapText="false" shrinkToFit="false"/>
    </xf>
    <xf xfId="0" fontId="13" numFmtId="10" fillId="27" borderId="65" applyFont="1" applyNumberFormat="1" applyFill="1" applyBorder="1" applyAlignment="0"/>
    <xf xfId="0" fontId="13" numFmtId="14" fillId="27" borderId="66" applyFont="1" applyNumberFormat="1" applyFill="1" applyBorder="1" applyAlignment="0"/>
    <xf xfId="0" fontId="13" numFmtId="10" fillId="28" borderId="67" applyFont="1" applyNumberFormat="1" applyFill="1" applyBorder="1" applyAlignment="0"/>
    <xf xfId="0" fontId="13" numFmtId="14" fillId="28" borderId="68" applyFont="1" applyNumberFormat="1" applyFill="1" applyBorder="1" applyAlignment="0"/>
    <xf xfId="0" fontId="13" numFmtId="10" fillId="10" borderId="67" applyFont="1" applyNumberFormat="1" applyFill="1" applyBorder="1" applyAlignment="0"/>
    <xf xfId="0" fontId="13" numFmtId="14" fillId="10" borderId="68" applyFont="1" applyNumberFormat="1" applyFill="1" applyBorder="1" applyAlignment="1">
      <alignment horizontal="right" vertical="bottom" textRotation="0" wrapText="false" shrinkToFit="false"/>
    </xf>
    <xf xfId="0" fontId="13" numFmtId="14" fillId="28" borderId="68" applyFont="1" applyNumberFormat="1" applyFill="1" applyBorder="1" applyAlignment="1">
      <alignment horizontal="right" vertical="bottom" textRotation="0" wrapText="false" shrinkToFit="false"/>
    </xf>
    <xf xfId="0" fontId="13" numFmtId="0" fillId="10" borderId="68" applyFont="1" applyNumberFormat="0" applyFill="1" applyBorder="1" applyAlignment="0"/>
    <xf xfId="0" fontId="13" numFmtId="10" fillId="10" borderId="68" applyFont="1" applyNumberFormat="1" applyFill="1" applyBorder="1" applyAlignment="0"/>
    <xf xfId="0" fontId="13" numFmtId="10" fillId="28" borderId="68" applyFont="1" applyNumberFormat="1" applyFill="1" applyBorder="1" applyAlignment="0"/>
    <xf xfId="0" fontId="13" numFmtId="10" fillId="28" borderId="69" applyFont="1" applyNumberFormat="1" applyFill="1" applyBorder="1" applyAlignment="0"/>
    <xf xfId="0" fontId="13" numFmtId="10" fillId="28" borderId="70" applyFont="1" applyNumberFormat="1" applyFill="1" applyBorder="1" applyAlignment="0"/>
    <xf xfId="0" fontId="13" numFmtId="0" fillId="21" borderId="64" applyFont="1" applyNumberFormat="0" applyFill="1" applyBorder="1" applyAlignment="1">
      <alignment horizontal="left" vertical="bottom" textRotation="0" wrapText="false" shrinkToFit="false"/>
    </xf>
    <xf xfId="0" fontId="13" numFmtId="10" fillId="21" borderId="64" applyFont="1" applyNumberFormat="1" applyFill="1" applyBorder="1" applyAlignment="1">
      <alignment horizontal="right" vertical="bottom" textRotation="0" wrapText="false" shrinkToFit="false"/>
    </xf>
    <xf xfId="0" fontId="13" numFmtId="10" fillId="21" borderId="64" applyFont="1" applyNumberFormat="1" applyFill="1" applyBorder="1" applyAlignment="1">
      <alignment horizontal="center" vertical="bottom" textRotation="0" wrapText="false" shrinkToFit="false"/>
    </xf>
    <xf xfId="0" fontId="13" numFmtId="10" fillId="22" borderId="64" applyFont="1" applyNumberFormat="1" applyFill="1" applyBorder="1" applyAlignment="1">
      <alignment horizontal="center" vertical="bottom" textRotation="0" wrapText="false" shrinkToFit="false"/>
    </xf>
    <xf xfId="0" fontId="13" numFmtId="10" fillId="10" borderId="64" applyFont="1" applyNumberFormat="1" applyFill="1" applyBorder="1" applyAlignment="1">
      <alignment horizontal="center" vertical="bottom" textRotation="0" wrapText="false" shrinkToFit="false"/>
    </xf>
    <xf xfId="0" fontId="13" numFmtId="14" fillId="10" borderId="64" applyFont="1" applyNumberFormat="1" applyFill="1" applyBorder="1" applyAlignment="1">
      <alignment horizontal="center" vertical="bottom" textRotation="0" wrapText="false" shrinkToFit="false"/>
    </xf>
    <xf xfId="0" fontId="44" numFmtId="0" fillId="24" borderId="0" applyFont="1" applyNumberFormat="0" applyFill="1" applyBorder="0" applyAlignment="1">
      <alignment vertical="center" textRotation="0" wrapText="false" shrinkToFit="false"/>
    </xf>
    <xf xfId="0" fontId="44" numFmtId="0" fillId="10" borderId="0" applyFont="1" applyNumberFormat="0" applyFill="1" applyBorder="0" applyAlignment="1">
      <alignment vertical="center" textRotation="0" wrapText="false" shrinkToFit="false"/>
    </xf>
    <xf xfId="0" fontId="44" numFmtId="0" fillId="25" borderId="0" applyFont="1" applyNumberFormat="0" applyFill="1" applyBorder="0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21" numFmtId="0" fillId="10" borderId="0" applyFont="1" applyNumberFormat="0" applyFill="1" applyBorder="0" applyAlignment="0"/>
    <xf xfId="0" fontId="21" numFmtId="0" fillId="22" borderId="0" applyFont="1" applyNumberFormat="0" applyFill="1" applyBorder="0" applyAlignment="0"/>
    <xf xfId="0" fontId="21" numFmtId="14" fillId="10" borderId="0" applyFont="1" applyNumberFormat="1" applyFill="1" applyBorder="0" applyAlignment="1">
      <alignment horizontal="right" vertical="bottom" textRotation="0" wrapText="false" shrinkToFit="false"/>
    </xf>
    <xf xfId="0" fontId="21" numFmtId="0" fillId="22" borderId="0" applyFont="1" applyNumberFormat="0" applyFill="1" applyBorder="0" applyAlignment="1">
      <alignment horizontal="center" vertical="bottom" textRotation="0" wrapText="false" shrinkToFit="false"/>
    </xf>
    <xf xfId="0" fontId="13" numFmtId="2" fillId="28" borderId="68" applyFont="1" applyNumberFormat="1" applyFill="1" applyBorder="1" applyAlignment="0"/>
    <xf xfId="0" fontId="8" numFmtId="0" fillId="29" borderId="3" applyFont="1" applyNumberFormat="0" applyFill="1" applyBorder="1" applyAlignment="1">
      <alignment horizontal="center" vertical="center" textRotation="0" wrapText="true" shrinkToFit="false"/>
    </xf>
    <xf xfId="0" fontId="17" numFmtId="0" fillId="25" borderId="6" applyFont="1" applyNumberFormat="0" applyFill="1" applyBorder="1" applyAlignment="1">
      <alignment horizontal="center" vertical="center" textRotation="0" wrapText="true" shrinkToFit="false"/>
    </xf>
    <xf xfId="0" fontId="8" numFmtId="0" fillId="30" borderId="3" applyFont="1" applyNumberFormat="0" applyFill="1" applyBorder="1" applyAlignment="1">
      <alignment horizontal="center" vertical="center" textRotation="0" wrapText="true" shrinkToFit="false"/>
    </xf>
    <xf xfId="0" fontId="17" numFmtId="0" fillId="31" borderId="6" applyFont="1" applyNumberFormat="0" applyFill="1" applyBorder="1" applyAlignment="1">
      <alignment horizontal="center" vertical="center" textRotation="0" wrapText="true" shrinkToFit="false"/>
    </xf>
    <xf xfId="0" fontId="0" numFmtId="10" fillId="0" borderId="71" applyFont="0" applyNumberFormat="1" applyFill="0" applyBorder="1" applyAlignment="0"/>
    <xf xfId="0" fontId="0" numFmtId="10" fillId="0" borderId="72" applyFont="0" applyNumberFormat="1" applyFill="0" applyBorder="1" applyAlignment="0"/>
    <xf xfId="0" fontId="0" numFmtId="10" fillId="0" borderId="0" applyFont="0" applyNumberFormat="1" applyFill="0" applyBorder="0" applyAlignment="0"/>
    <xf xfId="0" fontId="0" numFmtId="10" fillId="0" borderId="20" applyFont="0" applyNumberFormat="1" applyFill="0" applyBorder="1" applyAlignment="0"/>
    <xf xfId="0" fontId="0" numFmtId="10" fillId="7" borderId="1" applyFont="0" applyNumberFormat="1" applyFill="1" applyBorder="1" applyAlignment="0"/>
    <xf xfId="0" fontId="0" numFmtId="170" fillId="0" borderId="1" applyFont="0" applyNumberFormat="1" applyFill="0" applyBorder="1" applyAlignment="0"/>
    <xf xfId="0" fontId="49" numFmtId="10" fillId="32" borderId="3" applyFont="1" applyNumberFormat="1" applyFill="1" applyBorder="1" applyAlignment="1">
      <alignment horizontal="center" vertical="bottom" textRotation="0" wrapText="false" shrinkToFit="false"/>
    </xf>
    <xf xfId="0" fontId="49" numFmtId="10" fillId="0" borderId="15" applyFont="1" applyNumberFormat="1" applyFill="0" applyBorder="1" applyAlignment="1">
      <alignment horizontal="center" vertical="bottom" textRotation="0" wrapText="false" shrinkToFit="false"/>
    </xf>
    <xf xfId="0" fontId="49" numFmtId="10" fillId="0" borderId="0" applyFont="1" applyNumberFormat="1" applyFill="0" applyBorder="0" applyAlignment="0"/>
    <xf xfId="0" fontId="49" numFmtId="166" fillId="32" borderId="15" applyFont="1" applyNumberFormat="1" applyFill="1" applyBorder="1" applyAlignment="1">
      <alignment horizontal="center" vertical="bottom" textRotation="0" wrapText="false" shrinkToFit="false"/>
    </xf>
    <xf xfId="0" fontId="16" numFmtId="2" fillId="32" borderId="3" applyFont="1" applyNumberFormat="1" applyFill="1" applyBorder="1" applyAlignment="1">
      <alignment horizontal="center" vertical="bottom" textRotation="0" wrapText="false" shrinkToFit="false"/>
    </xf>
    <xf xfId="0" fontId="16" numFmtId="2" fillId="0" borderId="15" applyFont="1" applyNumberFormat="1" applyFill="0" applyBorder="1" applyAlignment="1">
      <alignment horizontal="center" vertical="bottom" textRotation="0" wrapText="false" shrinkToFit="false"/>
    </xf>
    <xf xfId="0" fontId="49" numFmtId="2" fillId="0" borderId="0" applyFont="1" applyNumberFormat="1" applyFill="0" applyBorder="0" applyAlignment="0"/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center" textRotation="0" wrapText="false" shrinkToFit="false"/>
    </xf>
    <xf xfId="0" fontId="0" numFmtId="10" fillId="0" borderId="63" applyFont="0" applyNumberFormat="1" applyFill="0" applyBorder="1" applyAlignment="1">
      <alignment horizontal="center" vertical="bottom" textRotation="0" wrapText="false" shrinkToFit="false"/>
    </xf>
    <xf xfId="0" fontId="11" numFmtId="49" fillId="10" borderId="1" applyFont="1" applyNumberFormat="1" applyFill="1" applyBorder="1" applyAlignment="0"/>
    <xf xfId="0" fontId="11" numFmtId="10" fillId="10" borderId="1" applyFont="1" applyNumberFormat="1" applyFill="1" applyBorder="1" applyAlignment="1">
      <alignment horizontal="center" vertical="bottom" textRotation="0" wrapText="false" shrinkToFit="false"/>
    </xf>
    <xf xfId="0" fontId="13" numFmtId="0" fillId="22" borderId="67" applyFont="1" applyNumberFormat="0" applyFill="1" applyBorder="1" applyAlignment="0"/>
    <xf xfId="0" fontId="13" numFmtId="169" fillId="10" borderId="68" applyFont="1" applyNumberFormat="1" applyFill="1" applyBorder="1" applyAlignment="1">
      <alignment horizontal="center" vertical="bottom" textRotation="0" wrapText="false" shrinkToFit="false"/>
    </xf>
    <xf xfId="0" fontId="13" numFmtId="0" fillId="22" borderId="65" applyFont="1" applyNumberFormat="0" applyFill="1" applyBorder="1" applyAlignment="0"/>
    <xf xfId="0" fontId="13" numFmtId="169" fillId="10" borderId="66" applyFont="1" applyNumberFormat="1" applyFill="1" applyBorder="1" applyAlignment="1">
      <alignment horizontal="center" vertical="bottom" textRotation="0" wrapText="false" shrinkToFit="false"/>
    </xf>
    <xf xfId="0" fontId="13" numFmtId="0" fillId="22" borderId="69" applyFont="1" applyNumberFormat="0" applyFill="1" applyBorder="1" applyAlignment="0"/>
    <xf xfId="0" fontId="13" numFmtId="169" fillId="10" borderId="70" applyFont="1" applyNumberFormat="1" applyFill="1" applyBorder="1" applyAlignment="1">
      <alignment horizontal="center" vertical="bottom" textRotation="0" wrapText="false" shrinkToFit="false"/>
    </xf>
    <xf xfId="0" fontId="13" numFmtId="0" fillId="33" borderId="64" applyFont="1" applyNumberFormat="0" applyFill="1" applyBorder="1" applyAlignment="0"/>
    <xf xfId="0" fontId="21" numFmtId="178" fillId="0" borderId="0" applyFont="1" applyNumberFormat="1" applyFill="0" applyBorder="0" applyAlignment="0"/>
    <xf xfId="0" fontId="21" numFmtId="0" fillId="10" borderId="0" applyFont="1" applyNumberFormat="0" applyFill="1" applyBorder="0" applyAlignment="0"/>
    <xf xfId="0" fontId="21" numFmtId="169" fillId="10" borderId="22" applyFont="1" applyNumberFormat="1" applyFill="1" applyBorder="1" applyAlignment="0"/>
    <xf xfId="0" fontId="21" numFmtId="2" fillId="10" borderId="21" applyFont="1" applyNumberFormat="1" applyFill="1" applyBorder="1" applyAlignment="0"/>
    <xf xfId="0" fontId="21" numFmtId="169" fillId="0" borderId="0" applyFont="1" applyNumberFormat="1" applyFill="0" applyBorder="0" applyAlignment="0"/>
    <xf xfId="0" fontId="0" numFmtId="169" fillId="10" borderId="0" applyFont="0" applyNumberFormat="1" applyFill="1" applyBorder="0" applyAlignment="1">
      <alignment horizontal="right" vertical="bottom" textRotation="0" wrapText="false" shrinkToFit="false"/>
    </xf>
    <xf xfId="0" fontId="0" numFmtId="169" fillId="10" borderId="0" applyFont="0" applyNumberFormat="1" applyFill="1" applyBorder="0" applyAlignment="0"/>
    <xf xfId="0" fontId="21" numFmtId="169" fillId="10" borderId="0" applyFont="1" applyNumberFormat="1" applyFill="1" applyBorder="0" applyAlignment="0"/>
    <xf xfId="0" fontId="21" numFmtId="169" fillId="10" borderId="0" applyFont="1" applyNumberFormat="1" applyFill="1" applyBorder="0" applyAlignment="0"/>
    <xf xfId="0" fontId="21" numFmtId="169" fillId="22" borderId="0" applyFont="1" applyNumberFormat="1" applyFill="1" applyBorder="0" applyAlignment="0"/>
    <xf xfId="0" fontId="23" numFmtId="0" fillId="34" borderId="0" applyFont="1" applyNumberFormat="0" applyFill="1" applyBorder="0" applyAlignment="1">
      <alignment horizontal="center" vertical="bottom" textRotation="0" wrapText="false" shrinkToFit="false"/>
    </xf>
    <xf xfId="0" fontId="21" numFmtId="0" fillId="34" borderId="0" applyFont="1" applyNumberFormat="0" applyFill="1" applyBorder="0" applyAlignment="0"/>
    <xf xfId="0" fontId="20" numFmtId="0" fillId="34" borderId="0" applyFont="1" applyNumberFormat="0" applyFill="1" applyBorder="0" applyAlignment="0"/>
    <xf xfId="0" fontId="44" numFmtId="0" fillId="27" borderId="64" applyFont="1" applyNumberFormat="0" applyFill="1" applyBorder="1" applyAlignment="1">
      <alignment vertical="center" textRotation="0" wrapText="false" shrinkToFit="false"/>
    </xf>
    <xf xfId="0" fontId="16" numFmtId="0" fillId="17" borderId="1" applyFont="1" applyNumberFormat="0" applyFill="1" applyBorder="1" applyAlignment="0"/>
    <xf xfId="0" fontId="45" numFmtId="0" fillId="27" borderId="64" applyFont="1" applyNumberFormat="0" applyFill="1" applyBorder="1" applyAlignment="1">
      <alignment vertical="center" textRotation="0" wrapText="false" shrinkToFit="false"/>
    </xf>
    <xf xfId="0" fontId="0" numFmtId="10" fillId="0" borderId="1" applyFont="0" applyNumberFormat="1" applyFill="0" applyBorder="1" applyAlignment="0"/>
    <xf xfId="0" fontId="0" numFmtId="10" fillId="0" borderId="0" applyFont="0" applyNumberFormat="1" applyFill="0" applyBorder="0" applyAlignment="0"/>
    <xf xfId="0" fontId="0" numFmtId="10" fillId="10" borderId="1" applyFont="0" applyNumberFormat="1" applyFill="1" applyBorder="1" applyAlignment="1">
      <alignment horizontal="center" vertical="center" textRotation="0" wrapText="false" shrinkToFit="false"/>
    </xf>
    <xf xfId="0" fontId="0" numFmtId="179" fillId="0" borderId="0" applyFont="0" applyNumberFormat="1" applyFill="0" applyBorder="0" applyAlignment="1">
      <alignment horizontal="right" vertical="bottom" textRotation="0" wrapText="false" shrinkToFit="false"/>
    </xf>
    <xf xfId="0" fontId="0" numFmtId="14" fillId="9" borderId="0" applyFont="0" applyNumberFormat="1" applyFill="1" applyBorder="0" applyAlignment="0"/>
    <xf xfId="0" fontId="16" numFmtId="0" fillId="0" borderId="1" applyFont="1" applyNumberFormat="0" applyFill="0" applyBorder="1" applyAlignment="1">
      <alignment horizontal="center" vertical="bottom" textRotation="0" wrapText="false" shrinkToFit="false"/>
    </xf>
    <xf xfId="0" fontId="49" numFmtId="0" fillId="35" borderId="1" applyFont="1" applyNumberFormat="0" applyFill="1" applyBorder="1" applyAlignment="1">
      <alignment horizontal="center" vertical="bottom" textRotation="0" wrapText="false" shrinkToFit="false"/>
    </xf>
    <xf xfId="0" fontId="49" numFmtId="0" fillId="35" borderId="1" applyFont="1" applyNumberFormat="0" applyFill="1" applyBorder="1" applyAlignment="0"/>
    <xf xfId="0" fontId="49" numFmtId="10" fillId="35" borderId="1" applyFont="1" applyNumberFormat="1" applyFill="1" applyBorder="1" applyAlignment="0"/>
    <xf xfId="0" fontId="49" numFmtId="0" fillId="5" borderId="1" applyFont="1" applyNumberFormat="0" applyFill="1" applyBorder="1" applyAlignment="1">
      <alignment horizontal="center" vertical="bottom" textRotation="0" wrapText="false" shrinkToFit="false"/>
    </xf>
    <xf xfId="0" fontId="49" numFmtId="0" fillId="5" borderId="1" applyFont="1" applyNumberFormat="0" applyFill="1" applyBorder="1" applyAlignment="0"/>
    <xf xfId="0" fontId="49" numFmtId="10" fillId="5" borderId="1" applyFont="1" applyNumberFormat="1" applyFill="1" applyBorder="1" applyAlignment="1">
      <alignment horizontal="center" vertical="bottom" textRotation="0" wrapText="false" shrinkToFit="false"/>
    </xf>
    <xf xfId="0" fontId="13" numFmtId="166" fillId="0" borderId="1" applyFont="1" applyNumberFormat="1" applyFill="0" applyBorder="1" applyAlignment="0"/>
    <xf xfId="0" fontId="0" numFmtId="10" fillId="17" borderId="1" applyFont="0" applyNumberFormat="1" applyFill="1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10" fillId="17" borderId="20" applyFont="0" applyNumberFormat="1" applyFill="1" applyBorder="1" applyAlignment="1">
      <alignment horizontal="center" vertical="bottom" textRotation="0" wrapText="false" shrinkToFit="false"/>
    </xf>
    <xf xfId="0" fontId="0" numFmtId="10" fillId="0" borderId="20" applyFont="0" applyNumberFormat="1" applyFill="0" applyBorder="1" applyAlignment="1">
      <alignment horizontal="center" vertical="bottom" textRotation="0" wrapText="false" shrinkToFit="false"/>
    </xf>
    <xf xfId="0" fontId="22" numFmtId="10" fillId="0" borderId="20" applyFont="1" applyNumberFormat="1" applyFill="0" applyBorder="1" applyAlignment="1">
      <alignment horizontal="center" vertical="bottom" textRotation="0" wrapText="false" shrinkToFit="false"/>
    </xf>
    <xf xfId="0" fontId="22" numFmtId="10" fillId="17" borderId="63" applyFont="1" applyNumberFormat="1" applyFill="1" applyBorder="1" applyAlignment="1">
      <alignment horizontal="center" vertical="bottom" textRotation="0" wrapText="false" shrinkToFit="false"/>
    </xf>
    <xf xfId="0" fontId="22" numFmtId="10" fillId="17" borderId="20" applyFont="1" applyNumberFormat="1" applyFill="1" applyBorder="1" applyAlignment="1">
      <alignment horizontal="center" vertical="bottom" textRotation="0" wrapText="false" shrinkToFit="false"/>
    </xf>
    <xf xfId="0" fontId="0" numFmtId="10" fillId="17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50" numFmtId="10" fillId="0" borderId="1" applyFont="1" applyNumberFormat="1" applyFill="0" applyBorder="1" applyAlignment="1">
      <alignment horizontal="center" vertical="bottom" textRotation="0" wrapText="false" shrinkToFit="false"/>
    </xf>
    <xf xfId="0" fontId="50" numFmtId="10" fillId="17" borderId="1" applyFont="1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22" numFmtId="10" fillId="0" borderId="1" applyFont="1" applyNumberFormat="1" applyFill="0" applyBorder="1" applyAlignment="1">
      <alignment horizontal="center" vertical="bottom" textRotation="0" wrapText="false" shrinkToFit="false"/>
    </xf>
    <xf xfId="0" fontId="22" numFmtId="10" fillId="17" borderId="1" applyFont="1" applyNumberFormat="1" applyFill="1" applyBorder="1" applyAlignment="1">
      <alignment horizontal="center" vertical="bottom" textRotation="0" wrapText="false" shrinkToFit="false"/>
    </xf>
    <xf xfId="0" fontId="16" numFmtId="2" fillId="17" borderId="1" applyFont="1" applyNumberFormat="1" applyFill="1" applyBorder="1" applyAlignment="0"/>
    <xf xfId="0" fontId="16" numFmtId="2" fillId="0" borderId="1" applyFont="1" applyNumberFormat="1" applyFill="0" applyBorder="1" applyAlignment="0"/>
    <xf xfId="0" fontId="17" numFmtId="2" fillId="0" borderId="1" applyFont="1" applyNumberFormat="1" applyFill="0" applyBorder="1" applyAlignment="0"/>
    <xf xfId="0" fontId="17" numFmtId="2" fillId="17" borderId="1" applyFont="1" applyNumberFormat="1" applyFill="1" applyBorder="1" applyAlignment="0"/>
    <xf xfId="0" fontId="0" numFmtId="180" fillId="17" borderId="20" applyFont="0" applyNumberFormat="1" applyFill="1" applyBorder="1" applyAlignment="1">
      <alignment horizontal="center" vertical="bottom" textRotation="0" wrapText="false" shrinkToFit="false"/>
    </xf>
    <xf xfId="0" fontId="0" numFmtId="169" fillId="0" borderId="0" applyFont="0" applyNumberFormat="1" applyFill="0" applyBorder="0" applyAlignment="0"/>
    <xf xfId="0" fontId="3" numFmtId="49" fillId="11" borderId="0" applyFont="1" applyNumberFormat="1" applyFill="1" applyBorder="0" applyAlignment="1">
      <alignment horizontal="center" vertical="bottom" textRotation="0" wrapText="false" shrinkToFit="false"/>
    </xf>
    <xf xfId="0" fontId="21" numFmtId="0" fillId="22" borderId="0" applyFont="1" applyNumberFormat="0" applyFill="1" applyBorder="0" applyAlignment="0"/>
    <xf xfId="0" fontId="21" numFmtId="0" fillId="10" borderId="0" applyFont="1" applyNumberFormat="0" applyFill="1" applyBorder="0" applyAlignment="0"/>
    <xf xfId="0" fontId="21" numFmtId="0" fillId="0" borderId="0" applyFont="1" applyNumberFormat="0" applyFill="0" applyBorder="0" applyAlignment="0"/>
    <xf xfId="0" fontId="44" numFmtId="0" fillId="24" borderId="73" applyFont="1" applyNumberFormat="0" applyFill="1" applyBorder="1" applyAlignment="1">
      <alignment vertical="center" textRotation="0" wrapText="false" shrinkToFit="false"/>
    </xf>
    <xf xfId="0" fontId="44" numFmtId="10" fillId="10" borderId="73" applyFont="1" applyNumberFormat="1" applyFill="1" applyBorder="1" applyAlignment="1">
      <alignment horizontal="center" vertical="center" textRotation="0" wrapText="false" shrinkToFit="false"/>
    </xf>
    <xf xfId="0" fontId="44" numFmtId="0" fillId="10" borderId="74" applyFont="1" applyNumberFormat="0" applyFill="1" applyBorder="1" applyAlignment="1">
      <alignment horizontal="center" vertical="center" textRotation="0" wrapText="false" shrinkToFit="false"/>
    </xf>
    <xf xfId="0" fontId="51" numFmtId="0" fillId="36" borderId="73" applyFont="1" applyNumberFormat="0" applyFill="1" applyBorder="1" applyAlignment="1">
      <alignment vertical="center" textRotation="0" wrapText="false" shrinkToFit="false"/>
    </xf>
    <xf xfId="0" fontId="44" numFmtId="10" fillId="10" borderId="75" applyFont="1" applyNumberFormat="1" applyFill="1" applyBorder="1" applyAlignment="1">
      <alignment horizontal="center" vertical="center" textRotation="0" wrapText="false" shrinkToFit="false"/>
    </xf>
    <xf xfId="0" fontId="44" numFmtId="10" fillId="10" borderId="62" applyFont="1" applyNumberFormat="1" applyFill="1" applyBorder="1" applyAlignment="1">
      <alignment horizontal="center" vertical="center" textRotation="0" wrapText="false" shrinkToFit="false"/>
    </xf>
    <xf xfId="0" fontId="44" numFmtId="10" fillId="10" borderId="76" applyFont="1" applyNumberFormat="1" applyFill="1" applyBorder="1" applyAlignment="1">
      <alignment horizontal="center" vertical="center" textRotation="0" wrapText="false" shrinkToFit="false"/>
    </xf>
    <xf xfId="0" fontId="21" numFmtId="0" fillId="21" borderId="6" applyFont="1" applyNumberFormat="0" applyFill="1" applyBorder="1" applyAlignment="1">
      <alignment vertical="bottom" textRotation="0" wrapText="true" shrinkToFit="false"/>
    </xf>
    <xf xfId="0" fontId="21" numFmtId="10" fillId="0" borderId="6" applyFont="1" applyNumberFormat="1" applyFill="0" applyBorder="1" applyAlignment="1">
      <alignment horizontal="center" vertical="bottom" textRotation="0" wrapText="false" shrinkToFit="false"/>
    </xf>
    <xf xfId="0" fontId="44" numFmtId="0" fillId="24" borderId="77" applyFont="1" applyNumberFormat="0" applyFill="1" applyBorder="1" applyAlignment="1">
      <alignment vertical="center" textRotation="0" wrapText="false" shrinkToFit="false"/>
    </xf>
    <xf xfId="0" fontId="44" numFmtId="10" fillId="10" borderId="77" applyFont="1" applyNumberFormat="1" applyFill="1" applyBorder="1" applyAlignment="1">
      <alignment horizontal="center" vertical="center" textRotation="0" wrapText="false" shrinkToFit="false"/>
    </xf>
    <xf xfId="0" fontId="45" numFmtId="10" fillId="10" borderId="78" applyFont="1" applyNumberFormat="1" applyFill="1" applyBorder="1" applyAlignment="1">
      <alignment horizontal="center" vertical="center" textRotation="0" wrapText="false" shrinkToFit="false"/>
    </xf>
    <xf xfId="0" fontId="45" numFmtId="10" fillId="10" borderId="79" applyFont="1" applyNumberFormat="1" applyFill="1" applyBorder="1" applyAlignment="1">
      <alignment horizontal="center" vertical="center" textRotation="0" wrapText="false" shrinkToFit="false"/>
    </xf>
    <xf xfId="0" fontId="45" numFmtId="0" fillId="10" borderId="80" applyFont="1" applyNumberFormat="0" applyFill="1" applyBorder="1" applyAlignment="1">
      <alignment vertical="center" textRotation="0" wrapText="false" shrinkToFit="false"/>
    </xf>
    <xf xfId="0" fontId="45" numFmtId="0" fillId="10" borderId="76" applyFont="1" applyNumberFormat="0" applyFill="1" applyBorder="1" applyAlignment="1">
      <alignment vertical="center" textRotation="0" wrapText="false" shrinkToFit="false"/>
    </xf>
    <xf xfId="0" fontId="44" numFmtId="0" fillId="10" borderId="76" applyFont="1" applyNumberFormat="0" applyFill="1" applyBorder="1" applyAlignment="1">
      <alignment horizontal="center" vertical="center" textRotation="0" wrapText="false" shrinkToFit="false"/>
    </xf>
    <xf xfId="0" fontId="44" numFmtId="0" fillId="10" borderId="62" applyFont="1" applyNumberFormat="0" applyFill="1" applyBorder="1" applyAlignment="1">
      <alignment horizontal="center" vertical="center" textRotation="0" wrapText="false" shrinkToFit="false"/>
    </xf>
    <xf xfId="0" fontId="45" numFmtId="0" fillId="10" borderId="81" applyFont="1" applyNumberFormat="0" applyFill="1" applyBorder="1" applyAlignment="1">
      <alignment vertical="center" textRotation="0" wrapText="false" shrinkToFit="false"/>
    </xf>
    <xf xfId="0" fontId="45" numFmtId="0" fillId="10" borderId="76" applyFont="1" applyNumberFormat="0" applyFill="1" applyBorder="1" applyAlignment="1">
      <alignment horizontal="center" vertical="center" textRotation="0" wrapText="false" shrinkToFit="false"/>
    </xf>
    <xf xfId="0" fontId="45" numFmtId="0" fillId="10" borderId="62" applyFont="1" applyNumberFormat="0" applyFill="1" applyBorder="1" applyAlignment="1">
      <alignment horizontal="center" vertical="center" textRotation="0" wrapText="false" shrinkToFit="false"/>
    </xf>
    <xf xfId="0" fontId="44" numFmtId="0" fillId="26" borderId="76" applyFont="1" applyNumberFormat="0" applyFill="1" applyBorder="1" applyAlignment="1">
      <alignment vertical="center" textRotation="0" wrapText="false" shrinkToFit="false"/>
    </xf>
    <xf xfId="0" fontId="44" numFmtId="0" fillId="26" borderId="81" applyFont="1" applyNumberFormat="0" applyFill="1" applyBorder="1" applyAlignment="1">
      <alignment vertical="center" textRotation="0" wrapText="false" shrinkToFit="false"/>
    </xf>
    <xf xfId="0" fontId="44" numFmtId="0" fillId="26" borderId="82" applyFont="1" applyNumberFormat="0" applyFill="1" applyBorder="1" applyAlignment="1">
      <alignment vertical="center" textRotation="0" wrapText="false" shrinkToFit="false"/>
    </xf>
    <xf xfId="0" fontId="44" numFmtId="2" fillId="10" borderId="76" applyFont="1" applyNumberFormat="1" applyFill="1" applyBorder="1" applyAlignment="1">
      <alignment horizontal="center" vertical="center" textRotation="0" wrapText="false" shrinkToFit="false"/>
    </xf>
    <xf xfId="0" fontId="44" numFmtId="2" fillId="10" borderId="62" applyFont="1" applyNumberFormat="1" applyFill="1" applyBorder="1" applyAlignment="1">
      <alignment horizontal="center" vertical="center" textRotation="0" wrapText="false" shrinkToFit="false"/>
    </xf>
    <xf xfId="0" fontId="44" numFmtId="0" fillId="26" borderId="83" applyFont="1" applyNumberFormat="0" applyFill="1" applyBorder="1" applyAlignment="1">
      <alignment vertical="center" textRotation="0" wrapText="false" shrinkToFit="false"/>
    </xf>
    <xf xfId="0" fontId="45" numFmtId="0" fillId="26" borderId="78" applyFont="1" applyNumberFormat="0" applyFill="1" applyBorder="1" applyAlignment="1">
      <alignment vertical="center" textRotation="0" wrapText="false" shrinkToFit="false"/>
    </xf>
    <xf xfId="0" fontId="45" numFmtId="10" fillId="10" borderId="62" applyFont="1" applyNumberFormat="1" applyFill="1" applyBorder="1" applyAlignment="1">
      <alignment horizontal="center" vertical="center" textRotation="0" wrapText="false" shrinkToFit="false"/>
    </xf>
    <xf xfId="0" fontId="45" numFmtId="0" fillId="10" borderId="84" applyFont="1" applyNumberFormat="0" applyFill="1" applyBorder="1" applyAlignment="1">
      <alignment vertical="center" textRotation="0" wrapText="false" shrinkToFit="false"/>
    </xf>
    <xf xfId="0" fontId="44" numFmtId="0" fillId="26" borderId="84" applyFont="1" applyNumberFormat="0" applyFill="1" applyBorder="1" applyAlignment="1">
      <alignment vertical="center" textRotation="0" wrapText="false" shrinkToFit="false"/>
    </xf>
    <xf xfId="0" fontId="44" numFmtId="0" fillId="26" borderId="85" applyFont="1" applyNumberFormat="0" applyFill="1" applyBorder="1" applyAlignment="1">
      <alignment vertical="center" textRotation="0" wrapText="false" shrinkToFit="false"/>
    </xf>
    <xf xfId="0" fontId="45" numFmtId="0" fillId="21" borderId="0" applyFont="1" applyNumberFormat="0" applyFill="1" applyBorder="0" applyAlignment="1">
      <alignment vertical="center" textRotation="0" wrapText="false" shrinkToFit="false"/>
    </xf>
    <xf xfId="0" fontId="45" numFmtId="0" fillId="21" borderId="86" applyFont="1" applyNumberFormat="0" applyFill="1" applyBorder="1" applyAlignment="1">
      <alignment horizontal="center" vertical="center" textRotation="0" wrapText="false" shrinkToFit="false"/>
    </xf>
    <xf xfId="0" fontId="44" numFmtId="0" fillId="10" borderId="87" applyFont="1" applyNumberFormat="0" applyFill="1" applyBorder="1" applyAlignment="1">
      <alignment vertical="center" textRotation="0" wrapText="false" shrinkToFit="false"/>
    </xf>
    <xf xfId="0" fontId="44" numFmtId="0" fillId="10" borderId="81" applyFont="1" applyNumberFormat="0" applyFill="1" applyBorder="1" applyAlignment="1">
      <alignment vertical="center" textRotation="0" wrapText="false" shrinkToFit="false"/>
    </xf>
    <xf xfId="0" fontId="44" numFmtId="0" fillId="26" borderId="75" applyFont="1" applyNumberFormat="0" applyFill="1" applyBorder="1" applyAlignment="1">
      <alignment vertical="center" textRotation="0" wrapText="false" shrinkToFit="false"/>
    </xf>
    <xf xfId="0" fontId="45" numFmtId="0" fillId="10" borderId="0" applyFont="1" applyNumberFormat="0" applyFill="1" applyBorder="0" applyAlignment="1">
      <alignment horizontal="center" vertical="center" textRotation="0" wrapText="false" shrinkToFit="false"/>
    </xf>
    <xf xfId="0" fontId="45" numFmtId="0" fillId="10" borderId="86" applyFont="1" applyNumberFormat="0" applyFill="1" applyBorder="1" applyAlignment="1">
      <alignment horizontal="center" vertical="center" textRotation="0" wrapText="false" shrinkToFit="false"/>
    </xf>
    <xf xfId="0" fontId="45" numFmtId="0" fillId="10" borderId="88" applyFont="1" applyNumberFormat="0" applyFill="1" applyBorder="1" applyAlignment="1">
      <alignment horizontal="center" vertical="center" textRotation="0" wrapText="false" shrinkToFit="false"/>
    </xf>
    <xf xfId="0" fontId="45" numFmtId="0" fillId="10" borderId="87" applyFont="1" applyNumberFormat="0" applyFill="1" applyBorder="1" applyAlignment="1">
      <alignment vertical="center" textRotation="0" wrapText="false" shrinkToFit="false"/>
    </xf>
    <xf xfId="0" fontId="44" numFmtId="0" fillId="10" borderId="73" applyFont="1" applyNumberFormat="0" applyFill="1" applyBorder="1" applyAlignment="1">
      <alignment horizontal="center" vertical="center" textRotation="0" wrapText="false" shrinkToFit="false"/>
    </xf>
    <xf xfId="0" fontId="44" numFmtId="0" fillId="24" borderId="81" applyFont="1" applyNumberFormat="0" applyFill="1" applyBorder="1" applyAlignment="1">
      <alignment vertical="center" textRotation="0" wrapText="false" shrinkToFit="false"/>
    </xf>
    <xf xfId="0" fontId="44" numFmtId="0" fillId="24" borderId="89" applyFont="1" applyNumberFormat="0" applyFill="1" applyBorder="1" applyAlignment="1">
      <alignment vertical="center" textRotation="0" wrapText="false" shrinkToFit="false"/>
    </xf>
    <xf xfId="0" fontId="44" numFmtId="0" fillId="24" borderId="90" applyFont="1" applyNumberFormat="0" applyFill="1" applyBorder="1" applyAlignment="1">
      <alignment vertical="center" textRotation="0" wrapText="false" shrinkToFit="false"/>
    </xf>
    <xf xfId="0" fontId="45" numFmtId="0" fillId="37" borderId="87" applyFont="1" applyNumberFormat="0" applyFill="1" applyBorder="1" applyAlignment="1">
      <alignment vertical="center" textRotation="0" wrapText="false" shrinkToFit="false"/>
    </xf>
    <xf xfId="0" fontId="44" numFmtId="0" fillId="38" borderId="81" applyFont="1" applyNumberFormat="0" applyFill="1" applyBorder="1" applyAlignment="1">
      <alignment vertical="center" textRotation="0" wrapText="false" shrinkToFit="false"/>
    </xf>
    <xf xfId="0" fontId="44" numFmtId="0" fillId="22" borderId="81" applyFont="1" applyNumberFormat="0" applyFill="1" applyBorder="1" applyAlignment="1">
      <alignment vertical="center" textRotation="0" wrapText="false" shrinkToFit="false"/>
    </xf>
    <xf xfId="0" fontId="44" numFmtId="0" fillId="22" borderId="90" applyFont="1" applyNumberFormat="0" applyFill="1" applyBorder="1" applyAlignment="1">
      <alignment vertical="center" textRotation="0" wrapText="false" shrinkToFit="false"/>
    </xf>
    <xf xfId="0" fontId="45" numFmtId="0" fillId="10" borderId="91" applyFont="1" applyNumberFormat="0" applyFill="1" applyBorder="1" applyAlignment="1">
      <alignment horizontal="center" vertical="center" textRotation="0" wrapText="false" shrinkToFit="false"/>
    </xf>
    <xf xfId="0" fontId="45" numFmtId="0" fillId="10" borderId="92" applyFont="1" applyNumberFormat="0" applyFill="1" applyBorder="1" applyAlignment="1">
      <alignment horizontal="center" vertical="center" textRotation="0" wrapText="false" shrinkToFit="false"/>
    </xf>
    <xf xfId="0" fontId="45" numFmtId="0" fillId="10" borderId="93" applyFont="1" applyNumberFormat="0" applyFill="1" applyBorder="1" applyAlignment="1">
      <alignment horizontal="center" vertical="center" textRotation="0" wrapText="false" shrinkToFit="false"/>
    </xf>
    <xf xfId="0" fontId="44" numFmtId="2" fillId="10" borderId="73" applyFont="1" applyNumberFormat="1" applyFill="1" applyBorder="1" applyAlignment="1">
      <alignment horizontal="center" vertical="center" textRotation="0" wrapText="false" shrinkToFit="false"/>
    </xf>
    <xf xfId="0" fontId="45" numFmtId="10" fillId="10" borderId="94" applyFont="1" applyNumberFormat="1" applyFill="1" applyBorder="1" applyAlignment="1">
      <alignment horizontal="center" vertical="center" textRotation="0" wrapText="false" shrinkToFit="false"/>
    </xf>
    <xf xfId="0" fontId="44" numFmtId="14" fillId="10" borderId="73" applyFont="1" applyNumberFormat="1" applyFill="1" applyBorder="1" applyAlignment="1">
      <alignment horizontal="center" vertical="center" textRotation="0" wrapText="false" shrinkToFit="false"/>
    </xf>
    <xf xfId="0" fontId="44" numFmtId="0" fillId="24" borderId="95" applyFont="1" applyNumberFormat="0" applyFill="1" applyBorder="1" applyAlignment="1">
      <alignment vertical="center" textRotation="0" wrapText="false" shrinkToFit="false"/>
    </xf>
    <xf xfId="0" fontId="44" numFmtId="0" fillId="10" borderId="96" applyFont="1" applyNumberFormat="0" applyFill="1" applyBorder="1" applyAlignment="1">
      <alignment horizontal="center" vertical="center" textRotation="0" wrapText="false" shrinkToFit="false"/>
    </xf>
    <xf xfId="0" fontId="44" numFmtId="0" fillId="22" borderId="97" applyFont="1" applyNumberFormat="0" applyFill="1" applyBorder="1" applyAlignment="1">
      <alignment vertical="center" textRotation="0" wrapText="false" shrinkToFit="false"/>
    </xf>
    <xf xfId="0" fontId="44" numFmtId="10" fillId="10" borderId="97" applyFont="1" applyNumberFormat="1" applyFill="1" applyBorder="1" applyAlignment="1">
      <alignment horizontal="center" vertical="center" textRotation="0" wrapText="false" shrinkToFit="false"/>
    </xf>
    <xf xfId="0" fontId="44" numFmtId="0" fillId="38" borderId="97" applyFont="1" applyNumberFormat="0" applyFill="1" applyBorder="1" applyAlignment="1">
      <alignment vertical="center" textRotation="0" wrapText="false" shrinkToFit="false"/>
    </xf>
    <xf xfId="0" fontId="44" numFmtId="2" fillId="10" borderId="97" applyFont="1" applyNumberFormat="1" applyFill="1" applyBorder="1" applyAlignment="1">
      <alignment horizontal="center" vertical="center" textRotation="0" wrapText="false" shrinkToFit="false"/>
    </xf>
    <xf xfId="0" fontId="45" numFmtId="0" fillId="10" borderId="0" applyFont="1" applyNumberFormat="0" applyFill="1" applyBorder="0" applyAlignment="1">
      <alignment horizontal="left" vertical="center" textRotation="0" wrapText="false" shrinkToFit="false"/>
    </xf>
    <xf xfId="0" fontId="44" numFmtId="0" fillId="10" borderId="86" applyFont="1" applyNumberFormat="0" applyFill="1" applyBorder="1" applyAlignment="1">
      <alignment horizontal="left" vertical="center" textRotation="0" wrapText="false" shrinkToFit="false"/>
    </xf>
    <xf xfId="0" fontId="44" numFmtId="0" fillId="37" borderId="96" applyFont="1" applyNumberFormat="0" applyFill="1" applyBorder="1" applyAlignment="1">
      <alignment vertical="center" textRotation="0" wrapText="false" shrinkToFit="false"/>
    </xf>
    <xf xfId="0" fontId="44" numFmtId="0" fillId="39" borderId="97" applyFont="1" applyNumberFormat="0" applyFill="1" applyBorder="1" applyAlignment="1">
      <alignment vertical="center" textRotation="0" wrapText="false" shrinkToFit="false"/>
    </xf>
    <xf xfId="0" fontId="44" numFmtId="0" fillId="10" borderId="86" applyFont="1" applyNumberFormat="0" applyFill="1" applyBorder="1" applyAlignment="1">
      <alignment horizontal="center" vertical="center" textRotation="0" wrapText="false" shrinkToFit="false"/>
    </xf>
    <xf xfId="0" fontId="44" numFmtId="0" fillId="10" borderId="96" applyFont="1" applyNumberFormat="0" applyFill="1" applyBorder="1" applyAlignment="1">
      <alignment vertical="center" textRotation="0" wrapText="false" shrinkToFit="false"/>
    </xf>
    <xf xfId="0" fontId="44" numFmtId="0" fillId="21" borderId="86" applyFont="1" applyNumberFormat="0" applyFill="1" applyBorder="1" applyAlignment="1">
      <alignment vertical="center" textRotation="0" wrapText="false" shrinkToFit="false"/>
    </xf>
    <xf xfId="0" fontId="44" numFmtId="0" fillId="37" borderId="89" applyFont="1" applyNumberFormat="0" applyFill="1" applyBorder="1" applyAlignment="1">
      <alignment vertical="center" textRotation="0" wrapText="false" shrinkToFit="false"/>
    </xf>
    <xf xfId="0" fontId="44" numFmtId="0" fillId="10" borderId="89" applyFont="1" applyNumberFormat="0" applyFill="1" applyBorder="1" applyAlignment="1">
      <alignment horizontal="center" vertical="center" textRotation="0" wrapText="false" shrinkToFit="false"/>
    </xf>
    <xf xfId="0" fontId="44" numFmtId="0" fillId="10" borderId="89" applyFont="1" applyNumberFormat="0" applyFill="1" applyBorder="1" applyAlignment="1">
      <alignment vertical="center" textRotation="0" wrapText="false" shrinkToFit="false"/>
    </xf>
    <xf xfId="0" fontId="44" numFmtId="0" fillId="10" borderId="92" applyFont="1" applyNumberFormat="0" applyFill="1" applyBorder="1" applyAlignment="1">
      <alignment horizontal="center" vertical="center" textRotation="0" wrapText="false" shrinkToFit="false"/>
    </xf>
    <xf xfId="0" fontId="44" numFmtId="0" fillId="36" borderId="95" applyFont="1" applyNumberFormat="0" applyFill="1" applyBorder="1" applyAlignment="1">
      <alignment vertical="center" textRotation="0" wrapText="false" shrinkToFit="false"/>
    </xf>
    <xf xfId="0" fontId="44" numFmtId="0" fillId="24" borderId="98" applyFont="1" applyNumberFormat="0" applyFill="1" applyBorder="1" applyAlignment="1">
      <alignment vertical="center" textRotation="0" wrapText="false" shrinkToFit="false"/>
    </xf>
    <xf xfId="0" fontId="44" numFmtId="0" fillId="10" borderId="92" applyFont="1" applyNumberFormat="0" applyFill="1" applyBorder="1" applyAlignment="1">
      <alignment vertical="center" textRotation="0" wrapText="false" shrinkToFit="false"/>
    </xf>
    <xf xfId="0" fontId="44" numFmtId="0" fillId="10" borderId="76" applyFont="1" applyNumberFormat="0" applyFill="1" applyBorder="1" applyAlignment="1">
      <alignment vertical="center" textRotation="0" wrapText="false" shrinkToFit="false"/>
    </xf>
    <xf xfId="0" fontId="44" numFmtId="10" fillId="10" borderId="78" applyFont="1" applyNumberFormat="1" applyFill="1" applyBorder="1" applyAlignment="1">
      <alignment horizontal="center" vertical="center" textRotation="0" wrapText="false" shrinkToFit="false"/>
    </xf>
    <xf xfId="0" fontId="44" numFmtId="0" fillId="40" borderId="75" applyFont="1" applyNumberFormat="0" applyFill="1" applyBorder="1" applyAlignment="1">
      <alignment vertical="center" textRotation="0" wrapText="false" shrinkToFit="false"/>
    </xf>
    <xf xfId="0" fontId="44" numFmtId="0" fillId="10" borderId="82" applyFont="1" applyNumberFormat="0" applyFill="1" applyBorder="1" applyAlignment="1">
      <alignment vertical="center" textRotation="0" wrapText="false" shrinkToFit="false"/>
    </xf>
    <xf xfId="0" fontId="44" numFmtId="0" fillId="40" borderId="99" applyFont="1" applyNumberFormat="0" applyFill="1" applyBorder="1" applyAlignment="1">
      <alignment vertical="center" textRotation="0" wrapText="false" shrinkToFit="false"/>
    </xf>
    <xf xfId="0" fontId="44" numFmtId="0" fillId="40" borderId="76" applyFont="1" applyNumberFormat="0" applyFill="1" applyBorder="1" applyAlignment="1">
      <alignment vertical="center" textRotation="0" wrapText="false" shrinkToFit="false"/>
    </xf>
    <xf xfId="0" fontId="44" numFmtId="0" fillId="10" borderId="60" applyFont="1" applyNumberFormat="0" applyFill="1" applyBorder="1" applyAlignment="1">
      <alignment vertical="center" textRotation="0" wrapText="false" shrinkToFit="false"/>
    </xf>
    <xf xfId="0" fontId="45" numFmtId="0" fillId="10" borderId="60" applyFont="1" applyNumberFormat="0" applyFill="1" applyBorder="1" applyAlignment="1">
      <alignment horizontal="center" vertical="center" textRotation="0" wrapText="false" shrinkToFit="false"/>
    </xf>
    <xf xfId="0" fontId="44" numFmtId="0" fillId="25" borderId="100" applyFont="1" applyNumberFormat="0" applyFill="1" applyBorder="1" applyAlignment="1">
      <alignment vertical="center" textRotation="0" wrapText="false" shrinkToFit="false"/>
    </xf>
    <xf xfId="0" fontId="44" numFmtId="10" fillId="10" borderId="100" applyFont="1" applyNumberFormat="1" applyFill="1" applyBorder="1" applyAlignment="1">
      <alignment horizontal="center" vertical="center" textRotation="0" wrapText="false" shrinkToFit="false"/>
    </xf>
    <xf xfId="0" fontId="21" numFmtId="14" fillId="5" borderId="0" applyFont="1" applyNumberFormat="1" applyFill="1" applyBorder="0" applyAlignment="1">
      <alignment horizontal="right" vertical="bottom" textRotation="0" wrapText="false" shrinkToFit="false"/>
    </xf>
    <xf xfId="0" fontId="44" numFmtId="0" fillId="41" borderId="81" applyFont="1" applyNumberFormat="0" applyFill="1" applyBorder="1" applyAlignment="1">
      <alignment vertical="center" textRotation="0" wrapText="false" shrinkToFit="false"/>
    </xf>
    <xf xfId="0" fontId="0" numFmtId="14" fillId="0" borderId="0" applyFont="0" applyNumberFormat="1" applyFill="0" applyBorder="0" applyAlignment="0"/>
    <xf xfId="0" fontId="0" numFmtId="10" fillId="0" borderId="0" applyFont="0" applyNumberFormat="1" applyFill="0" applyBorder="0" applyAlignment="0"/>
    <xf xfId="0" fontId="0" numFmtId="10" fillId="0" borderId="1" applyFont="0" applyNumberFormat="1" applyFill="0" applyBorder="1" applyAlignment="0"/>
    <xf xfId="0" fontId="1" numFmtId="10" fillId="26" borderId="0" applyFont="1" applyNumberFormat="1" applyFill="1" applyBorder="0" applyAlignment="1">
      <alignment horizontal="center" vertical="bottom" textRotation="0" wrapText="false" shrinkToFit="false"/>
    </xf>
    <xf xfId="0" fontId="23" numFmtId="0" fillId="22" borderId="15" applyFont="1" applyNumberFormat="0" applyFill="1" applyBorder="1" applyAlignment="1">
      <alignment horizontal="center" vertical="bottom" textRotation="0" wrapText="false" shrinkToFit="false"/>
    </xf>
    <xf xfId="0" fontId="23" numFmtId="0" fillId="22" borderId="101" applyFont="1" applyNumberFormat="0" applyFill="1" applyBorder="1" applyAlignment="1">
      <alignment horizontal="center" vertical="bottom" textRotation="0" wrapText="false" shrinkToFit="false"/>
    </xf>
    <xf xfId="0" fontId="23" numFmtId="0" fillId="22" borderId="19" applyFont="1" applyNumberFormat="0" applyFill="1" applyBorder="1" applyAlignment="1">
      <alignment horizontal="center" vertical="bottom" textRotation="0" wrapText="false" shrinkToFit="false"/>
    </xf>
    <xf xfId="0" fontId="23" numFmtId="0" fillId="24" borderId="15" applyFont="1" applyNumberFormat="0" applyFill="1" applyBorder="1" applyAlignment="1">
      <alignment horizontal="center" vertical="bottom" textRotation="0" wrapText="false" shrinkToFit="false"/>
    </xf>
    <xf xfId="0" fontId="23" numFmtId="0" fillId="24" borderId="101" applyFont="1" applyNumberFormat="0" applyFill="1" applyBorder="1" applyAlignment="1">
      <alignment horizontal="center" vertical="bottom" textRotation="0" wrapText="false" shrinkToFit="false"/>
    </xf>
    <xf xfId="0" fontId="23" numFmtId="0" fillId="24" borderId="19" applyFont="1" applyNumberFormat="0" applyFill="1" applyBorder="1" applyAlignment="1">
      <alignment horizontal="center" vertical="bottom" textRotation="0" wrapText="false" shrinkToFit="false"/>
    </xf>
    <xf xfId="0" fontId="23" numFmtId="0" fillId="26" borderId="15" applyFont="1" applyNumberFormat="0" applyFill="1" applyBorder="1" applyAlignment="1">
      <alignment horizontal="center" vertical="bottom" textRotation="0" wrapText="false" shrinkToFit="false"/>
    </xf>
    <xf xfId="0" fontId="23" numFmtId="0" fillId="26" borderId="101" applyFont="1" applyNumberFormat="0" applyFill="1" applyBorder="1" applyAlignment="1">
      <alignment horizontal="center" vertical="bottom" textRotation="0" wrapText="false" shrinkToFit="false"/>
    </xf>
    <xf xfId="0" fontId="23" numFmtId="0" fillId="26" borderId="19" applyFont="1" applyNumberFormat="0" applyFill="1" applyBorder="1" applyAlignment="1">
      <alignment horizontal="center" vertical="bottom" textRotation="0" wrapText="false" shrinkToFit="false"/>
    </xf>
    <xf xfId="0" fontId="1" numFmtId="0" fillId="22" borderId="0" applyFont="1" applyNumberFormat="0" applyFill="1" applyBorder="0" applyAlignment="1">
      <alignment horizontal="center" vertical="bottom" textRotation="0" wrapText="false" shrinkToFit="false"/>
    </xf>
    <xf xfId="0" fontId="1" numFmtId="0" fillId="24" borderId="0" applyFont="1" applyNumberFormat="0" applyFill="1" applyBorder="0" applyAlignment="1">
      <alignment horizontal="center" vertical="bottom" textRotation="0" wrapText="false" shrinkToFit="false"/>
    </xf>
    <xf xfId="0" fontId="21" numFmtId="0" fillId="22" borderId="102" applyFont="1" applyNumberFormat="0" applyFill="1" applyBorder="1" applyAlignment="1">
      <alignment horizontal="center" vertical="bottom" textRotation="0" wrapText="false" shrinkToFit="false"/>
    </xf>
    <xf xfId="0" fontId="21" numFmtId="0" fillId="22" borderId="36" applyFont="1" applyNumberFormat="0" applyFill="1" applyBorder="1" applyAlignment="1">
      <alignment horizontal="center" vertical="bottom" textRotation="0" wrapText="false" shrinkToFit="false"/>
    </xf>
    <xf xfId="0" fontId="52" numFmtId="0" fillId="21" borderId="21" applyFont="1" applyNumberFormat="0" applyFill="1" applyBorder="1" applyAlignment="1">
      <alignment horizontal="center" vertical="center" textRotation="0" wrapText="false" shrinkToFit="false"/>
    </xf>
    <xf xfId="0" fontId="52" numFmtId="0" fillId="21" borderId="25" applyFont="1" applyNumberFormat="0" applyFill="1" applyBorder="1" applyAlignment="1">
      <alignment horizontal="center" vertical="center" textRotation="0" wrapText="false" shrinkToFit="false"/>
    </xf>
    <xf xfId="0" fontId="52" numFmtId="0" fillId="21" borderId="39" applyFont="1" applyNumberFormat="0" applyFill="1" applyBorder="1" applyAlignment="1">
      <alignment horizontal="center" vertical="center" textRotation="0" wrapText="false" shrinkToFit="false"/>
    </xf>
    <xf xfId="0" fontId="52" numFmtId="0" fillId="21" borderId="31" applyFont="1" applyNumberFormat="0" applyFill="1" applyBorder="1" applyAlignment="1">
      <alignment horizontal="center" vertical="center" textRotation="0" wrapText="false" shrinkToFit="false"/>
    </xf>
    <xf xfId="0" fontId="21" numFmtId="0" fillId="22" borderId="103" applyFont="1" applyNumberFormat="0" applyFill="1" applyBorder="1" applyAlignment="1">
      <alignment horizontal="center" vertical="bottom" textRotation="0" wrapText="false" shrinkToFit="false"/>
    </xf>
    <xf xfId="0" fontId="21" numFmtId="0" fillId="22" borderId="33" applyFont="1" applyNumberFormat="0" applyFill="1" applyBorder="1" applyAlignment="1">
      <alignment horizontal="center" vertical="bottom" textRotation="0" wrapText="false" shrinkToFit="false"/>
    </xf>
    <xf xfId="0" fontId="1" numFmtId="0" fillId="22" borderId="15" applyFont="1" applyNumberFormat="0" applyFill="1" applyBorder="1" applyAlignment="1">
      <alignment horizontal="center" vertical="bottom" textRotation="0" wrapText="false" shrinkToFit="false"/>
    </xf>
    <xf xfId="0" fontId="1" numFmtId="0" fillId="22" borderId="101" applyFont="1" applyNumberFormat="0" applyFill="1" applyBorder="1" applyAlignment="1">
      <alignment horizontal="center" vertical="bottom" textRotation="0" wrapText="false" shrinkToFit="false"/>
    </xf>
    <xf xfId="0" fontId="1" numFmtId="0" fillId="22" borderId="19" applyFont="1" applyNumberFormat="0" applyFill="1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53" numFmtId="0" fillId="10" borderId="0" applyFont="1" applyNumberFormat="0" applyFill="1" applyBorder="0" applyAlignment="1">
      <alignment horizontal="center" vertical="bottom" textRotation="0" wrapText="false" shrinkToFit="false"/>
    </xf>
    <xf xfId="0" fontId="32" numFmtId="0" fillId="21" borderId="56" applyFont="1" applyNumberFormat="0" applyFill="1" applyBorder="1" applyAlignment="1">
      <alignment horizontal="center" vertical="center" textRotation="0" wrapText="false" shrinkToFit="false"/>
    </xf>
    <xf xfId="0" fontId="32" numFmtId="0" fillId="21" borderId="57" applyFont="1" applyNumberFormat="0" applyFill="1" applyBorder="1" applyAlignment="1">
      <alignment horizontal="center" vertical="center" textRotation="0" wrapText="false" shrinkToFit="false"/>
    </xf>
    <xf xfId="0" fontId="32" numFmtId="0" fillId="21" borderId="51" applyFont="1" applyNumberFormat="0" applyFill="1" applyBorder="1" applyAlignment="1">
      <alignment horizontal="center" vertical="center" textRotation="0" wrapText="false" shrinkToFit="false"/>
    </xf>
    <xf xfId="0" fontId="32" numFmtId="0" fillId="21" borderId="49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5">
    <dxf>
      <font>
        <color rgb="FF000000"/>
      </font>
      <fill>
        <patternFill patternType="solid">
          <bgColor rgb="FFF2F2F2"/>
        </patternFill>
      </fill>
      <border/>
    </dxf>
    <dxf>
      <font>
        <color rgb="FF000000"/>
      </font>
      <fill>
        <patternFill patternType="solid">
          <bgColor rgb="FFF2F2F2"/>
        </patternFill>
      </fill>
      <border/>
    </dxf>
    <dxf>
      <font>
        <color rgb="FF000000"/>
      </font>
      <fill>
        <patternFill patternType="solid">
          <bgColor rgb="FFF2F2F2"/>
        </patternFill>
      </fill>
      <border/>
    </dxf>
    <dxf>
      <font>
        <color rgb="FF000000"/>
      </font>
      <fill>
        <patternFill patternType="solid">
          <bgColor rgb="FFF2F2F2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4d3121b72b81392a75b1fd549fc1c480.pn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_rels/vmlDrawing5.vml.rels><?xml version="1.0" encoding="UTF-8" standalone="yes"?>
<Relationships xmlns="http://schemas.openxmlformats.org/package/2006/relationships"/>
</file>

<file path=xl/drawings/_rels/vmlDrawing7.vml.rels><?xml version="1.0" encoding="UTF-8" standalone="yes"?>
<Relationships xmlns="http://schemas.openxmlformats.org/package/2006/relationships"/>
</file>

<file path=xl/drawings/_rels/vmlDrawing12.vml.rels><?xml version="1.0" encoding="UTF-8" standalone="yes"?>
<Relationships xmlns="http://schemas.openxmlformats.org/package/2006/relationships"/>
</file>

<file path=xl/drawings/_rels/vmlDrawing13.vml.rels><?xml version="1.0" encoding="UTF-8" standalone="yes"?>
<Relationships xmlns="http://schemas.openxmlformats.org/package/2006/relationships"/>
</file>

<file path=xl/drawings/_rels/vmlDrawing14.vml.rels><?xml version="1.0" encoding="UTF-8" standalone="yes"?>
<Relationships xmlns="http://schemas.openxmlformats.org/package/2006/relationships"/>
</file>

<file path=xl/drawings/_rels/vmlDrawing15.vml.rels><?xml version="1.0" encoding="UTF-8" standalone="yes"?>
<Relationships xmlns="http://schemas.openxmlformats.org/package/2006/relationships"/>
</file>

<file path=xl/drawings/_rels/vmlDrawing17.vml.rels><?xml version="1.0" encoding="UTF-8" standalone="yes"?>
<Relationships xmlns="http://schemas.openxmlformats.org/package/2006/relationships"/>
</file>

<file path=xl/drawings/drawing1.xml><?xml version="1.0" encoding="utf-8"?>
<root/>
</file>

<file path=xl/drawings/drawing2.xml><?xml version="1.0" encoding="utf-8"?>
<root/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205</xdr:row>
      <xdr:rowOff>152400</xdr:rowOff>
    </xdr:from>
    <xdr:to>
      <xdr:col>13</xdr:col>
      <xdr:colOff>657225</xdr:colOff>
      <xdr:row>228</xdr:row>
      <xdr:rowOff>133350</xdr:rowOff>
    </xdr:to>
    <xdr:pic>
      <xdr:nvPicPr>
        <xdr:cNvPr id="1" name="Imagen 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430125" cy="4191000"/>
        </a:xfrm>
        <a:prstGeom prst="rect">
          <a:avLst/>
        </a:prstGeom>
      </xdr:spPr>
    </xdr:pic>
    <xdr:clientData/>
  </xdr:twoCellAnchor>
</xdr:wsDr>
</file>

<file path=xl/drawings/drawing15.xml><?xml version="1.0" encoding="utf-8"?>
<root/>
</file>

<file path=xl/drawings/drawing17.xml><?xml version="1.0" encoding="utf-8"?>
<root/>
</file>

<file path=xl/tables/table1.xml><?xml version="1.0" encoding="utf-8"?>
<table xmlns="http://schemas.openxmlformats.org/spreadsheetml/2006/main" xml:space="preserve" id="1" name="Table1" displayName="Tabla4" ref="B70:C89" headerRowCount="1" totalsRowCount="0">
  <autoFilter ref="B70:C89"/>
  <tableColumns count="2">
    <tableColumn id="1" name="Columna1"/>
    <tableColumn id="2" name="Columna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:space="preserve" id="2" name="Table2" displayName="TABLA_TEXTO_TEST" ref="E70:H86" headerRowCount="1" totalsRowCount="0">
  <autoFilter ref="E70:H86"/>
  <tableColumns count="4">
    <tableColumn id="1" name="Columna1"/>
    <tableColumn id="2" name="Columna2"/>
    <tableColumn id="3" name="Columna3"/>
    <tableColumn id="4" name="Columna4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:space="preserve" id="3" name="Table3" displayName="Tabla3" ref="B49:F55" headerRowCount="1" totalsRowCount="0">
  <autoFilter ref="B49:F55"/>
  <tableColumns count="5">
    <tableColumn id="1" name="Columna1"/>
    <tableColumn id="2" name="Columna2"/>
    <tableColumn id="3" name="Columna3"/>
    <tableColumn id="4" name="Columna4"/>
    <tableColumn id="5" name="Columna5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:space="preserve" id="4" name="Table4" displayName="TABLA_TEXTO_WACC" ref="B65:G186" headerRowCount="1" totalsRowCount="0">
  <autoFilter ref="B65:G186"/>
  <tableColumns count="6">
    <tableColumn id="1" name="Columna6"/>
    <tableColumn id="2" name="Columna1"/>
    <tableColumn id="3" name="Columna2">
      <calculatedColumnFormula>C8</calculatedColumnFormula>
    </tableColumn>
    <tableColumn id="4" name="Columna3"/>
    <tableColumn id="5" name="Columna4"/>
    <tableColumn id="6" name="Columna5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:space="preserve" id="5" name="Table5" displayName="Tabla7" ref="J49:K61" headerRowCount="1" totalsRowCount="0">
  <autoFilter ref="J49:K61"/>
  <tableColumns count="2">
    <tableColumn id="1" name="Columna1"/>
    <tableColumn id="2" name="Columna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:space="preserve" id="6" name="Table6" displayName="TABLA_TEXTO_sectorial" ref="N136:Q141" headerRowCount="1" totalsRowCount="0">
  <autoFilter ref="N136:Q141"/>
  <tableColumns count="4">
    <tableColumn id="1" name="Columna4"/>
    <tableColumn id="2" name="Columna1"/>
    <tableColumn id="3" name="Columna2"/>
    <tableColumn id="4" name="Columna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:space="preserve" id="7" name="Table7" displayName="Tabla1629" ref="H123:J129" headerRowCount="1" totalsRowCount="0">
  <autoFilter ref="H123:J129"/>
  <tableColumns count="3">
    <tableColumn id="1" name="Columna1"/>
    <tableColumn id="2" name="Columna2"/>
    <tableColumn id="3" name="Columna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:space="preserve" id="8" name="Table8" displayName="Tabla8" ref="B200:C203" headerRowCount="1" totalsRowCount="0">
  <autoFilter ref="B200:C203"/>
  <tableColumns count="2">
    <tableColumn id="1" name="Columna1"/>
    <tableColumn id="2" name="Columna2">
      <calculatedColumnFormula>+L184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:space="preserve" id="9" name="Table9" displayName="Tabla1" ref="A40:A58" headerRowCount="1" totalsRowCount="0">
  <autoFilter ref="A40:A58"/>
  <tableColumns count="1">
    <tableColumn id="1" name="Fecha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:space="preserve" id="10" name="Table10" displayName="Tabla9" ref="B54:C57" headerRowCount="1" totalsRowCount="0">
  <autoFilter ref="B54:C57"/>
  <tableColumns count="2">
    <tableColumn id="1" name="Columna1"/>
    <tableColumn id="2" name="Columna2">
      <calculatedColumnFormula>+L50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_table_1" Type="http://schemas.openxmlformats.org/officeDocument/2006/relationships/table" Target="../tables/table1.xml"/><Relationship Id="rId_table_2" Type="http://schemas.openxmlformats.org/officeDocument/2006/relationships/table" Target="../tables/table2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Relationship Id="rId_table_1" Type="http://schemas.openxmlformats.org/officeDocument/2006/relationships/table" Target="../tables/table3.xml"/><Relationship Id="rId_table_2" Type="http://schemas.openxmlformats.org/officeDocument/2006/relationships/table" Target="../tables/table4.xml"/><Relationship Id="rId_table_3" Type="http://schemas.openxmlformats.org/officeDocument/2006/relationships/table" Target="../tables/table5.xml"/><Relationship Id="rId_table_4" Type="http://schemas.openxmlformats.org/officeDocument/2006/relationships/table" Target="../tables/table6.xml"/><Relationship Id="rId_table_5" Type="http://schemas.openxmlformats.org/officeDocument/2006/relationships/table" Target="../tables/table7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Relationship Id="rId_table_1" Type="http://schemas.openxmlformats.org/officeDocument/2006/relationships/table" Target="../tables/table8.xml"/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2.vml"/><Relationship Id="rId_comments1" Type="http://schemas.openxmlformats.org/officeDocument/2006/relationships/comments" Target="../comments12.xml"/><Relationship Id="rId1ps" Type="http://schemas.openxmlformats.org/officeDocument/2006/relationships/printerSettings" Target="../printerSettings/printerSettings11.bin"/></Relationships>
</file>

<file path=xl/worksheets/_rels/sheet1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3.vml"/><Relationship Id="rId_comments1" Type="http://schemas.openxmlformats.org/officeDocument/2006/relationships/comments" Target="../comments13.xml"/><Relationship Id="rId1ps" Type="http://schemas.openxmlformats.org/officeDocument/2006/relationships/printerSettings" Target="../printerSettings/printerSettings12.bin"/></Relationships>
</file>

<file path=xl/worksheets/_rels/sheet1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4.vml"/><Relationship Id="rId_comments1" Type="http://schemas.openxmlformats.org/officeDocument/2006/relationships/comments" Target="../comments14.xml"/><Relationship Id="rId_table_1" Type="http://schemas.openxmlformats.org/officeDocument/2006/relationships/table" Target="../tables/table9.xml"/><Relationship Id="rId1ps" Type="http://schemas.openxmlformats.org/officeDocument/2006/relationships/printerSettings" Target="../printerSettings/printerSettings13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_comments_vml1" Type="http://schemas.openxmlformats.org/officeDocument/2006/relationships/vmlDrawing" Target="../drawings/vmlDrawing15.vml"/><Relationship Id="rId_comments1" Type="http://schemas.openxmlformats.org/officeDocument/2006/relationships/comments" Target="../comments15.xml"/><Relationship Id="rId_table_1" Type="http://schemas.openxmlformats.org/officeDocument/2006/relationships/table" Target="../tables/table10.xml"/><Relationship Id="rId1ps" Type="http://schemas.openxmlformats.org/officeDocument/2006/relationships/printerSettings" Target="../printerSettings/printerSettings14.bin"/></Relationships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_comments_vml1" Type="http://schemas.openxmlformats.org/officeDocument/2006/relationships/vmlDrawing" Target="../drawings/vmlDrawing17.vml"/><Relationship Id="rId_comments1" Type="http://schemas.openxmlformats.org/officeDocument/2006/relationships/comments" Target="../comments17.xml"/><Relationship Id="rId1ps" Type="http://schemas.openxmlformats.org/officeDocument/2006/relationships/printerSettings" Target="../printerSettings/printerSettings15.bin"/></Relationships>
</file>

<file path=xl/worksheets/_rels/sheet1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20"/>
  <sheetViews>
    <sheetView tabSelected="1" workbookViewId="0" zoomScale="70" zoomScaleNormal="70" showGridLines="true" showRowColHeaders="1" topLeftCell="B1">
      <selection activeCell="C89" sqref="C89"/>
    </sheetView>
  </sheetViews>
  <sheetFormatPr defaultRowHeight="14.4" defaultColWidth="11.5546875" outlineLevelRow="0" outlineLevelCol="0"/>
  <cols>
    <col min="1" max="1" width="5.33203125" customWidth="true" style="126"/>
    <col min="2" max="2" width="52.6640625" customWidth="true" style="127"/>
    <col min="3" max="3" width="20.109375" customWidth="true" style="128"/>
    <col min="4" max="4" width="18.5546875" customWidth="true" style="128"/>
    <col min="5" max="5" width="15.44140625" customWidth="true" style="128"/>
    <col min="6" max="6" width="22.44140625" customWidth="true" style="128"/>
    <col min="7" max="7" width="17.109375" customWidth="true" style="128"/>
    <col min="8" max="8" width="24.5546875" customWidth="true" style="128"/>
    <col min="9" max="9" width="13.6640625" customWidth="true" style="128"/>
    <col min="10" max="10" width="11.5546875" style="128"/>
    <col min="11" max="11" width="11.5546875" style="128"/>
    <col min="12" max="12" width="11.5546875" style="128"/>
    <col min="13" max="13" width="11.5546875" style="128"/>
    <col min="14" max="14" width="11.5546875" style="128"/>
    <col min="15" max="15" width="11.5546875" style="128"/>
    <col min="16" max="16" width="11.5546875" style="127"/>
  </cols>
  <sheetData>
    <row r="1" spans="1:19" customHeight="1" ht="14.4"/>
    <row r="2" spans="1:19" customHeight="1" ht="14.4">
      <c r="B2" s="409" t="s">
        <v>0</v>
      </c>
      <c r="C2" s="440">
        <v>45838.0</v>
      </c>
      <c r="I2" s="410"/>
    </row>
    <row r="3" spans="1:19" customHeight="1" ht="14.4">
      <c r="B3" s="409" t="s">
        <v>1</v>
      </c>
      <c r="C3" s="441" t="s">
        <v>2</v>
      </c>
    </row>
    <row r="4" spans="1:19" customHeight="1" ht="14.4">
      <c r="B4" s="409" t="s">
        <v>3</v>
      </c>
      <c r="C4" s="756" t="s">
        <v>4</v>
      </c>
    </row>
    <row r="5" spans="1:19" customHeight="1" ht="14.4">
      <c r="B5" s="409" t="s">
        <v>5</v>
      </c>
      <c r="C5" s="442">
        <v>847191.731</v>
      </c>
    </row>
    <row r="6" spans="1:19" customHeight="1" ht="14.4" s="128" customFormat="1">
      <c r="A6" s="407"/>
      <c r="C6" s="130"/>
    </row>
    <row r="7" spans="1:19" customHeight="1" ht="14.4">
      <c r="B7" s="129" t="s">
        <v>6</v>
      </c>
      <c r="C7" s="128">
        <v>2017</v>
      </c>
      <c r="H7" s="372"/>
    </row>
    <row r="8" spans="1:19" customHeight="1" ht="14.4">
      <c r="B8" s="129" t="s">
        <v>7</v>
      </c>
      <c r="C8" s="128">
        <v>2021</v>
      </c>
    </row>
    <row r="9" spans="1:19" customHeight="1" ht="14.4">
      <c r="B9" s="634" t="s">
        <v>8</v>
      </c>
      <c r="C9" s="634" t="s">
        <v>9</v>
      </c>
      <c r="D9" s="634" t="s">
        <v>10</v>
      </c>
      <c r="E9" s="634" t="s">
        <v>11</v>
      </c>
      <c r="F9" s="634" t="s">
        <v>12</v>
      </c>
      <c r="G9" s="634" t="s">
        <v>13</v>
      </c>
      <c r="H9" s="620"/>
      <c r="K9" s="128" t="s">
        <v>14</v>
      </c>
    </row>
    <row r="10" spans="1:19" customHeight="1" ht="15.6" s="128" customFormat="1">
      <c r="A10" s="629"/>
      <c r="B10" s="131" t="s">
        <v>15</v>
      </c>
      <c r="C10" s="132">
        <f>C7</f>
        <v>2017</v>
      </c>
      <c r="D10" s="132">
        <f>IF(C10&lt;YEAR($C$2)-1,C10+1,"")</f>
        <v>2018</v>
      </c>
      <c r="E10" s="132">
        <f>IF(D10&lt;$C$8,D10+1,"")</f>
        <v>2019</v>
      </c>
      <c r="F10" s="132">
        <f>IF(E10&lt;$C$8,E10+1,"")</f>
        <v>2020</v>
      </c>
      <c r="G10" s="132">
        <f>IF(F10&lt;$C$8,F10+1,"")</f>
        <v>2021</v>
      </c>
      <c r="H10" s="133" t="str">
        <f>IF(G10&lt;$C$8,G10+1,"")</f>
        <v/>
      </c>
      <c r="I10" s="133" t="e">
        <f>IF(H10&lt;$C$8,H10+1,"")</f>
        <v>#VALUE!</v>
      </c>
      <c r="J10" s="133" t="e">
        <f>IF(I10&lt;$C$8,I10+1,"")</f>
        <v>#VALUE!</v>
      </c>
      <c r="K10" s="133"/>
      <c r="L10" s="133"/>
      <c r="M10" s="133"/>
      <c r="N10" s="133"/>
      <c r="O10" s="133"/>
      <c r="P10" s="133"/>
      <c r="Q10" s="133"/>
      <c r="R10" s="133"/>
      <c r="S10" s="133"/>
    </row>
    <row r="11" spans="1:19">
      <c r="A11" s="630"/>
      <c r="B11" s="134" t="s">
        <v>16</v>
      </c>
      <c r="C11" s="135">
        <f t="array" ref="C11" aca="1" ca="1">IF(ISBLANK(C9), "", TRANSPOSE(IFERROR(VALUE(_xlfn.TEXTSPLIT(C9,";")),0)))</f>
      </c>
      <c r="D11" s="135">
        <f t="array" ref="D11" aca="1" ca="1">IF(ISBLANK(D9), "", TRANSPOSE(IFERROR(VALUE(_xlfn.TEXTSPLIT(D9,";")),0)))</f>
      </c>
      <c r="E11" s="135">
        <f t="array" ref="E11" aca="1" ca="1">IF(ISBLANK(E9), "", TRANSPOSE(IFERROR(VALUE(_xlfn.TEXTSPLIT(E9,";")),0)))</f>
      </c>
      <c r="F11" s="135">
        <f t="array" ref="F11" aca="1" ca="1">IF(ISBLANK(F9), "", TRANSPOSE(IFERROR(VALUE(_xlfn.TEXTSPLIT(F9,";")),0)))</f>
      </c>
      <c r="G11" s="135">
        <f t="array" ref="G11" aca="1" ca="1">IF(ISBLANK(G9), "", TRANSPOSE(IFERROR(VALUE(_xlfn.TEXTSPLIT(G9,";")),0)))</f>
      </c>
      <c r="H11" s="372"/>
    </row>
    <row r="12" spans="1:19" customHeight="1" ht="13.95">
      <c r="A12" s="630"/>
      <c r="B12" s="134" t="s">
        <v>17</v>
      </c>
      <c r="C12" s="135">
        <v>0</v>
      </c>
      <c r="D12" s="135">
        <v>0</v>
      </c>
      <c r="E12" s="135">
        <v>0</v>
      </c>
      <c r="F12" s="136">
        <v>0</v>
      </c>
      <c r="G12" s="136">
        <v>0</v>
      </c>
    </row>
    <row r="13" spans="1:19" customHeight="1" ht="14.4">
      <c r="A13" s="630"/>
      <c r="B13" s="134" t="s">
        <v>18</v>
      </c>
      <c r="C13" s="135">
        <v>0</v>
      </c>
      <c r="D13" s="135">
        <v>0</v>
      </c>
      <c r="E13" s="135">
        <v>0</v>
      </c>
      <c r="F13" s="136">
        <v>0</v>
      </c>
      <c r="G13" s="136">
        <v>0</v>
      </c>
    </row>
    <row r="14" spans="1:19">
      <c r="A14" s="630"/>
      <c r="B14" s="134" t="s">
        <v>19</v>
      </c>
      <c r="C14" s="135">
        <v>0</v>
      </c>
      <c r="D14" s="135">
        <v>0</v>
      </c>
      <c r="E14" s="135">
        <v>0</v>
      </c>
      <c r="F14" s="136">
        <v>0</v>
      </c>
      <c r="G14" s="136">
        <v>0</v>
      </c>
    </row>
    <row r="15" spans="1:19">
      <c r="A15" s="630"/>
      <c r="B15" s="137" t="s">
        <v>20</v>
      </c>
      <c r="C15" s="138">
        <v>3289719</v>
      </c>
      <c r="D15" s="138">
        <v>4103986</v>
      </c>
      <c r="E15" s="138">
        <v>4490817</v>
      </c>
      <c r="F15" s="139">
        <v>4618768</v>
      </c>
      <c r="G15" s="139">
        <v>6509850</v>
      </c>
      <c r="L15" s="133"/>
    </row>
    <row r="16" spans="1:19">
      <c r="A16" s="630"/>
      <c r="B16" s="134" t="s">
        <v>17</v>
      </c>
      <c r="C16" s="140">
        <v>3826276</v>
      </c>
      <c r="D16" s="140">
        <v>4955240</v>
      </c>
      <c r="E16" s="140">
        <v>6751464</v>
      </c>
      <c r="F16" s="141">
        <v>7031343</v>
      </c>
      <c r="G16" s="141">
        <v>6898453</v>
      </c>
    </row>
    <row r="17" spans="1:19">
      <c r="A17" s="630"/>
      <c r="B17" s="134" t="s">
        <v>21</v>
      </c>
      <c r="C17" s="140">
        <v>0</v>
      </c>
      <c r="D17" s="140">
        <v>0</v>
      </c>
      <c r="E17" s="140">
        <v>0</v>
      </c>
      <c r="F17" s="141">
        <v>0</v>
      </c>
      <c r="G17" s="141">
        <v>0</v>
      </c>
    </row>
    <row r="18" spans="1:19">
      <c r="A18" s="630"/>
      <c r="B18" s="134" t="s">
        <v>22</v>
      </c>
      <c r="C18" s="140">
        <v>1865624</v>
      </c>
      <c r="D18" s="140">
        <v>2537852</v>
      </c>
      <c r="E18" s="140">
        <v>3323015</v>
      </c>
      <c r="F18" s="141">
        <v>3410774</v>
      </c>
      <c r="G18" s="141">
        <v>3343589</v>
      </c>
    </row>
    <row r="19" spans="1:19">
      <c r="A19" s="630"/>
      <c r="B19" s="134" t="s">
        <v>23</v>
      </c>
      <c r="C19" s="140">
        <v>1198090</v>
      </c>
      <c r="D19" s="140">
        <v>1361126</v>
      </c>
      <c r="E19" s="140">
        <v>1540298</v>
      </c>
      <c r="F19" s="141">
        <v>1801309</v>
      </c>
      <c r="G19" s="141">
        <v>1973854</v>
      </c>
    </row>
    <row r="20" spans="1:19">
      <c r="A20" s="630"/>
      <c r="B20" s="134" t="s">
        <v>24</v>
      </c>
      <c r="C20" s="140">
        <v>0</v>
      </c>
      <c r="D20" s="140">
        <v>0</v>
      </c>
      <c r="E20" s="140">
        <v>0</v>
      </c>
      <c r="F20" s="141">
        <v>0</v>
      </c>
      <c r="G20" s="141">
        <v>0</v>
      </c>
    </row>
    <row r="21" spans="1:19">
      <c r="A21" s="630"/>
      <c r="B21" s="134" t="s">
        <v>19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</row>
    <row r="22" spans="1:19">
      <c r="A22" s="630"/>
      <c r="B22" s="137" t="s">
        <v>25</v>
      </c>
      <c r="C22" s="138">
        <v>3826276</v>
      </c>
      <c r="D22" s="138">
        <v>4955240</v>
      </c>
      <c r="E22" s="138">
        <v>6751464</v>
      </c>
      <c r="F22" s="138">
        <v>7031343</v>
      </c>
      <c r="G22" s="138">
        <v>6898453</v>
      </c>
    </row>
    <row r="23" spans="1:19">
      <c r="A23" s="630"/>
      <c r="B23" s="142" t="s">
        <v>26</v>
      </c>
      <c r="C23" s="143">
        <v>7115995</v>
      </c>
      <c r="D23" s="143">
        <v>9059226</v>
      </c>
      <c r="E23" s="143">
        <v>11242281</v>
      </c>
      <c r="F23" s="143">
        <v>11650111</v>
      </c>
      <c r="G23" s="143">
        <v>13408303</v>
      </c>
    </row>
    <row r="24" spans="1:19">
      <c r="A24" s="630"/>
      <c r="B24" s="134" t="s">
        <v>27</v>
      </c>
      <c r="C24" s="140">
        <v>0</v>
      </c>
      <c r="D24" s="140">
        <v>0</v>
      </c>
      <c r="E24" s="140">
        <v>0</v>
      </c>
      <c r="F24" s="140">
        <v>558545</v>
      </c>
      <c r="G24" s="140">
        <v>639174</v>
      </c>
      <c r="I24" s="372"/>
    </row>
    <row r="25" spans="1:19">
      <c r="A25" s="630"/>
      <c r="B25" s="134" t="s">
        <v>28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I25" s="373"/>
    </row>
    <row r="26" spans="1:19" customHeight="1" ht="14.4">
      <c r="A26" s="630"/>
      <c r="B26" s="134" t="s">
        <v>29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I26" s="372"/>
    </row>
    <row r="27" spans="1:19">
      <c r="A27" s="630"/>
      <c r="B27" s="137" t="s">
        <v>30</v>
      </c>
      <c r="C27" s="138">
        <v>2823965</v>
      </c>
      <c r="D27" s="138">
        <v>3084554</v>
      </c>
      <c r="E27" s="138">
        <v>3462553</v>
      </c>
      <c r="F27" s="138">
        <v>3604331</v>
      </c>
      <c r="G27" s="138">
        <v>4645551</v>
      </c>
    </row>
    <row r="28" spans="1:19">
      <c r="A28" s="630"/>
      <c r="B28" s="134" t="s">
        <v>27</v>
      </c>
      <c r="C28" s="140">
        <v>0</v>
      </c>
      <c r="D28" s="140">
        <v>0</v>
      </c>
      <c r="E28" s="140">
        <v>0</v>
      </c>
      <c r="F28" s="140">
        <v>3515304</v>
      </c>
      <c r="G28" s="140">
        <v>4676131</v>
      </c>
    </row>
    <row r="29" spans="1:19">
      <c r="A29" s="630"/>
      <c r="B29" s="134" t="s">
        <v>28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</row>
    <row r="30" spans="1:19" customHeight="1" ht="14.4">
      <c r="A30" s="630"/>
      <c r="B30" s="134" t="s">
        <v>29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</row>
    <row r="31" spans="1:19">
      <c r="A31" s="630"/>
      <c r="B31" s="137" t="s">
        <v>31</v>
      </c>
      <c r="C31" s="138">
        <v>1391745</v>
      </c>
      <c r="D31" s="138">
        <v>2729104</v>
      </c>
      <c r="E31" s="138">
        <v>4321222</v>
      </c>
      <c r="F31" s="138">
        <v>4364956</v>
      </c>
      <c r="G31" s="138">
        <v>5437375</v>
      </c>
      <c r="I31" s="360"/>
    </row>
    <row r="32" spans="1:19">
      <c r="A32" s="630"/>
      <c r="B32" s="142" t="s">
        <v>32</v>
      </c>
      <c r="C32" s="143">
        <v>4215710</v>
      </c>
      <c r="D32" s="143">
        <v>5813658</v>
      </c>
      <c r="E32" s="143">
        <v>7783775</v>
      </c>
      <c r="F32" s="143">
        <v>7969287</v>
      </c>
      <c r="G32" s="143">
        <v>10082926</v>
      </c>
    </row>
    <row r="33" spans="1:19" customHeight="1" ht="14.4">
      <c r="A33" s="630"/>
      <c r="B33" s="134" t="s">
        <v>33</v>
      </c>
      <c r="C33" s="140">
        <v>2900285</v>
      </c>
      <c r="D33" s="140">
        <v>3245568</v>
      </c>
      <c r="E33" s="140">
        <v>3458506</v>
      </c>
      <c r="F33" s="140">
        <v>3680824</v>
      </c>
      <c r="G33" s="140">
        <v>3325377</v>
      </c>
    </row>
    <row r="34" spans="1:19">
      <c r="A34" s="630"/>
      <c r="B34" s="134" t="s">
        <v>34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J34" s="405"/>
    </row>
    <row r="35" spans="1:19">
      <c r="A35" s="630"/>
      <c r="B35" s="134" t="s">
        <v>35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</row>
    <row r="36" spans="1:19" customHeight="1" ht="14.4">
      <c r="A36" s="630"/>
      <c r="B36" s="134" t="s">
        <v>36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</row>
    <row r="37" spans="1:19">
      <c r="A37" s="630"/>
      <c r="B37" s="137" t="s">
        <v>37</v>
      </c>
      <c r="C37" s="138">
        <v>2900285</v>
      </c>
      <c r="D37" s="138">
        <v>3245568</v>
      </c>
      <c r="E37" s="138">
        <v>3458506</v>
      </c>
      <c r="F37" s="138">
        <v>3680824</v>
      </c>
      <c r="G37" s="138">
        <v>3325377</v>
      </c>
      <c r="J37" s="360"/>
      <c r="M37" s="360"/>
    </row>
    <row r="38" spans="1:19">
      <c r="A38" s="630"/>
      <c r="B38" s="142" t="s">
        <v>38</v>
      </c>
      <c r="C38" s="143">
        <v>7115995</v>
      </c>
      <c r="D38" s="143">
        <v>9059226</v>
      </c>
      <c r="E38" s="143">
        <v>11242281</v>
      </c>
      <c r="F38" s="143">
        <v>11650111</v>
      </c>
      <c r="G38" s="143">
        <v>13408303</v>
      </c>
    </row>
    <row r="39" spans="1:19" customHeight="1" ht="14.4">
      <c r="A39" s="630"/>
      <c r="C39" s="136"/>
      <c r="D39" s="136"/>
      <c r="E39" s="136"/>
      <c r="F39" s="136"/>
      <c r="G39" s="136"/>
    </row>
    <row r="40" spans="1:19" customHeight="1" ht="14.4">
      <c r="A40" s="630"/>
      <c r="B40" s="632" t="s">
        <v>39</v>
      </c>
      <c r="C40" s="632" t="s">
        <v>40</v>
      </c>
      <c r="D40" s="632" t="s">
        <v>41</v>
      </c>
      <c r="E40" s="632" t="s">
        <v>42</v>
      </c>
      <c r="F40" s="632" t="s">
        <v>43</v>
      </c>
      <c r="G40" s="632" t="s">
        <v>44</v>
      </c>
    </row>
    <row r="41" spans="1:19" customHeight="1" ht="15.6">
      <c r="A41" s="629"/>
      <c r="B41" s="131" t="s">
        <v>45</v>
      </c>
      <c r="C41" s="132">
        <f>C10</f>
        <v>2017</v>
      </c>
      <c r="D41" s="132">
        <f>D10</f>
        <v>2018</v>
      </c>
      <c r="E41" s="132">
        <f>E10</f>
        <v>2019</v>
      </c>
      <c r="F41" s="132">
        <f>F10</f>
        <v>2020</v>
      </c>
      <c r="G41" s="132">
        <f>G10</f>
        <v>2021</v>
      </c>
      <c r="H41" s="133" t="str">
        <f>H10</f>
        <v/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</row>
    <row r="42" spans="1:19">
      <c r="A42" s="630"/>
      <c r="B42" s="144" t="s">
        <v>46</v>
      </c>
      <c r="C42" s="624">
        <f t="array" ref="C42" aca="1" ca="1">IF(ISBLANK(C40), "", TRANSPOSE(IFERROR(VALUE(_xlfn.TEXTSPLIT(C40,";")),0)))</f>
      </c>
      <c r="D42" s="624">
        <f t="array" ref="D42" aca="1" ca="1">IF(ISBLANK(D40), "", TRANSPOSE(IFERROR(VALUE(_xlfn.TEXTSPLIT(D40,";")),0)))</f>
      </c>
      <c r="E42" s="624">
        <f t="array" ref="E42" aca="1" ca="1">IF(ISBLANK(E40), "", TRANSPOSE(IFERROR(VALUE(_xlfn.TEXTSPLIT(E40,";")),0)))</f>
      </c>
      <c r="F42" s="624">
        <f t="array" ref="F42" aca="1" ca="1">IF(ISBLANK(F40), "", TRANSPOSE(IFERROR(VALUE(_xlfn.TEXTSPLIT(F40,";")),0)))</f>
      </c>
      <c r="G42" s="624">
        <f t="array" ref="G42" aca="1" ca="1">IF(ISBLANK(G40), "", TRANSPOSE(IFERROR(VALUE(_xlfn.TEXTSPLIT(G40,";")),0)))</f>
      </c>
    </row>
    <row r="43" spans="1:19">
      <c r="A43" s="630"/>
      <c r="B43" s="144" t="s">
        <v>47</v>
      </c>
      <c r="C43" s="399">
        <v>-5042402</v>
      </c>
      <c r="D43" s="399">
        <v>-6244012</v>
      </c>
      <c r="E43" s="399">
        <v>-7420013</v>
      </c>
      <c r="F43" s="399">
        <v>-7712254</v>
      </c>
      <c r="G43" s="399">
        <v>-9831454</v>
      </c>
    </row>
    <row r="44" spans="1:19">
      <c r="A44" s="630"/>
      <c r="B44" s="145" t="s">
        <v>48</v>
      </c>
      <c r="C44" s="628">
        <v>1906863</v>
      </c>
      <c r="D44" s="400">
        <v>2044690</v>
      </c>
      <c r="E44" s="400">
        <v>2452174</v>
      </c>
      <c r="F44" s="400">
        <v>2419513</v>
      </c>
      <c r="G44" s="400">
        <v>2396209</v>
      </c>
    </row>
    <row r="45" spans="1:19">
      <c r="A45" s="630"/>
      <c r="B45" s="144" t="s">
        <v>49</v>
      </c>
      <c r="C45" s="399">
        <v>-633605</v>
      </c>
      <c r="D45" s="401">
        <v>-681336</v>
      </c>
      <c r="E45" s="401">
        <v>-801905</v>
      </c>
      <c r="F45" s="401">
        <v>-862157</v>
      </c>
      <c r="G45" s="401">
        <v>-786246</v>
      </c>
    </row>
    <row r="46" spans="1:19">
      <c r="A46" s="630"/>
      <c r="B46" s="144" t="s">
        <v>50</v>
      </c>
      <c r="C46" s="399">
        <v>164314</v>
      </c>
      <c r="D46" s="402">
        <v>202775</v>
      </c>
      <c r="E46" s="402">
        <v>298028</v>
      </c>
      <c r="F46" s="402">
        <v>286071</v>
      </c>
      <c r="G46" s="402">
        <v>232476</v>
      </c>
    </row>
    <row r="47" spans="1:19">
      <c r="A47" s="630"/>
      <c r="B47" s="144" t="s">
        <v>51</v>
      </c>
      <c r="C47" s="399">
        <v>-487579</v>
      </c>
      <c r="D47" s="401">
        <v>-603139</v>
      </c>
      <c r="E47" s="401">
        <v>-651838</v>
      </c>
      <c r="F47" s="401">
        <v>-688428</v>
      </c>
      <c r="G47" s="401">
        <v>-732928</v>
      </c>
      <c r="I47" s="360"/>
    </row>
    <row r="48" spans="1:19">
      <c r="A48" s="630"/>
      <c r="B48" s="144" t="s">
        <v>52</v>
      </c>
      <c r="C48" s="399">
        <v>-42607</v>
      </c>
      <c r="D48" s="401">
        <v>26059</v>
      </c>
      <c r="E48" s="401">
        <v>-49856</v>
      </c>
      <c r="F48" s="401">
        <v>-75085</v>
      </c>
      <c r="G48" s="401">
        <v>39531</v>
      </c>
      <c r="I48" s="371"/>
    </row>
    <row r="49" spans="1:19">
      <c r="A49" s="630"/>
      <c r="B49" s="145" t="s">
        <v>53</v>
      </c>
      <c r="C49" s="628">
        <v>743072</v>
      </c>
      <c r="D49" s="400">
        <v>786274</v>
      </c>
      <c r="E49" s="400">
        <v>948575</v>
      </c>
      <c r="F49" s="400">
        <v>793843</v>
      </c>
      <c r="G49" s="400">
        <v>916566</v>
      </c>
    </row>
    <row r="50" spans="1:19">
      <c r="A50" s="630"/>
      <c r="B50" s="144" t="s">
        <v>54</v>
      </c>
      <c r="C50" s="625">
        <v>0</v>
      </c>
      <c r="D50" s="626">
        <v>0</v>
      </c>
      <c r="E50" s="626">
        <v>0</v>
      </c>
      <c r="F50" s="626">
        <v>0</v>
      </c>
      <c r="G50" s="626">
        <v>0</v>
      </c>
    </row>
    <row r="51" spans="1:19">
      <c r="A51" s="630"/>
      <c r="B51" s="144" t="s">
        <v>55</v>
      </c>
      <c r="C51" s="625">
        <v>0</v>
      </c>
      <c r="D51" s="627">
        <v>0</v>
      </c>
      <c r="E51" s="627">
        <v>0</v>
      </c>
      <c r="F51" s="627">
        <v>0</v>
      </c>
      <c r="G51" s="627">
        <v>-337756</v>
      </c>
      <c r="I51" s="360"/>
    </row>
    <row r="52" spans="1:19">
      <c r="A52" s="631"/>
      <c r="B52" s="144" t="s">
        <v>56</v>
      </c>
      <c r="C52" s="625">
        <v>0</v>
      </c>
      <c r="D52" s="626">
        <v>0</v>
      </c>
      <c r="E52" s="626">
        <v>0</v>
      </c>
      <c r="F52" s="626">
        <v>0</v>
      </c>
      <c r="G52" s="626">
        <v>0</v>
      </c>
    </row>
    <row r="53" spans="1:19">
      <c r="A53" s="630"/>
      <c r="B53" s="145" t="s">
        <v>57</v>
      </c>
      <c r="C53" s="628">
        <v>0</v>
      </c>
      <c r="D53" s="628">
        <v>0</v>
      </c>
      <c r="E53" s="628">
        <v>0</v>
      </c>
      <c r="F53" s="628">
        <v>0</v>
      </c>
      <c r="G53" s="628">
        <v>0</v>
      </c>
    </row>
    <row r="54" spans="1:19">
      <c r="A54" s="630"/>
      <c r="B54" s="144" t="s">
        <v>58</v>
      </c>
      <c r="C54" s="625">
        <v>0</v>
      </c>
      <c r="D54" s="626">
        <v>0</v>
      </c>
      <c r="E54" s="626">
        <v>0</v>
      </c>
      <c r="F54" s="626">
        <v>0</v>
      </c>
      <c r="G54" s="626">
        <v>0</v>
      </c>
    </row>
    <row r="55" spans="1:19">
      <c r="A55" s="630"/>
      <c r="B55" s="145" t="s">
        <v>59</v>
      </c>
      <c r="C55" s="628">
        <v>0</v>
      </c>
      <c r="D55" s="628">
        <v>0</v>
      </c>
      <c r="E55" s="628">
        <v>0</v>
      </c>
      <c r="F55" s="628">
        <v>0</v>
      </c>
      <c r="G55" s="628">
        <v>0</v>
      </c>
    </row>
    <row r="57" spans="1:19">
      <c r="D57" s="360"/>
      <c r="E57" s="360"/>
      <c r="F57" s="360"/>
      <c r="G57" s="360"/>
    </row>
    <row r="62" spans="1:19">
      <c r="P62" s="128"/>
    </row>
    <row r="63" spans="1:19">
      <c r="C63" s="670"/>
      <c r="P63" s="128"/>
    </row>
    <row r="70" spans="1:19">
      <c r="B70" s="585" t="s">
        <v>60</v>
      </c>
      <c r="C70" s="157" t="s">
        <v>61</v>
      </c>
      <c r="E70" s="128" t="s">
        <v>60</v>
      </c>
      <c r="F70" s="585" t="s">
        <v>61</v>
      </c>
      <c r="G70" s="130" t="s">
        <v>62</v>
      </c>
      <c r="H70" s="128" t="s">
        <v>63</v>
      </c>
    </row>
    <row r="71" spans="1:19">
      <c r="B71" s="586" t="s">
        <v>64</v>
      </c>
      <c r="C71" s="397">
        <f>'M. por conceptos'!L195</f>
        <v>0</v>
      </c>
      <c r="E71" s="146" t="s">
        <v>65</v>
      </c>
      <c r="F71" s="586" t="s">
        <v>0</v>
      </c>
      <c r="G71" s="130">
        <f>C2</f>
        <v>45838</v>
      </c>
    </row>
    <row r="72" spans="1:19">
      <c r="B72" s="584" t="s">
        <v>66</v>
      </c>
      <c r="C72" s="397">
        <f>'M. por conceptos'!L197</f>
        <v>-5437375</v>
      </c>
      <c r="E72" s="146" t="s">
        <v>67</v>
      </c>
      <c r="F72" s="586" t="s">
        <v>3</v>
      </c>
      <c r="G72" s="587" t="str">
        <f>C4</f>
        <v>Dólares</v>
      </c>
    </row>
    <row r="73" spans="1:19">
      <c r="B73" s="586" t="s">
        <v>68</v>
      </c>
      <c r="C73" s="397">
        <f>'M. por conceptos'!L198</f>
        <v>-6.4181162315901</v>
      </c>
      <c r="E73" s="146" t="s">
        <v>69</v>
      </c>
      <c r="F73" s="146"/>
      <c r="G73" s="588" t="s">
        <v>70</v>
      </c>
      <c r="H73" s="588" t="s">
        <v>71</v>
      </c>
    </row>
    <row r="74" spans="1:19">
      <c r="B74" s="584" t="s">
        <v>72</v>
      </c>
      <c r="C74" s="397">
        <f>'M. Integrado'!L49</f>
        <v>0</v>
      </c>
      <c r="E74" s="669" t="s">
        <v>73</v>
      </c>
      <c r="F74" s="586" t="s">
        <v>74</v>
      </c>
      <c r="G74" s="397">
        <f>'M. por conceptos'!L195</f>
        <v>0</v>
      </c>
      <c r="H74" s="397">
        <f>'M. Integrado'!L49</f>
        <v>0</v>
      </c>
    </row>
    <row r="75" spans="1:19">
      <c r="B75" s="586" t="s">
        <v>75</v>
      </c>
      <c r="C75" s="397">
        <f>'M. Integrado'!L51</f>
        <v>-5437375</v>
      </c>
      <c r="E75" s="669" t="s">
        <v>76</v>
      </c>
      <c r="F75" s="586" t="s">
        <v>77</v>
      </c>
      <c r="G75" s="397">
        <f>'M. por conceptos'!L196</f>
        <v>5437375</v>
      </c>
      <c r="H75" s="397">
        <f>'M. Integrado'!L50</f>
        <v>5437375</v>
      </c>
    </row>
    <row r="76" spans="1:19">
      <c r="B76" s="584" t="s">
        <v>78</v>
      </c>
      <c r="C76" s="380">
        <f>'M. Integrado'!L52</f>
        <v>-6.4181162315901</v>
      </c>
      <c r="E76" s="669" t="s">
        <v>79</v>
      </c>
      <c r="F76" s="586" t="s">
        <v>80</v>
      </c>
      <c r="G76" s="397">
        <f>'M. por conceptos'!L197</f>
        <v>-5437375</v>
      </c>
      <c r="H76" s="397">
        <f>'M. Integrado'!L51</f>
        <v>-5437375</v>
      </c>
    </row>
    <row r="77" spans="1:19">
      <c r="B77" s="146" t="s">
        <v>81</v>
      </c>
      <c r="C77" s="128">
        <f>C7</f>
        <v>2017</v>
      </c>
      <c r="E77" s="669" t="s">
        <v>82</v>
      </c>
      <c r="F77" s="586" t="s">
        <v>83</v>
      </c>
      <c r="G77" s="397">
        <f>'M. por conceptos'!L198</f>
        <v>-6.4181162315901</v>
      </c>
      <c r="H77" s="397">
        <f>'M. Integrado'!L52</f>
        <v>-6.4181162315901</v>
      </c>
    </row>
    <row r="78" spans="1:19">
      <c r="B78" s="584" t="s">
        <v>84</v>
      </c>
      <c r="C78" s="128">
        <f>C8</f>
        <v>2021</v>
      </c>
      <c r="E78" s="146" t="s">
        <v>85</v>
      </c>
      <c r="F78" s="586" t="s">
        <v>86</v>
      </c>
      <c r="G78" s="397" t="e">
        <f>'M. por conceptos'!H48</f>
        <v>#REF!</v>
      </c>
    </row>
    <row r="79" spans="1:19">
      <c r="B79" s="586" t="s">
        <v>87</v>
      </c>
      <c r="C79" s="157">
        <f>'M. por conceptos'!L197</f>
        <v>-5437375</v>
      </c>
      <c r="E79" s="586" t="s">
        <v>88</v>
      </c>
      <c r="F79" s="586" t="s">
        <v>89</v>
      </c>
      <c r="G79" s="397" t="e">
        <f>'M. por conceptos'!H66</f>
        <v>#REF!</v>
      </c>
    </row>
    <row r="80" spans="1:19">
      <c r="B80" s="584" t="s">
        <v>90</v>
      </c>
      <c r="C80" s="397">
        <f>'M. Integrado'!L51</f>
        <v>-5437375</v>
      </c>
      <c r="E80" s="146" t="s">
        <v>91</v>
      </c>
      <c r="F80" s="586" t="s">
        <v>92</v>
      </c>
      <c r="G80" s="397" t="e">
        <f>'M. por conceptos'!H117</f>
        <v>#REF!</v>
      </c>
    </row>
    <row r="81" spans="1:19">
      <c r="B81" s="586" t="s">
        <v>93</v>
      </c>
      <c r="C81" s="157">
        <f>Sensibilidad!H100</f>
        <v>0</v>
      </c>
      <c r="E81" s="146" t="s">
        <v>94</v>
      </c>
      <c r="F81" s="586" t="s">
        <v>95</v>
      </c>
      <c r="G81" s="397" t="e">
        <f>'M. por conceptos'!H143</f>
        <v>#REF!</v>
      </c>
    </row>
    <row r="82" spans="1:19">
      <c r="B82" s="584" t="s">
        <v>96</v>
      </c>
      <c r="C82" s="397">
        <f>Sensibilidad!H130</f>
        <v>0</v>
      </c>
      <c r="E82" s="146"/>
      <c r="F82" s="669"/>
      <c r="G82" s="588" t="s">
        <v>71</v>
      </c>
    </row>
    <row r="83" spans="1:19">
      <c r="B83" s="146" t="s">
        <v>97</v>
      </c>
      <c r="C83" s="360">
        <f>Sensibilidad!G14</f>
        <v>0.015</v>
      </c>
      <c r="E83" s="669" t="s">
        <v>98</v>
      </c>
      <c r="F83" s="586" t="s">
        <v>74</v>
      </c>
      <c r="G83" s="157">
        <f>'M. Integrado'!L49</f>
        <v>0</v>
      </c>
    </row>
    <row r="84" spans="1:19">
      <c r="B84" s="127" t="s">
        <v>99</v>
      </c>
      <c r="C84" s="360">
        <f>Sensibilidad!M100</f>
        <v>0.091</v>
      </c>
      <c r="E84" s="669" t="s">
        <v>100</v>
      </c>
      <c r="F84" s="586" t="s">
        <v>77</v>
      </c>
      <c r="G84" s="157">
        <f>'M. Integrado'!L50</f>
        <v>5437375</v>
      </c>
    </row>
    <row r="85" spans="1:19">
      <c r="B85" s="146" t="s">
        <v>101</v>
      </c>
      <c r="C85" s="360" t="e">
        <f>Sensibilidad!D10</f>
        <v>#REF!</v>
      </c>
      <c r="E85" s="669" t="s">
        <v>102</v>
      </c>
      <c r="F85" s="586" t="s">
        <v>80</v>
      </c>
      <c r="G85" s="157">
        <f>'M. Integrado'!L51</f>
        <v>-5437375</v>
      </c>
    </row>
    <row r="86" spans="1:19">
      <c r="B86" s="127" t="s">
        <v>103</v>
      </c>
      <c r="C86" s="157">
        <f>Sensibilidad!H102</f>
        <v>-5437375</v>
      </c>
      <c r="E86" s="669" t="s">
        <v>104</v>
      </c>
      <c r="F86" s="586" t="s">
        <v>83</v>
      </c>
      <c r="G86" s="380">
        <f>'M. Integrado'!L52</f>
        <v>-6.4181162315901</v>
      </c>
    </row>
    <row r="87" spans="1:19">
      <c r="B87" s="146" t="s">
        <v>105</v>
      </c>
      <c r="C87" s="397">
        <f>Sensibilidad!H103</f>
        <v>-6.4181162315901</v>
      </c>
    </row>
    <row r="88" spans="1:19">
      <c r="B88" s="127" t="s">
        <v>106</v>
      </c>
      <c r="C88" s="397">
        <f>Sensibilidad!H132</f>
        <v>-5437375</v>
      </c>
    </row>
    <row r="89" spans="1:19">
      <c r="B89" s="146" t="s">
        <v>105</v>
      </c>
      <c r="C89" s="380">
        <f>Sensibilidad!H133</f>
        <v>-6.4181162315901</v>
      </c>
    </row>
    <row r="92" spans="1:19">
      <c r="B92" s="671" t="s">
        <v>107</v>
      </c>
    </row>
    <row r="220" spans="1:19">
      <c r="B220" s="671" t="s">
        <v>108</v>
      </c>
    </row>
  </sheetData>
  <conditionalFormatting sqref="A10">
    <cfRule type="containsText" dxfId="0" priority="1" operator="containsText" text="20">
      <formula>NOT(ISERROR(SEARCH("20",A10)))</formula>
    </cfRule>
  </conditionalFormatting>
  <conditionalFormatting sqref="A41">
    <cfRule type="containsText" dxfId="0" priority="2" operator="containsText" text="20">
      <formula>NOT(ISERROR(SEARCH("20",A10)))</formula>
    </cfRule>
  </conditionalFormatting>
  <conditionalFormatting sqref="C10:R10">
    <cfRule type="containsText" dxfId="1" priority="3" operator="containsText" text="20">
      <formula>NOT(ISERROR(SEARCH("20",C10)))</formula>
    </cfRule>
  </conditionalFormatting>
  <conditionalFormatting sqref="C41:R41">
    <cfRule type="containsText" dxfId="2" priority="4" operator="containsText" text="20">
      <formula>NOT(ISERROR(SEARCH("20",C41)))</formula>
    </cfRule>
  </conditionalFormatting>
  <conditionalFormatting sqref="L15">
    <cfRule type="containsText" dxfId="3" priority="5" operator="containsText" text="20">
      <formula>NOT(ISERROR(SEARCH("20",L15)))</formula>
    </cfRule>
  </conditionalFormatting>
  <dataValidations count="1">
    <dataValidation type="list" allowBlank="1" showDropDown="0" showInputMessage="1" showErrorMessage="1" sqref="C2">
      <formula1>Tablas!$A$41:$A$58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2">
    <tablePart r:id="rId_table_1"/>
    <tablePart r:id="rId_table_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DCEAF"/>
    <outlinePr summaryBelow="1" summaryRight="1"/>
  </sheetPr>
  <dimension ref="A1:AT193"/>
  <sheetViews>
    <sheetView tabSelected="0" workbookViewId="0" zoomScale="55" zoomScaleNormal="55" showGridLines="true" showRowColHeaders="1">
      <selection activeCell="D186" sqref="D186"/>
    </sheetView>
  </sheetViews>
  <sheetFormatPr defaultRowHeight="14.4" defaultColWidth="11.44140625" outlineLevelRow="0" outlineLevelCol="0"/>
  <cols>
    <col min="1" max="1" width="14.6640625" customWidth="true" style="0"/>
    <col min="2" max="2" width="36.6640625" customWidth="true" style="42"/>
    <col min="3" max="3" width="36.5546875" customWidth="true" style="42"/>
    <col min="4" max="4" width="19.6640625" customWidth="true" style="0"/>
    <col min="5" max="5" width="39.6640625" customWidth="true" style="42"/>
    <col min="6" max="6" width="19.6640625" customWidth="true" style="42"/>
    <col min="8" max="8" width="35.6640625" customWidth="true" style="42"/>
    <col min="9" max="9" width="12.109375" customWidth="true" style="42"/>
    <col min="10" max="10" width="14.88671875" customWidth="true" style="42"/>
    <col min="12" max="12" width="20.6640625" customWidth="true" style="356"/>
    <col min="13" max="13" width="13.33203125" customWidth="true" style="39"/>
    <col min="14" max="14" width="26.6640625" customWidth="true" style="0"/>
    <col min="15" max="15" width="19.5546875" customWidth="true" style="0"/>
    <col min="16" max="16" width="17.33203125" customWidth="true" style="0"/>
    <col min="17" max="17" width="14.33203125" customWidth="true" style="0"/>
    <col min="18" max="18" width="13.5546875" customWidth="true" style="0"/>
    <col min="19" max="19" width="11.6640625" customWidth="true" style="0"/>
    <col min="21" max="21" width="20.6640625" customWidth="true" style="42"/>
    <col min="22" max="22" width="12.109375" customWidth="true" style="39"/>
    <col min="40" max="40" width="53.33203125" customWidth="true" style="0"/>
    <col min="41" max="41" width="13" customWidth="true" style="0"/>
    <col min="42" max="42" width="13.33203125" customWidth="true" style="0"/>
  </cols>
  <sheetData>
    <row r="1" spans="1:46">
      <c r="L1" s="355"/>
      <c r="U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6">
      <c r="L2" s="355"/>
      <c r="U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46">
      <c r="B3" s="414" t="s">
        <v>109</v>
      </c>
      <c r="C3" s="544" t="s">
        <v>110</v>
      </c>
      <c r="E3" s="414" t="s">
        <v>0</v>
      </c>
      <c r="F3" s="546">
        <f>'Plantilla Usuario'!C2</f>
        <v>45838</v>
      </c>
      <c r="H3" s="417" t="s">
        <v>111</v>
      </c>
      <c r="I3" s="548">
        <f>ROUND(-HLOOKUP('Plantilla Usuario'!$C$8,'Plantilla Usuario'!B10:Q55,42)/(HLOOKUP('Plantilla Usuario'!$C$8-1,'Plantilla Usuario'!B10:G38,15)+HLOOKUP('Plantilla Usuario'!$C$8-1,'Plantilla Usuario'!B10:G38,19)),4)</f>
        <v>0.0829</v>
      </c>
      <c r="J3" s="434" t="str">
        <f>+'Plantilla Usuario'!C4</f>
        <v>Dólares</v>
      </c>
      <c r="L3" s="355"/>
      <c r="N3" s="444" t="s">
        <v>112</v>
      </c>
      <c r="U3" s="3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 spans="1:46">
      <c r="J4" s="39"/>
      <c r="M4" s="4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</row>
    <row r="5" spans="1:46">
      <c r="A5" s="38" t="s">
        <v>113</v>
      </c>
      <c r="B5" s="39" t="s">
        <v>114</v>
      </c>
      <c r="D5" s="38" t="s">
        <v>115</v>
      </c>
      <c r="E5" s="39" t="s">
        <v>116</v>
      </c>
      <c r="G5" s="38" t="s">
        <v>115</v>
      </c>
      <c r="H5" s="39" t="s">
        <v>117</v>
      </c>
      <c r="L5" s="357"/>
      <c r="M5" s="50"/>
      <c r="O5" s="445" t="s">
        <v>118</v>
      </c>
      <c r="P5" s="445" t="s">
        <v>119</v>
      </c>
      <c r="Q5" s="445" t="s">
        <v>120</v>
      </c>
      <c r="U5" s="40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</row>
    <row r="6" spans="1:46" customHeight="1" ht="21">
      <c r="B6" s="414" t="s">
        <v>121</v>
      </c>
      <c r="C6" s="545">
        <v>1</v>
      </c>
      <c r="D6" s="40" t="s">
        <v>122</v>
      </c>
      <c r="E6" s="414" t="s">
        <v>1</v>
      </c>
      <c r="F6" s="547" t="str">
        <f>'Plantilla Usuario'!C3</f>
        <v>Peru</v>
      </c>
      <c r="I6" s="421" t="s">
        <v>4</v>
      </c>
      <c r="J6" s="422" t="s">
        <v>123</v>
      </c>
      <c r="K6" s="422" t="s">
        <v>124</v>
      </c>
      <c r="L6" s="357"/>
      <c r="M6" s="51"/>
      <c r="N6" s="446" t="s">
        <v>125</v>
      </c>
      <c r="O6" s="447">
        <f>'Prima de mercado'!C$3</f>
        <v>0.11821279118249</v>
      </c>
      <c r="P6" s="447">
        <f>'Prima de mercado'!$D$3</f>
        <v>0.051104657976145</v>
      </c>
      <c r="Q6" s="447">
        <f>$C$10</f>
        <v>0.0416</v>
      </c>
      <c r="U6" s="40"/>
    </row>
    <row r="7" spans="1:46">
      <c r="B7" s="414" t="s">
        <v>126</v>
      </c>
      <c r="C7" s="443">
        <f>'Rf Ajustado'!E11</f>
        <v>2.8477432297507</v>
      </c>
      <c r="D7" s="40" t="s">
        <v>122</v>
      </c>
      <c r="E7" s="414" t="s">
        <v>127</v>
      </c>
      <c r="F7" s="54">
        <v>0.0164</v>
      </c>
      <c r="H7" s="419"/>
      <c r="I7" s="163">
        <f>IF($K$7=0,0,(1+$K$7)/(1+$J$7)-1)</f>
        <v>0</v>
      </c>
      <c r="J7" s="48">
        <f>$F$7</f>
        <v>0.0164</v>
      </c>
      <c r="K7" s="359">
        <f>IF($J$3="Soles",I3,0)</f>
        <v>0</v>
      </c>
      <c r="L7" s="357"/>
      <c r="M7" s="51"/>
      <c r="N7" s="446" t="s">
        <v>128</v>
      </c>
      <c r="O7" s="447">
        <f>'Prima de mercado'!C$3</f>
        <v>0.11821279118249</v>
      </c>
      <c r="P7" s="447">
        <f>'Prima de mercado'!$D$3</f>
        <v>0.051104657976145</v>
      </c>
      <c r="Q7" s="447">
        <f>$C$10</f>
        <v>0.0416</v>
      </c>
      <c r="U7" s="40"/>
    </row>
    <row r="8" spans="1:46">
      <c r="F8" s="120"/>
      <c r="H8" s="420" t="s">
        <v>111</v>
      </c>
      <c r="I8" s="163">
        <f>IF($J$3="Dólares",$I$3,0)</f>
        <v>0.0829</v>
      </c>
      <c r="J8" s="48">
        <f>$F$7</f>
        <v>0.0164</v>
      </c>
      <c r="K8" s="48">
        <f>IF(I8=0,0,(1+$I$8)*(1+$J$8)-1)</f>
        <v>0.10065956</v>
      </c>
      <c r="N8" s="446" t="s">
        <v>129</v>
      </c>
      <c r="O8" s="447">
        <f>'Prima de mercado'!C$3</f>
        <v>0.11821279118249</v>
      </c>
      <c r="P8" s="447">
        <f>'Prima de mercado'!$D$3</f>
        <v>0.051104657976145</v>
      </c>
      <c r="Q8" s="447">
        <f>$C$10</f>
        <v>0.0416</v>
      </c>
    </row>
    <row r="9" spans="1:46">
      <c r="B9" s="414" t="s">
        <v>130</v>
      </c>
      <c r="C9" s="54">
        <f>VLOOKUP(YEAR($F$3),'Prima de mercado'!A2:D7,2)</f>
        <v>0.066379626541014</v>
      </c>
      <c r="E9" s="414" t="s">
        <v>131</v>
      </c>
      <c r="F9" s="54">
        <f>VLOOKUP($F$6,Embi!$L$2:$M$11,2,FALSE)/10000</f>
        <v>0.015438095238095</v>
      </c>
      <c r="L9" s="355"/>
      <c r="U9" s="39"/>
    </row>
    <row r="10" spans="1:46">
      <c r="A10" s="38"/>
      <c r="B10" s="414" t="s">
        <v>132</v>
      </c>
      <c r="C10" s="54">
        <f>IF($C$3="Bono EE.UU",VLOOKUP($C$6,'Rf Ajustado'!$A$14:$B$25,2,FALSE),'Rf Ajustado'!$E$12)</f>
        <v>0.0416</v>
      </c>
      <c r="H10" s="417" t="s">
        <v>133</v>
      </c>
      <c r="I10" s="46">
        <f>IF(J3="Dólares",I3-F33,I7-F33)</f>
        <v>0.005861904761905</v>
      </c>
      <c r="L10" s="358"/>
      <c r="U10" s="49"/>
    </row>
    <row r="11" spans="1:46">
      <c r="A11" s="38"/>
      <c r="B11" s="39"/>
      <c r="E11" s="160"/>
      <c r="F11" s="162"/>
      <c r="H11" s="53"/>
      <c r="M11" s="52"/>
      <c r="N11" s="444" t="s">
        <v>134</v>
      </c>
    </row>
    <row r="12" spans="1:46">
      <c r="A12" s="38" t="s">
        <v>135</v>
      </c>
      <c r="B12" s="39" t="s">
        <v>136</v>
      </c>
      <c r="E12" s="53"/>
      <c r="F12" s="161"/>
      <c r="I12" s="162"/>
      <c r="M12" s="50"/>
    </row>
    <row r="13" spans="1:46">
      <c r="B13" s="414" t="s">
        <v>137</v>
      </c>
      <c r="C13" s="633" t="s">
        <v>138</v>
      </c>
      <c r="M13" s="50"/>
      <c r="N13" s="762" t="s">
        <v>139</v>
      </c>
      <c r="O13" s="763"/>
      <c r="P13" s="763"/>
      <c r="Q13" s="764"/>
      <c r="AN13" s="390" t="s">
        <v>140</v>
      </c>
      <c r="AO13" s="42"/>
      <c r="AP13" s="42"/>
    </row>
    <row r="14" spans="1:46">
      <c r="B14" s="40"/>
      <c r="C14" s="41"/>
      <c r="N14" s="448"/>
      <c r="O14" s="449" t="s">
        <v>141</v>
      </c>
      <c r="P14" s="449" t="s">
        <v>142</v>
      </c>
      <c r="Q14" s="449" t="s">
        <v>143</v>
      </c>
      <c r="AN14" s="42"/>
      <c r="AO14" s="42"/>
      <c r="AP14" s="42"/>
    </row>
    <row r="15" spans="1:46">
      <c r="B15" s="387" t="s">
        <v>144</v>
      </c>
      <c r="C15" s="41"/>
      <c r="E15" s="388" t="s">
        <v>145</v>
      </c>
      <c r="H15" s="389" t="s">
        <v>146</v>
      </c>
      <c r="N15" s="448" t="s">
        <v>147</v>
      </c>
      <c r="O15" s="450">
        <f>$C$10</f>
        <v>0.0416</v>
      </c>
      <c r="P15" s="450">
        <f>$C$10</f>
        <v>0.0416</v>
      </c>
      <c r="Q15" s="450">
        <f>$C$10</f>
        <v>0.0416</v>
      </c>
      <c r="AN15" s="391" t="s">
        <v>148</v>
      </c>
      <c r="AO15" s="122">
        <f>('EE.FF Económicos'!$H$17+'EE.FF Económicos'!$H$21)/('EE.FF Económicos'!$H$17+'EE.FF Económicos'!$H$21+'M. por conceptos'!$L$184)</f>
        <v>-43.54309003031</v>
      </c>
      <c r="AP15" s="42"/>
    </row>
    <row r="16" spans="1:46">
      <c r="M16" s="50"/>
      <c r="N16" s="448" t="s">
        <v>149</v>
      </c>
      <c r="O16" s="450">
        <f>C9*C21</f>
        <v>0.049718340279219</v>
      </c>
      <c r="P16" s="451"/>
      <c r="Q16" s="451"/>
      <c r="AN16" s="391" t="s">
        <v>150</v>
      </c>
      <c r="AO16" s="122">
        <f>1-AO15</f>
        <v>44.54309003031</v>
      </c>
      <c r="AP16" s="42"/>
    </row>
    <row r="17" spans="1:46">
      <c r="B17" s="414" t="s">
        <v>148</v>
      </c>
      <c r="C17" s="44">
        <f>IF(AND(WACC!$F$3&gt;Tablas!$I$3,WACC!$F$3&lt;=Tablas!$J$6),
    VLOOKUP(WACC!$C$13,'Damondaran Industries'!$A$1:$AE$95,2 + 6 * ROUNDDOWN((WACC!$F$3 - Tablas!$I$3) / (Tablas!$J$6 - Tablas!$I$3) * 3, 0), FALSE),
    VLOOKUP(WACC!$C$13,'Damondaran Industries'!$A$1:$AE$95,7,FALSE)
)</f>
        <v>0.31029224250138</v>
      </c>
      <c r="E17" s="416" t="s">
        <v>148</v>
      </c>
      <c r="F17" s="122">
        <f>IF(G17,G17,C17)</f>
        <v>0.31029224250138</v>
      </c>
      <c r="G17" s="121"/>
      <c r="H17" s="416" t="s">
        <v>148</v>
      </c>
      <c r="I17" s="548">
        <f>ROUND(('EE.FF Económicos'!H17+'EE.FF Económicos'!H21)/('EE.FF Económicos'!H17+'EE.FF Económicos'!H21+'EE.FF Económicos'!H26),4)</f>
        <v>0.6151</v>
      </c>
      <c r="K17" s="101"/>
      <c r="L17" s="358"/>
      <c r="N17" s="448" t="s">
        <v>151</v>
      </c>
      <c r="O17" s="452"/>
      <c r="P17" s="450">
        <f>C27*C9</f>
        <v>0.037768475466239</v>
      </c>
      <c r="Q17" s="452"/>
      <c r="AN17" s="392" t="s">
        <v>152</v>
      </c>
      <c r="AO17" s="123">
        <f>AO15/AO16</f>
        <v>-0.97754982873169</v>
      </c>
      <c r="AP17" s="42"/>
    </row>
    <row r="18" spans="1:46">
      <c r="B18" s="414" t="s">
        <v>150</v>
      </c>
      <c r="C18" s="44">
        <f>IF(AND(WACC!$F$3&gt;Tablas!$I$3,WACC!$F$3&lt;=Tablas!$J$6),
    VLOOKUP(WACC!$C$13,'Damondaran Industries'!$A$1:$AE$95,3 + 6 * ROUNDDOWN((WACC!$F$3 - Tablas!$I$3) / (Tablas!$J$6 - Tablas!$I$3) * 3, 0), FALSE),
    VLOOKUP(WACC!$C$13,'Damondaran Industries'!$A$1:$AE$95,7,FALSE)
)</f>
        <v>0.68970775749862</v>
      </c>
      <c r="E18" s="416" t="s">
        <v>150</v>
      </c>
      <c r="F18" s="122">
        <f>1-F17</f>
        <v>0.68970775749862</v>
      </c>
      <c r="G18" s="72"/>
      <c r="H18" s="416" t="s">
        <v>150</v>
      </c>
      <c r="I18" s="548">
        <f>1-I17</f>
        <v>0.3849</v>
      </c>
      <c r="M18" s="52"/>
      <c r="N18" s="448" t="s">
        <v>153</v>
      </c>
      <c r="O18" s="452"/>
      <c r="P18" s="450"/>
      <c r="Q18" s="450">
        <f>C32</f>
        <v>0.02</v>
      </c>
      <c r="AN18" s="391" t="s">
        <v>154</v>
      </c>
      <c r="AO18" s="122">
        <f>+I20</f>
        <v>0.295</v>
      </c>
      <c r="AP18" s="42"/>
    </row>
    <row r="19" spans="1:46">
      <c r="B19" s="414" t="s">
        <v>152</v>
      </c>
      <c r="C19" s="45">
        <v>0.5186</v>
      </c>
      <c r="E19" s="417" t="s">
        <v>152</v>
      </c>
      <c r="F19" s="123">
        <f>F17/F18</f>
        <v>0.44988944828854</v>
      </c>
      <c r="H19" s="417" t="s">
        <v>152</v>
      </c>
      <c r="I19" s="123">
        <f>I17/I18</f>
        <v>1.5980774227072</v>
      </c>
      <c r="M19" s="50"/>
      <c r="N19" s="453"/>
      <c r="O19" s="454">
        <f>SUM(O15:O18)</f>
        <v>0.091318340279219</v>
      </c>
      <c r="P19" s="454">
        <f>SUM(P15:P18)</f>
        <v>0.079368475466239</v>
      </c>
      <c r="Q19" s="454">
        <f>SUM(Q15:Q18)</f>
        <v>0.0616</v>
      </c>
      <c r="AN19" s="392" t="s">
        <v>155</v>
      </c>
      <c r="AO19" s="124">
        <f>$C$27*(1+(1-$AO$18)*$AO$17)</f>
        <v>0.17685360008666</v>
      </c>
      <c r="AP19" s="42"/>
    </row>
    <row r="20" spans="1:46">
      <c r="B20" s="414" t="s">
        <v>154</v>
      </c>
      <c r="C20" s="44">
        <v>0.3899</v>
      </c>
      <c r="E20" s="416" t="s">
        <v>154</v>
      </c>
      <c r="F20" s="122">
        <v>0.295</v>
      </c>
      <c r="H20" s="416" t="s">
        <v>154</v>
      </c>
      <c r="I20" s="122">
        <f>+F20</f>
        <v>0.295</v>
      </c>
      <c r="M20" s="50"/>
      <c r="N20" s="455"/>
      <c r="O20" s="454"/>
      <c r="Q20" s="456">
        <f>Q19*(1-C20)</f>
        <v>0.03758216</v>
      </c>
      <c r="AN20" s="42"/>
      <c r="AO20" s="42"/>
      <c r="AP20" s="42"/>
    </row>
    <row r="21" spans="1:46">
      <c r="B21" s="414" t="s">
        <v>155</v>
      </c>
      <c r="C21" s="45">
        <v>0.749</v>
      </c>
      <c r="E21" s="417" t="s">
        <v>155</v>
      </c>
      <c r="F21" s="47">
        <f>$C$27*(1+(1-$F$20)*$F$19)</f>
        <v>0.74944050252522</v>
      </c>
      <c r="H21" s="417" t="s">
        <v>155</v>
      </c>
      <c r="I21" s="124">
        <f>$C$27*(1+(1-$I$20)*$I$19)</f>
        <v>1.210011684973</v>
      </c>
      <c r="S21" s="457"/>
      <c r="T21" s="458"/>
      <c r="U21" s="458"/>
      <c r="V21" s="458"/>
      <c r="AN21" s="42"/>
      <c r="AO21" s="393" t="s">
        <v>4</v>
      </c>
      <c r="AP21" s="393" t="s">
        <v>156</v>
      </c>
    </row>
    <row r="22" spans="1:46">
      <c r="V22" s="459"/>
      <c r="AN22" s="392" t="s">
        <v>157</v>
      </c>
      <c r="AO22" s="48">
        <f>$C$10+$AO$19*$C$9+$F$9+$I$10</f>
        <v>0.074639475926186</v>
      </c>
      <c r="AP22" s="48">
        <f>(1+$AO$22)*(1+$J$7)-1</f>
        <v>0.092263563331376</v>
      </c>
    </row>
    <row r="23" spans="1:46">
      <c r="A23" s="38" t="s">
        <v>158</v>
      </c>
      <c r="B23" s="39" t="s">
        <v>159</v>
      </c>
      <c r="I23" s="423" t="s">
        <v>4</v>
      </c>
      <c r="J23" s="423" t="s">
        <v>156</v>
      </c>
      <c r="M23" s="50"/>
      <c r="N23" s="765" t="s">
        <v>160</v>
      </c>
      <c r="O23" s="766"/>
      <c r="P23" s="766"/>
      <c r="Q23" s="767"/>
      <c r="V23" s="459"/>
      <c r="AN23" s="42"/>
      <c r="AO23" s="42"/>
      <c r="AP23" s="53"/>
    </row>
    <row r="24" spans="1:46">
      <c r="A24" s="43" t="s">
        <v>161</v>
      </c>
      <c r="B24" s="414" t="s">
        <v>157</v>
      </c>
      <c r="C24" s="44">
        <f>$C$10+$C$21*$C$9</f>
        <v>0.091318340279219</v>
      </c>
      <c r="E24" s="417" t="s">
        <v>157</v>
      </c>
      <c r="F24" s="46">
        <f>$C$10+$F$21*$C$9+$F$9</f>
        <v>0.10678567591043</v>
      </c>
      <c r="H24" s="417" t="s">
        <v>157</v>
      </c>
      <c r="I24" s="48">
        <f>ROUND($C$10+$I$21*$C$9+$F$9+$I$10,4)</f>
        <v>0.1432</v>
      </c>
      <c r="J24" s="48">
        <f>ROUND((1+$I$24)*(1+$J$7)-1,4)</f>
        <v>0.1619</v>
      </c>
      <c r="N24" s="448"/>
      <c r="O24" s="449" t="s">
        <v>141</v>
      </c>
      <c r="P24" s="449" t="s">
        <v>142</v>
      </c>
      <c r="Q24" s="449" t="s">
        <v>143</v>
      </c>
      <c r="V24" s="459"/>
      <c r="AN24" s="42"/>
      <c r="AO24" s="42"/>
      <c r="AP24" s="42"/>
    </row>
    <row r="25" spans="1:46">
      <c r="J25" s="53"/>
      <c r="L25" s="358"/>
      <c r="N25" s="448" t="s">
        <v>147</v>
      </c>
      <c r="O25" s="450">
        <f>O15</f>
        <v>0.0416</v>
      </c>
      <c r="P25" s="450">
        <f>P15</f>
        <v>0.0416</v>
      </c>
      <c r="Q25" s="450">
        <f>Q15</f>
        <v>0.0416</v>
      </c>
      <c r="V25" s="459"/>
      <c r="AN25" s="42"/>
      <c r="AO25" s="393" t="s">
        <v>4</v>
      </c>
      <c r="AP25" s="393" t="s">
        <v>156</v>
      </c>
    </row>
    <row r="26" spans="1:46">
      <c r="A26" s="38" t="s">
        <v>162</v>
      </c>
      <c r="B26" s="39" t="s">
        <v>163</v>
      </c>
      <c r="M26" s="52"/>
      <c r="N26" s="448" t="s">
        <v>149</v>
      </c>
      <c r="O26" s="450">
        <f>F21*C9</f>
        <v>0.049747580672334</v>
      </c>
      <c r="P26" s="452"/>
      <c r="Q26" s="452"/>
      <c r="V26" s="459"/>
      <c r="AN26" s="392" t="s">
        <v>164</v>
      </c>
      <c r="AO26" s="48">
        <f>$F$28+$I$10</f>
        <v>0.10066847546624</v>
      </c>
      <c r="AP26" s="48">
        <f>(1+$AO$26)*(1+$J$7)-1</f>
        <v>0.11871943846389</v>
      </c>
    </row>
    <row r="27" spans="1:46">
      <c r="A27" s="43" t="s">
        <v>165</v>
      </c>
      <c r="B27" s="414" t="s">
        <v>166</v>
      </c>
      <c r="C27" s="57">
        <f>$C$21/(1+(1-$C$20)*$C$19)</f>
        <v>0.56897692009314</v>
      </c>
      <c r="E27" s="417" t="s">
        <v>166</v>
      </c>
      <c r="F27" s="56">
        <f>$F$21/(1+(1-$F$20)*$F$19)</f>
        <v>0.56897692009314</v>
      </c>
      <c r="I27" s="423" t="s">
        <v>4</v>
      </c>
      <c r="J27" s="423" t="s">
        <v>156</v>
      </c>
      <c r="M27" s="50"/>
      <c r="N27" s="448" t="s">
        <v>151</v>
      </c>
      <c r="O27" s="452"/>
      <c r="P27" s="450">
        <f>F27*C9</f>
        <v>0.037768475466239</v>
      </c>
      <c r="Q27" s="452"/>
      <c r="V27" s="459"/>
      <c r="AN27" s="42"/>
      <c r="AO27" s="42"/>
      <c r="AP27" s="42"/>
    </row>
    <row r="28" spans="1:46">
      <c r="B28" s="414" t="s">
        <v>164</v>
      </c>
      <c r="C28" s="44">
        <f>$C$10+$C$27*$C$9</f>
        <v>0.079368475466239</v>
      </c>
      <c r="E28" s="417" t="s">
        <v>164</v>
      </c>
      <c r="F28" s="46">
        <f>$C$10+$F$27*$C$9+$F$9</f>
        <v>0.094806570704334</v>
      </c>
      <c r="H28" s="417" t="s">
        <v>164</v>
      </c>
      <c r="I28" s="48">
        <f>ROUND($F$28+$I$10,4)</f>
        <v>0.1007</v>
      </c>
      <c r="J28" s="48">
        <f>ROUND((1+$I$28)*(1+$J$7)-1,4)</f>
        <v>0.1188</v>
      </c>
      <c r="M28" s="50"/>
      <c r="N28" s="448" t="s">
        <v>153</v>
      </c>
      <c r="O28" s="452"/>
      <c r="P28" s="452"/>
      <c r="Q28" s="450">
        <f>C32</f>
        <v>0.02</v>
      </c>
      <c r="V28" s="50"/>
      <c r="AN28" s="42"/>
      <c r="AO28" s="42"/>
      <c r="AP28" s="42"/>
    </row>
    <row r="29" spans="1:46">
      <c r="N29" s="448" t="s">
        <v>131</v>
      </c>
      <c r="O29" s="450">
        <f>$F$9</f>
        <v>0.015438095238095</v>
      </c>
      <c r="P29" s="450">
        <f>$F$9</f>
        <v>0.015438095238095</v>
      </c>
      <c r="Q29" s="450">
        <f>$F$9</f>
        <v>0.015438095238095</v>
      </c>
      <c r="V29" s="52"/>
      <c r="AN29" s="42"/>
      <c r="AO29" s="42"/>
      <c r="AP29" s="42"/>
    </row>
    <row r="30" spans="1:46">
      <c r="A30" s="38" t="s">
        <v>167</v>
      </c>
      <c r="B30" s="39" t="s">
        <v>168</v>
      </c>
      <c r="C30" s="39"/>
      <c r="O30" s="22">
        <f>SUM(O25:O29)</f>
        <v>0.10678567591043</v>
      </c>
      <c r="P30" s="22">
        <f>SUM(P25:P29)</f>
        <v>0.094806570704334</v>
      </c>
      <c r="Q30" s="22">
        <f>SUM(Q25:Q29)</f>
        <v>0.077038095238095</v>
      </c>
      <c r="V30" s="39"/>
      <c r="AN30" s="42"/>
      <c r="AO30" s="393" t="s">
        <v>4</v>
      </c>
      <c r="AP30" s="393" t="s">
        <v>156</v>
      </c>
    </row>
    <row r="31" spans="1:46">
      <c r="B31" s="414" t="s">
        <v>169</v>
      </c>
      <c r="C31" s="57">
        <f>IF(AND(WACC!$F$3&gt;Tablas!$I$3,WACC!$F$3&lt;=Tablas!$J$6),
    VLOOKUP(WACC!$C$13,'Damondaran Industries'!$A$1:$AE$95,6 + 6 * ROUNDDOWN((WACC!$F$3 - Tablas!$I$3) / (Tablas!$J$6 - Tablas!$I$3) * 3, 0), FALSE),
    VLOOKUP(WACC!$C$13,'Damondaran Industries'!$A$1:$AE$95,7,FALSE)
)</f>
        <v>0.52722114455333</v>
      </c>
      <c r="M31" s="50"/>
      <c r="Q31" s="487">
        <f>Q30*(1-F20)</f>
        <v>0.054311857142857</v>
      </c>
      <c r="AN31" s="394" t="s">
        <v>111</v>
      </c>
      <c r="AO31" s="48">
        <f>IF($I$7="",$I$8,$I$7)</f>
        <v>0</v>
      </c>
      <c r="AP31" s="48">
        <f>(1+$AO$31)*(1+$J$7)-1</f>
        <v>0.0164</v>
      </c>
    </row>
    <row r="32" spans="1:46">
      <c r="B32" s="414" t="s">
        <v>153</v>
      </c>
      <c r="C32" s="647">
        <f>IF(AND(WACC!$F$3&gt;Tablas!$I$3,WACC!$F$3&lt;=Tablas!$J$6),
    VLOOKUP(WACC!$C$13,'Damondaran Industries'!$A$1:$AE$95,7 + 6 * ROUNDDOWN((WACC!$F$3 - Tablas!$I$3) / (Tablas!$J$6 - Tablas!$I$3) * 3, 0), FALSE),
    VLOOKUP(WACC!$C$13,'Damondaran Industries'!$A$1:$AE$95,7,FALSE)
)</f>
        <v>0.02</v>
      </c>
      <c r="I32" s="423" t="s">
        <v>170</v>
      </c>
      <c r="J32" s="423" t="s">
        <v>156</v>
      </c>
      <c r="M32" s="50"/>
      <c r="AN32" s="394" t="s">
        <v>171</v>
      </c>
      <c r="AO32" s="48">
        <f>AO31*(1-$AO$18)</f>
        <v>0</v>
      </c>
      <c r="AP32" s="48">
        <f>$AP$31*(1-$I$20)</f>
        <v>0.011562</v>
      </c>
    </row>
    <row r="33" spans="1:46">
      <c r="A33" s="43" t="s">
        <v>172</v>
      </c>
      <c r="B33" s="414" t="s">
        <v>111</v>
      </c>
      <c r="C33" s="46">
        <f>$C$10+C32</f>
        <v>0.0616</v>
      </c>
      <c r="E33" s="415" t="s">
        <v>111</v>
      </c>
      <c r="F33" s="54">
        <f>$C$33+$F$9</f>
        <v>0.077038095238095</v>
      </c>
      <c r="H33" s="415" t="s">
        <v>111</v>
      </c>
      <c r="I33" s="48">
        <f>ROUND(IF($J$3="DÓLARES",$I$8,$I$7),4)</f>
        <v>0.0829</v>
      </c>
      <c r="J33" s="48">
        <f>ROUND((1+$I$33)*(1+$J$7)-1,4)</f>
        <v>0.1007</v>
      </c>
      <c r="N33" s="768" t="s">
        <v>129</v>
      </c>
      <c r="O33" s="769"/>
      <c r="P33" s="769"/>
      <c r="Q33" s="770"/>
      <c r="AN33" s="42"/>
      <c r="AO33" s="42"/>
      <c r="AP33" s="42"/>
    </row>
    <row r="34" spans="1:46" customHeight="1" ht="24.75">
      <c r="B34" s="414" t="s">
        <v>171</v>
      </c>
      <c r="C34" s="46">
        <f>$C$33*(1-$C$20)</f>
        <v>0.03758216</v>
      </c>
      <c r="E34" s="418" t="s">
        <v>171</v>
      </c>
      <c r="F34" s="46">
        <f>$F$33*(1-$F$20)</f>
        <v>0.054311857142857</v>
      </c>
      <c r="H34" s="415" t="s">
        <v>171</v>
      </c>
      <c r="I34" s="48">
        <f>ROUND(I33*(1-$I$20),4)</f>
        <v>0.0584</v>
      </c>
      <c r="J34" s="48">
        <f>ROUND($J$33*(1-$I$20),4)</f>
        <v>0.071</v>
      </c>
      <c r="K34" s="55"/>
      <c r="N34" s="448"/>
      <c r="O34" s="449" t="s">
        <v>141</v>
      </c>
      <c r="P34" s="449" t="s">
        <v>142</v>
      </c>
      <c r="Q34" s="449" t="s">
        <v>143</v>
      </c>
      <c r="AN34" s="42"/>
      <c r="AO34" s="393" t="s">
        <v>4</v>
      </c>
      <c r="AP34" s="393" t="s">
        <v>156</v>
      </c>
    </row>
    <row r="35" spans="1:46">
      <c r="L35" s="355"/>
      <c r="N35" s="448" t="s">
        <v>147</v>
      </c>
      <c r="O35" s="450">
        <f>$O$25</f>
        <v>0.0416</v>
      </c>
      <c r="P35" s="450">
        <f>$O$25</f>
        <v>0.0416</v>
      </c>
      <c r="Q35" s="450">
        <f>$O$25</f>
        <v>0.0416</v>
      </c>
      <c r="U35" s="39"/>
      <c r="AN35" s="394" t="s">
        <v>173</v>
      </c>
      <c r="AO35" s="396">
        <f>$AO$22*$AO$16+$AO$32*$AO$15</f>
        <v>3.3246728959953</v>
      </c>
      <c r="AP35" s="48">
        <f>(1+$AO$35)*(1+$J$7)-1</f>
        <v>3.3955975314896</v>
      </c>
    </row>
    <row r="36" spans="1:46">
      <c r="A36" s="38" t="s">
        <v>115</v>
      </c>
      <c r="B36" s="39" t="s">
        <v>174</v>
      </c>
      <c r="I36" s="423" t="s">
        <v>4</v>
      </c>
      <c r="J36" s="423" t="s">
        <v>156</v>
      </c>
      <c r="M36" s="49"/>
      <c r="N36" s="448" t="s">
        <v>149</v>
      </c>
      <c r="O36" s="450">
        <f>I21*C9</f>
        <v>0.080320123758769</v>
      </c>
      <c r="P36" s="452"/>
      <c r="Q36" s="452"/>
      <c r="AN36" s="42"/>
      <c r="AO36" s="42"/>
      <c r="AP36" s="42"/>
    </row>
    <row r="37" spans="1:46" customHeight="1" ht="24.75">
      <c r="B37" s="415" t="s">
        <v>173</v>
      </c>
      <c r="C37" s="46">
        <f>$C$24*$C$18+$C$34*$C$17</f>
        <v>0.074644420396922</v>
      </c>
      <c r="E37" s="415" t="s">
        <v>173</v>
      </c>
      <c r="F37" s="46">
        <f>$F$24*$F$18+$F$34*$F$17</f>
        <v>0.090503457012428</v>
      </c>
      <c r="H37" s="415" t="s">
        <v>173</v>
      </c>
      <c r="I37" s="48">
        <f>ROUND($I$24*$I$18+$I$34*$I$17,4)</f>
        <v>0.091</v>
      </c>
      <c r="J37" s="48">
        <f>ROUND((1+$I$37)*(1+$J$7)-1,4)</f>
        <v>0.1089</v>
      </c>
      <c r="M37" s="52"/>
      <c r="N37" s="448" t="s">
        <v>151</v>
      </c>
      <c r="O37" s="452"/>
      <c r="P37" s="450">
        <f>C27*C9</f>
        <v>0.037768475466239</v>
      </c>
      <c r="Q37" s="452"/>
      <c r="AN37" s="42"/>
      <c r="AO37" s="42"/>
      <c r="AP37" s="42"/>
    </row>
    <row r="38" spans="1:46">
      <c r="L38" s="358"/>
      <c r="M38" s="50"/>
      <c r="N38" s="448" t="s">
        <v>153</v>
      </c>
      <c r="O38" s="452"/>
      <c r="P38" s="452"/>
      <c r="Q38" s="450">
        <f>$C$32</f>
        <v>0.02</v>
      </c>
      <c r="U38" s="49"/>
      <c r="AN38" s="395" t="s">
        <v>175</v>
      </c>
      <c r="AO38" s="403">
        <f>IF('EE.FF Económicos'!$D$54="Soles",AP35,AO35)</f>
        <v>3.3955975314896</v>
      </c>
      <c r="AP38" s="42"/>
    </row>
    <row r="39" spans="1:46">
      <c r="A39" s="38" t="s">
        <v>176</v>
      </c>
      <c r="B39" s="39" t="s">
        <v>177</v>
      </c>
      <c r="M39" s="52"/>
      <c r="N39" s="448" t="s">
        <v>131</v>
      </c>
      <c r="O39" s="450">
        <f>$F$9</f>
        <v>0.015438095238095</v>
      </c>
      <c r="P39" s="450">
        <f>$F$9</f>
        <v>0.015438095238095</v>
      </c>
      <c r="Q39" s="450">
        <f>$F$9</f>
        <v>0.015438095238095</v>
      </c>
      <c r="AP39" s="42"/>
    </row>
    <row r="40" spans="1:46" customHeight="1" ht="15">
      <c r="B40" s="415" t="s">
        <v>178</v>
      </c>
      <c r="C40" s="46">
        <f>C24-C10</f>
        <v>0.049718340279219</v>
      </c>
      <c r="E40" s="415" t="s">
        <v>178</v>
      </c>
      <c r="F40" s="46">
        <f>F24-C10-F9</f>
        <v>0.049747580672334</v>
      </c>
      <c r="H40" s="415" t="s">
        <v>178</v>
      </c>
      <c r="I40" s="48">
        <f>ROUND(I24-C10-F9-I10,4)</f>
        <v>0.0803</v>
      </c>
      <c r="L40" s="358"/>
      <c r="M40" s="50"/>
      <c r="N40" s="448" t="s">
        <v>133</v>
      </c>
      <c r="O40" s="450">
        <f>$I$10</f>
        <v>0.005861904761905</v>
      </c>
      <c r="P40" s="450">
        <f>$I$10</f>
        <v>0.005861904761905</v>
      </c>
      <c r="Q40" s="450">
        <f>$I$10</f>
        <v>0.005861904761905</v>
      </c>
      <c r="U40" s="49"/>
      <c r="AN40" s="50"/>
      <c r="AO40" s="50"/>
      <c r="AP40" s="50"/>
    </row>
    <row r="41" spans="1:46" customHeight="1" ht="15">
      <c r="B41" s="415" t="s">
        <v>179</v>
      </c>
      <c r="C41" s="46">
        <f>C28-C10</f>
        <v>0.037768475466239</v>
      </c>
      <c r="E41" s="415" t="s">
        <v>179</v>
      </c>
      <c r="F41" s="46">
        <f>F28-C10-F9</f>
        <v>0.037768475466239</v>
      </c>
      <c r="H41" s="415" t="s">
        <v>179</v>
      </c>
      <c r="I41" s="48">
        <f>ROUND(I28-C10-F9-I10,4)</f>
        <v>0.0378</v>
      </c>
      <c r="M41" s="52"/>
      <c r="O41" s="22">
        <f>SUM(O35:O40)</f>
        <v>0.14322012375877</v>
      </c>
      <c r="P41" s="22">
        <f>SUM(P35:P40)</f>
        <v>0.10066847546624</v>
      </c>
      <c r="Q41" s="22">
        <f>SUM(Q35:Q40)</f>
        <v>0.0829</v>
      </c>
      <c r="AN41" s="39"/>
      <c r="AO41" s="39"/>
    </row>
    <row r="42" spans="1:46">
      <c r="L42" s="358"/>
      <c r="M42" s="50"/>
      <c r="Q42" s="456">
        <f>Q41*(1-I20)</f>
        <v>0.0584445</v>
      </c>
      <c r="U42" s="49"/>
      <c r="AN42" s="39"/>
      <c r="AO42" s="39"/>
    </row>
    <row r="43" spans="1:46">
      <c r="AN43" s="39"/>
      <c r="AO43" s="39"/>
    </row>
    <row r="44" spans="1:46">
      <c r="H44" s="424" t="s">
        <v>175</v>
      </c>
      <c r="I44" s="46">
        <f>ROUND(IF('Plantilla Usuario'!C4="Soles",J37,I37),4)</f>
        <v>0.091</v>
      </c>
      <c r="AN44" s="39"/>
      <c r="AO44" s="39"/>
    </row>
    <row r="45" spans="1:46">
      <c r="AN45" s="390" t="s">
        <v>180</v>
      </c>
      <c r="AO45" s="39"/>
    </row>
    <row r="46" spans="1:46">
      <c r="N46" s="444" t="s">
        <v>181</v>
      </c>
      <c r="AN46" s="39"/>
      <c r="AO46" s="39"/>
    </row>
    <row r="47" spans="1:46">
      <c r="B47" s="42" t="s">
        <v>182</v>
      </c>
      <c r="J47" s="42" t="s">
        <v>183</v>
      </c>
      <c r="AN47" s="391" t="s">
        <v>148</v>
      </c>
      <c r="AO47" s="122">
        <f>('EE.FF Económicos'!$H$17+'EE.FF Económicos'!$H$21)/('EE.FF Económicos'!$H$17+'EE.FF Económicos'!$H$21+'M. Integrado'!L39)</f>
        <v>-43.54309003031</v>
      </c>
      <c r="AP47" s="42"/>
    </row>
    <row r="48" spans="1:46">
      <c r="AN48" s="391" t="s">
        <v>150</v>
      </c>
      <c r="AO48" s="122">
        <f>1-AO47</f>
        <v>44.54309003031</v>
      </c>
      <c r="AP48" s="42"/>
    </row>
    <row r="49" spans="1:46">
      <c r="B49" s="496" t="s">
        <v>60</v>
      </c>
      <c r="C49" s="496" t="s">
        <v>61</v>
      </c>
      <c r="D49" s="496" t="s">
        <v>62</v>
      </c>
      <c r="E49" s="496" t="s">
        <v>63</v>
      </c>
      <c r="F49" s="496" t="s">
        <v>184</v>
      </c>
      <c r="H49" s="498"/>
      <c r="I49" s="498"/>
      <c r="J49" s="563" t="s">
        <v>60</v>
      </c>
      <c r="K49" s="564" t="s">
        <v>61</v>
      </c>
      <c r="L49" s="356"/>
      <c r="M49" s="42"/>
      <c r="O49" s="356"/>
      <c r="P49" s="39"/>
      <c r="Q49" s="771" t="s">
        <v>125</v>
      </c>
      <c r="R49" s="771"/>
      <c r="S49" s="771"/>
      <c r="T49" s="771"/>
      <c r="U49" s="771"/>
      <c r="V49" s="771"/>
      <c r="W49" s="771"/>
      <c r="X49" s="42"/>
      <c r="Y49" s="772" t="s">
        <v>128</v>
      </c>
      <c r="Z49" s="772"/>
      <c r="AA49" s="772"/>
      <c r="AB49" s="772"/>
      <c r="AC49" s="772"/>
      <c r="AD49" s="772"/>
      <c r="AE49" s="772"/>
      <c r="AF49" s="488"/>
      <c r="AH49" s="761" t="s">
        <v>185</v>
      </c>
      <c r="AI49" s="761"/>
      <c r="AJ49" s="761"/>
      <c r="AK49" s="761"/>
      <c r="AL49" s="761"/>
      <c r="AM49" s="761"/>
      <c r="AN49" s="761"/>
      <c r="AQ49" s="392" t="s">
        <v>152</v>
      </c>
      <c r="AR49" s="123">
        <f>AO47/AO48</f>
        <v>-0.97754982873169</v>
      </c>
      <c r="AS49" s="42"/>
    </row>
    <row r="50" spans="1:46">
      <c r="B50" s="559"/>
      <c r="C50" s="559" t="s">
        <v>125</v>
      </c>
      <c r="D50" s="560" t="s">
        <v>128</v>
      </c>
      <c r="E50" s="560" t="s">
        <v>186</v>
      </c>
      <c r="F50" s="560" t="s">
        <v>187</v>
      </c>
      <c r="H50" s="497"/>
      <c r="I50" s="497"/>
      <c r="J50" s="565" t="s">
        <v>0</v>
      </c>
      <c r="K50" s="566">
        <f>F3</f>
        <v>45838</v>
      </c>
      <c r="L50" s="356"/>
      <c r="M50" s="42"/>
      <c r="O50" s="356"/>
      <c r="P50" s="39"/>
      <c r="U50" s="42"/>
      <c r="V50" s="39"/>
      <c r="X50" s="42"/>
      <c r="Y50" s="39"/>
      <c r="AF50" s="488"/>
      <c r="AH50" s="462"/>
      <c r="AI50" s="92"/>
      <c r="AJ50" s="92"/>
      <c r="AK50" s="92"/>
      <c r="AL50" s="92"/>
      <c r="AM50" s="92"/>
      <c r="AN50" s="92"/>
      <c r="AQ50" s="391" t="s">
        <v>154</v>
      </c>
      <c r="AR50" s="122">
        <f>AO18</f>
        <v>0.295</v>
      </c>
      <c r="AS50" s="42"/>
    </row>
    <row r="51" spans="1:46">
      <c r="B51" s="561" t="s">
        <v>141</v>
      </c>
      <c r="C51" s="579">
        <f>C24</f>
        <v>0.091318340279219</v>
      </c>
      <c r="D51" s="579">
        <f>F24</f>
        <v>0.10678567591043</v>
      </c>
      <c r="E51" s="579">
        <f>I24</f>
        <v>0.1432</v>
      </c>
      <c r="F51" s="579">
        <f>J24</f>
        <v>0.1619</v>
      </c>
      <c r="H51" s="497"/>
      <c r="I51" s="497"/>
      <c r="J51" s="567" t="s">
        <v>188</v>
      </c>
      <c r="K51" s="568" t="str">
        <f>C13</f>
        <v>Publicidad</v>
      </c>
      <c r="L51" s="356"/>
      <c r="M51" s="42"/>
      <c r="O51" s="356"/>
      <c r="P51" s="39"/>
      <c r="Q51" s="460" t="s">
        <v>189</v>
      </c>
      <c r="R51" s="461">
        <f>W55/5</f>
        <v>0.10372</v>
      </c>
      <c r="S51" s="92"/>
      <c r="T51" s="462"/>
      <c r="U51" s="92"/>
      <c r="V51" s="92"/>
      <c r="W51" s="92"/>
      <c r="X51" s="42"/>
      <c r="Y51" s="460" t="s">
        <v>189</v>
      </c>
      <c r="Z51" s="461">
        <f>AE55/5</f>
        <v>0.089977889657708</v>
      </c>
      <c r="AA51" s="92"/>
      <c r="AB51" s="462"/>
      <c r="AC51" s="92"/>
      <c r="AD51" s="92"/>
      <c r="AE51" s="92"/>
      <c r="AF51" s="489"/>
      <c r="AH51" s="460" t="s">
        <v>189</v>
      </c>
      <c r="AI51" s="461">
        <f>AN55/5</f>
        <v>0.31961548454144</v>
      </c>
      <c r="AJ51" s="92"/>
      <c r="AK51" s="462"/>
      <c r="AL51" s="92"/>
      <c r="AM51" s="92"/>
      <c r="AN51" s="92"/>
      <c r="AQ51" s="392" t="s">
        <v>155</v>
      </c>
      <c r="AR51" s="124">
        <f>$C$27*(1+(1-$AR$50)*$AR$49)</f>
        <v>0.17685360008666</v>
      </c>
      <c r="AS51" s="42"/>
    </row>
    <row r="52" spans="1:46">
      <c r="B52" s="561" t="s">
        <v>142</v>
      </c>
      <c r="C52" s="579">
        <f>C28</f>
        <v>0.079368475466239</v>
      </c>
      <c r="D52" s="579">
        <f>F28</f>
        <v>0.094806570704334</v>
      </c>
      <c r="E52" s="579">
        <f>I28</f>
        <v>0.1007</v>
      </c>
      <c r="F52" s="579">
        <f>J28</f>
        <v>0.1188</v>
      </c>
      <c r="H52" s="497"/>
      <c r="I52" s="497"/>
      <c r="J52" s="565" t="s">
        <v>190</v>
      </c>
      <c r="K52" s="569" t="str">
        <f>C3</f>
        <v>Bono EE.UU</v>
      </c>
      <c r="L52" s="356"/>
      <c r="M52" s="42"/>
      <c r="O52" s="356"/>
      <c r="P52" s="39"/>
      <c r="Q52" s="462"/>
      <c r="R52" s="92"/>
      <c r="S52" s="463"/>
      <c r="T52" s="92"/>
      <c r="U52" s="92"/>
      <c r="V52" s="92"/>
      <c r="W52" s="92"/>
      <c r="X52" s="42"/>
      <c r="Y52" s="462"/>
      <c r="Z52" s="92"/>
      <c r="AA52" s="463"/>
      <c r="AB52" s="92"/>
      <c r="AC52" s="92"/>
      <c r="AD52" s="92"/>
      <c r="AE52" s="92"/>
      <c r="AF52" s="489"/>
      <c r="AH52" s="462"/>
      <c r="AI52" s="92"/>
      <c r="AJ52" s="463"/>
      <c r="AK52" s="92"/>
      <c r="AL52" s="92"/>
      <c r="AM52" s="92"/>
      <c r="AN52" s="92"/>
      <c r="AQ52" s="42"/>
      <c r="AR52" s="42"/>
      <c r="AS52" s="42"/>
    </row>
    <row r="53" spans="1:46">
      <c r="B53" s="561" t="s">
        <v>143</v>
      </c>
      <c r="C53" s="579">
        <f>C33</f>
        <v>0.0616</v>
      </c>
      <c r="D53" s="579">
        <f>F33</f>
        <v>0.077038095238095</v>
      </c>
      <c r="E53" s="579">
        <f>I33</f>
        <v>0.0829</v>
      </c>
      <c r="F53" s="579">
        <f>J33</f>
        <v>0.1007</v>
      </c>
      <c r="H53" s="497"/>
      <c r="I53" s="497"/>
      <c r="J53" s="567" t="s">
        <v>191</v>
      </c>
      <c r="K53" s="570">
        <f>C6</f>
        <v>1</v>
      </c>
      <c r="L53" s="356"/>
      <c r="M53" s="42"/>
      <c r="O53" s="356"/>
      <c r="P53" s="39"/>
      <c r="Q53" s="464" t="s">
        <v>192</v>
      </c>
      <c r="R53" s="465">
        <v>0</v>
      </c>
      <c r="S53" s="447">
        <f>S55/(1+S55)</f>
        <v>0.093973109121879</v>
      </c>
      <c r="T53" s="447">
        <f>T55/(1+T55)</f>
        <v>0.17180149738289</v>
      </c>
      <c r="U53" s="447">
        <f>U55/(1+U55)</f>
        <v>0.2373165746362</v>
      </c>
      <c r="V53" s="447">
        <f>V55/(1+V55)</f>
        <v>0.29322628067398</v>
      </c>
      <c r="W53" s="447">
        <f>W55/(1+W55)</f>
        <v>0.34149874884762</v>
      </c>
      <c r="X53" s="42"/>
      <c r="Y53" s="464" t="s">
        <v>192</v>
      </c>
      <c r="Z53" s="465">
        <v>0</v>
      </c>
      <c r="AA53" s="447">
        <f>AA55/(1+AA55)</f>
        <v>0.082550197129195</v>
      </c>
      <c r="AB53" s="447">
        <f>AB55/(1+AB55)</f>
        <v>0.15251061308401</v>
      </c>
      <c r="AC53" s="447">
        <f>AC55/(1+AC55)</f>
        <v>0.21255729772988</v>
      </c>
      <c r="AD53" s="447">
        <f>AD55/(1+AD55)</f>
        <v>0.26465806275902</v>
      </c>
      <c r="AE53" s="447">
        <f>AE55/(1+AE55)</f>
        <v>0.31029224250138</v>
      </c>
      <c r="AF53" s="490"/>
      <c r="AH53" s="464" t="s">
        <v>192</v>
      </c>
      <c r="AI53" s="465">
        <v>0</v>
      </c>
      <c r="AJ53" s="447">
        <f>AJ55/(1+AJ55)</f>
        <v>0.24220349661364</v>
      </c>
      <c r="AK53" s="447">
        <f>AK55/(1+AK55)</f>
        <v>0.38995784068216</v>
      </c>
      <c r="AL53" s="447">
        <f>AL55/(1+AL55)</f>
        <v>0.48949546395034</v>
      </c>
      <c r="AM53" s="447">
        <f>AM55/(1+AM55)</f>
        <v>0.56110743688568</v>
      </c>
      <c r="AN53" s="447">
        <f>AN55/(1+AN55)</f>
        <v>0.6151</v>
      </c>
      <c r="AQ53" s="42"/>
      <c r="AR53" s="393" t="s">
        <v>4</v>
      </c>
      <c r="AS53" s="393" t="s">
        <v>156</v>
      </c>
    </row>
    <row r="54" spans="1:46">
      <c r="B54" s="561" t="s">
        <v>175</v>
      </c>
      <c r="C54" s="579">
        <f>C37</f>
        <v>0.074644420396922</v>
      </c>
      <c r="D54" s="579">
        <f>F37</f>
        <v>0.090503457012428</v>
      </c>
      <c r="E54" s="579">
        <f>I37</f>
        <v>0.091</v>
      </c>
      <c r="F54" s="579">
        <f>J37</f>
        <v>0.1089</v>
      </c>
      <c r="H54" s="497"/>
      <c r="I54" s="497"/>
      <c r="J54" s="565" t="s">
        <v>193</v>
      </c>
      <c r="K54" s="569" t="str">
        <f>F6</f>
        <v>Peru</v>
      </c>
      <c r="L54" s="356"/>
      <c r="M54" s="42"/>
      <c r="O54" s="356"/>
      <c r="P54" s="39"/>
      <c r="Q54" s="466" t="s">
        <v>194</v>
      </c>
      <c r="R54" s="467">
        <v>1</v>
      </c>
      <c r="S54" s="467">
        <f>1-S53</f>
        <v>0.90602689087812</v>
      </c>
      <c r="T54" s="467">
        <f>1-T53</f>
        <v>0.82819850261711</v>
      </c>
      <c r="U54" s="467">
        <f>1-U53</f>
        <v>0.7626834253638</v>
      </c>
      <c r="V54" s="467">
        <f>1-V53</f>
        <v>0.70677371932602</v>
      </c>
      <c r="W54" s="467">
        <f>1-W53</f>
        <v>0.65850125115238</v>
      </c>
      <c r="X54" s="42"/>
      <c r="Y54" s="466" t="s">
        <v>194</v>
      </c>
      <c r="Z54" s="467">
        <v>1</v>
      </c>
      <c r="AA54" s="467">
        <f>1-AA53</f>
        <v>0.9174498028708</v>
      </c>
      <c r="AB54" s="467">
        <f>1-AB53</f>
        <v>0.84748938691599</v>
      </c>
      <c r="AC54" s="467">
        <f>1-AC53</f>
        <v>0.78744270227012</v>
      </c>
      <c r="AD54" s="467">
        <f>1-AD53</f>
        <v>0.73534193724098</v>
      </c>
      <c r="AE54" s="467">
        <f>1-AE53</f>
        <v>0.68970775749862</v>
      </c>
      <c r="AF54" s="490"/>
      <c r="AH54" s="491" t="s">
        <v>194</v>
      </c>
      <c r="AI54" s="465">
        <v>1</v>
      </c>
      <c r="AJ54" s="447">
        <f>1-AJ53</f>
        <v>0.75779650338636</v>
      </c>
      <c r="AK54" s="447">
        <f>1-AK53</f>
        <v>0.61004215931784</v>
      </c>
      <c r="AL54" s="447">
        <f>1-AL53</f>
        <v>0.51050453604966</v>
      </c>
      <c r="AM54" s="447">
        <f>1-AM53</f>
        <v>0.43889256311432</v>
      </c>
      <c r="AN54" s="447">
        <f>1-AN53</f>
        <v>0.3849</v>
      </c>
      <c r="AQ54" s="392" t="s">
        <v>157</v>
      </c>
      <c r="AR54" s="48">
        <f>$C$10+$AR$51*$C$9+$F$9+$I$10</f>
        <v>0.074639475926186</v>
      </c>
      <c r="AS54" s="48">
        <f>(1+$AR$54)*(1+$J$7)-1</f>
        <v>0.092263563331376</v>
      </c>
    </row>
    <row r="55" spans="1:46">
      <c r="B55" s="562" t="s">
        <v>195</v>
      </c>
      <c r="C55" s="579">
        <f>C34</f>
        <v>0.03758216</v>
      </c>
      <c r="D55" s="579">
        <f>F34</f>
        <v>0.054311857142857</v>
      </c>
      <c r="E55" s="579">
        <f>I34</f>
        <v>0.0584</v>
      </c>
      <c r="F55" s="579">
        <f>J34</f>
        <v>0.071</v>
      </c>
      <c r="H55" s="497"/>
      <c r="I55" s="497"/>
      <c r="J55" s="567" t="s">
        <v>196</v>
      </c>
      <c r="K55" s="571">
        <f>F7</f>
        <v>0.0164</v>
      </c>
      <c r="L55" s="356"/>
      <c r="M55" s="42"/>
      <c r="O55" s="356"/>
      <c r="P55" s="39"/>
      <c r="Q55" s="468" t="s">
        <v>152</v>
      </c>
      <c r="R55" s="469">
        <f>S55-$R$51</f>
        <v>2.7755575615629E-17</v>
      </c>
      <c r="S55" s="469">
        <f>T55-$R$51</f>
        <v>0.10372</v>
      </c>
      <c r="T55" s="469">
        <f>U55-$R$51</f>
        <v>0.20744</v>
      </c>
      <c r="U55" s="469">
        <f>V55-$R$51</f>
        <v>0.31116</v>
      </c>
      <c r="V55" s="469">
        <f>W55-$R$51</f>
        <v>0.41488</v>
      </c>
      <c r="W55" s="469">
        <f>C19</f>
        <v>0.5186</v>
      </c>
      <c r="X55" s="42"/>
      <c r="Y55" s="468" t="s">
        <v>152</v>
      </c>
      <c r="Z55" s="469">
        <f>AA55-$Z$51</f>
        <v>-2.7755575615629E-17</v>
      </c>
      <c r="AA55" s="469">
        <f>AB55-$Z$51</f>
        <v>0.089977889657708</v>
      </c>
      <c r="AB55" s="469">
        <f>AC55-$Z$51</f>
        <v>0.17995577931542</v>
      </c>
      <c r="AC55" s="469">
        <f>AD55-$Z$51</f>
        <v>0.26993366897312</v>
      </c>
      <c r="AD55" s="469">
        <f>AE55-$Z$51</f>
        <v>0.35991155863083</v>
      </c>
      <c r="AE55" s="469">
        <f>F19</f>
        <v>0.44988944828854</v>
      </c>
      <c r="AF55" s="492"/>
      <c r="AH55" s="468" t="s">
        <v>152</v>
      </c>
      <c r="AI55" s="469">
        <f>AJ55-$AI$51</f>
        <v>0</v>
      </c>
      <c r="AJ55" s="469">
        <f>AK55-$AI$51</f>
        <v>0.31961548454144</v>
      </c>
      <c r="AK55" s="469">
        <f>AL55-$AI$51</f>
        <v>0.63923096908288</v>
      </c>
      <c r="AL55" s="469">
        <f>AM55-$AI$51</f>
        <v>0.95884645362432</v>
      </c>
      <c r="AM55" s="469">
        <f>AN55-$AI$51</f>
        <v>1.2784619381658</v>
      </c>
      <c r="AN55" s="469">
        <f>I19</f>
        <v>1.5980774227072</v>
      </c>
      <c r="AQ55" s="42"/>
      <c r="AR55" s="42"/>
      <c r="AS55" s="53"/>
    </row>
    <row r="56" spans="1:46">
      <c r="B56" s="575"/>
      <c r="C56" s="576"/>
      <c r="D56" s="576"/>
      <c r="E56" s="576"/>
      <c r="F56" s="576"/>
      <c r="H56" s="497"/>
      <c r="I56" s="497"/>
      <c r="J56" s="565" t="s">
        <v>197</v>
      </c>
      <c r="K56" s="572">
        <f>F20</f>
        <v>0.295</v>
      </c>
      <c r="L56" s="356"/>
      <c r="M56" s="42"/>
      <c r="O56" s="356"/>
      <c r="P56" s="39"/>
      <c r="Q56" s="464" t="s">
        <v>198</v>
      </c>
      <c r="R56" s="461">
        <f>$C$27*(1+(1-$I$20)*R$55)</f>
        <v>0.56897692009314</v>
      </c>
      <c r="S56" s="461">
        <f>$C$27*(1+(1-$I$20)*S$55)</f>
        <v>0.61058199183034</v>
      </c>
      <c r="T56" s="461">
        <f>$C$27*(1+(1-$I$20)*T$55)</f>
        <v>0.65218706356754</v>
      </c>
      <c r="U56" s="461">
        <f>$C$27*(1+(1-$I$20)*U$55)</f>
        <v>0.69379213530475</v>
      </c>
      <c r="V56" s="461">
        <f>$C$27*(1+(1-$I$20)*V$55)</f>
        <v>0.73539720704195</v>
      </c>
      <c r="W56" s="461">
        <f>$C$27*(1+(1-$C$20)*W$55)</f>
        <v>0.749</v>
      </c>
      <c r="X56" s="42"/>
      <c r="Y56" s="464" t="s">
        <v>198</v>
      </c>
      <c r="Z56" s="461">
        <f>$C$27*(1+(1-$F$20)*Z$55)</f>
        <v>0.56897692009314</v>
      </c>
      <c r="AA56" s="461">
        <f>$C$27*(1+(1-$F$20)*AA$55)</f>
        <v>0.60506963657956</v>
      </c>
      <c r="AB56" s="461">
        <f>$C$27*(1+(1-$F$20)*AB$55)</f>
        <v>0.64116235306597</v>
      </c>
      <c r="AC56" s="461">
        <f>$C$27*(1+(1-$F$20)*AC$55)</f>
        <v>0.67725506955239</v>
      </c>
      <c r="AD56" s="461">
        <f>$C$27*(1+(1-$F$20)*AD$55)</f>
        <v>0.7133477860388</v>
      </c>
      <c r="AE56" s="461">
        <f>$C$27*(1+(1-$F$20)*AE$55)</f>
        <v>0.74944050252522</v>
      </c>
      <c r="AF56" s="493"/>
      <c r="AH56" s="464" t="s">
        <v>198</v>
      </c>
      <c r="AI56" s="461">
        <f>$C$27*(1+(1-$I$20)*AI$55)</f>
        <v>0.56897692009314</v>
      </c>
      <c r="AJ56" s="461">
        <f>$C$27*(1+(1-$I$20)*AJ$55)</f>
        <v>0.69718387306911</v>
      </c>
      <c r="AK56" s="461">
        <f>$C$27*(1+(1-$I$20)*AK$55)</f>
        <v>0.82539082604507</v>
      </c>
      <c r="AL56" s="461">
        <f>$C$27*(1+(1-$I$20)*AL$55)</f>
        <v>0.95359777902104</v>
      </c>
      <c r="AM56" s="461">
        <f>$C$27*(1+(1-$I$20)*AM$55)</f>
        <v>1.081804731997</v>
      </c>
      <c r="AN56" s="461">
        <f>$C$27*(1+(1-$I$20)*AN$55)</f>
        <v>1.210011684973</v>
      </c>
      <c r="AQ56" s="42"/>
      <c r="AR56" s="42"/>
      <c r="AS56" s="42"/>
    </row>
    <row r="57" spans="1:46">
      <c r="B57" s="562"/>
      <c r="C57" s="578" t="s">
        <v>128</v>
      </c>
      <c r="D57" s="578" t="s">
        <v>129</v>
      </c>
      <c r="E57" s="576"/>
      <c r="F57" s="576"/>
      <c r="H57" s="497"/>
      <c r="I57" s="497"/>
      <c r="J57" s="567" t="s">
        <v>3</v>
      </c>
      <c r="K57" s="568" t="str">
        <f>J3</f>
        <v>Dólares</v>
      </c>
      <c r="L57" s="356"/>
      <c r="M57" s="42"/>
      <c r="O57" s="356"/>
      <c r="P57" s="39"/>
      <c r="Q57" s="470" t="s">
        <v>141</v>
      </c>
      <c r="R57" s="471">
        <f>$C$10+R$56*$C$9</f>
        <v>0.079368475466239</v>
      </c>
      <c r="S57" s="471">
        <f>$C$10+S$56*$C$9</f>
        <v>0.082130204590367</v>
      </c>
      <c r="T57" s="471">
        <f>$C$10+T$56*$C$9</f>
        <v>0.084891933714494</v>
      </c>
      <c r="U57" s="471">
        <f>$C$10+U$56*$C$9</f>
        <v>0.087653662838622</v>
      </c>
      <c r="V57" s="471">
        <f>$C$10+V$56*$C$9</f>
        <v>0.090415391962749</v>
      </c>
      <c r="W57" s="471">
        <f>$C$10+W$56*$C$9</f>
        <v>0.091318340279219</v>
      </c>
      <c r="X57" s="42"/>
      <c r="Y57" s="470" t="s">
        <v>141</v>
      </c>
      <c r="Z57" s="471">
        <f>$C$10+Z$56*$C$9+$F$9</f>
        <v>0.094806570704334</v>
      </c>
      <c r="AA57" s="471">
        <f>$C$10+AA$56*$C$9+$F$9</f>
        <v>0.097202391745553</v>
      </c>
      <c r="AB57" s="471">
        <f>$C$10+AB$56*$C$9+$F$9</f>
        <v>0.099598212786772</v>
      </c>
      <c r="AC57" s="471">
        <f>$C$10+AC$56*$C$9+$F$9</f>
        <v>0.10199403382799</v>
      </c>
      <c r="AD57" s="471">
        <f>$C$10+AD$56*$C$9+$F$9</f>
        <v>0.10438985486921</v>
      </c>
      <c r="AE57" s="471">
        <f>$C$10+AE$56*$C$9+$F$9</f>
        <v>0.10678567591043</v>
      </c>
      <c r="AF57" s="490"/>
      <c r="AH57" s="470" t="s">
        <v>141</v>
      </c>
      <c r="AI57" s="471">
        <f>$C$10+AI$56*$C$9+$F$9+$I$10</f>
        <v>0.10066847546624</v>
      </c>
      <c r="AJ57" s="471">
        <f>$C$10+AJ$56*$C$9+$F$9+$I$10</f>
        <v>0.10917880512475</v>
      </c>
      <c r="AK57" s="471">
        <f>$C$10+AK$56*$C$9+$F$9+$I$10</f>
        <v>0.11768913478325</v>
      </c>
      <c r="AL57" s="471">
        <f>$C$10+AL$56*$C$9+$F$9+$I$10</f>
        <v>0.12619946444176</v>
      </c>
      <c r="AM57" s="471">
        <f>$C$10+AM$56*$C$9+$F$9+$I$10</f>
        <v>0.13470979410026</v>
      </c>
      <c r="AN57" s="471">
        <f>$C$10+AN$56*$C$9+$F$9+$I$10</f>
        <v>0.14322012375877</v>
      </c>
      <c r="AQ57" s="42"/>
      <c r="AR57" s="393" t="s">
        <v>4</v>
      </c>
      <c r="AS57" s="393" t="s">
        <v>156</v>
      </c>
    </row>
    <row r="58" spans="1:46">
      <c r="B58" s="562" t="s">
        <v>199</v>
      </c>
      <c r="C58" s="579">
        <f>F19</f>
        <v>0.44988944828854</v>
      </c>
      <c r="D58" s="579">
        <f>I19</f>
        <v>1.5980774227072</v>
      </c>
      <c r="E58" s="576"/>
      <c r="F58" s="576"/>
      <c r="H58" s="497"/>
      <c r="I58" s="497"/>
      <c r="J58" s="565" t="s">
        <v>200</v>
      </c>
      <c r="K58" s="572">
        <f>I3</f>
        <v>0.0829</v>
      </c>
      <c r="L58" s="356"/>
      <c r="M58" s="42"/>
      <c r="O58" s="356"/>
      <c r="P58" s="39"/>
      <c r="Q58" s="472" t="s">
        <v>142</v>
      </c>
      <c r="R58" s="471">
        <f>$C$28</f>
        <v>0.079368475466239</v>
      </c>
      <c r="S58" s="471">
        <f>$C$28</f>
        <v>0.079368475466239</v>
      </c>
      <c r="T58" s="471">
        <f>$C$28</f>
        <v>0.079368475466239</v>
      </c>
      <c r="U58" s="471">
        <f>$C$28</f>
        <v>0.079368475466239</v>
      </c>
      <c r="V58" s="471">
        <f>$C$28</f>
        <v>0.079368475466239</v>
      </c>
      <c r="W58" s="471">
        <f>$C$28</f>
        <v>0.079368475466239</v>
      </c>
      <c r="X58" s="42"/>
      <c r="Y58" s="472" t="s">
        <v>142</v>
      </c>
      <c r="Z58" s="471">
        <f>$C$28+$F$9</f>
        <v>0.094806570704334</v>
      </c>
      <c r="AA58" s="471">
        <f>$C$28+$F$9</f>
        <v>0.094806570704334</v>
      </c>
      <c r="AB58" s="471">
        <f>$C$28+$F$9</f>
        <v>0.094806570704334</v>
      </c>
      <c r="AC58" s="471">
        <f>$C$28+$F$9</f>
        <v>0.094806570704334</v>
      </c>
      <c r="AD58" s="471">
        <f>$C$28+$F$9</f>
        <v>0.094806570704334</v>
      </c>
      <c r="AE58" s="471">
        <f>$C$28+$F$9</f>
        <v>0.094806570704334</v>
      </c>
      <c r="AF58" s="494"/>
      <c r="AH58" s="472" t="s">
        <v>142</v>
      </c>
      <c r="AI58" s="471">
        <f>$F$28+$I$10</f>
        <v>0.10066847546624</v>
      </c>
      <c r="AJ58" s="471">
        <f>$F$28+$I$10</f>
        <v>0.10066847546624</v>
      </c>
      <c r="AK58" s="471">
        <f>$F$28+$I$10</f>
        <v>0.10066847546624</v>
      </c>
      <c r="AL58" s="471">
        <f>$F$28+$I$10</f>
        <v>0.10066847546624</v>
      </c>
      <c r="AM58" s="471">
        <f>$F$28+$I$10</f>
        <v>0.10066847546624</v>
      </c>
      <c r="AN58" s="471">
        <f>$F$28+$I$10</f>
        <v>0.10066847546624</v>
      </c>
      <c r="AQ58" s="392" t="s">
        <v>164</v>
      </c>
      <c r="AR58" s="48">
        <f>$F$28+$I$10</f>
        <v>0.10066847546624</v>
      </c>
      <c r="AS58" s="48">
        <f>(1+$AR$58)*(1+$J$7)-1</f>
        <v>0.11871943846389</v>
      </c>
    </row>
    <row r="59" spans="1:46">
      <c r="B59" s="562" t="s">
        <v>175</v>
      </c>
      <c r="C59" s="560"/>
      <c r="D59" s="579">
        <f>I44</f>
        <v>0.091</v>
      </c>
      <c r="E59" s="576"/>
      <c r="F59" s="576"/>
      <c r="H59" s="497"/>
      <c r="I59" s="497"/>
      <c r="J59" s="567" t="s">
        <v>201</v>
      </c>
      <c r="K59" s="571">
        <f>I17</f>
        <v>0.6151</v>
      </c>
      <c r="L59" s="356"/>
      <c r="M59" s="42"/>
      <c r="O59" s="356"/>
      <c r="P59" s="39"/>
      <c r="Q59" s="470" t="s">
        <v>143</v>
      </c>
      <c r="R59" s="471">
        <f>$C$33</f>
        <v>0.0616</v>
      </c>
      <c r="S59" s="471">
        <f>$C$33</f>
        <v>0.0616</v>
      </c>
      <c r="T59" s="471">
        <f>$C$33</f>
        <v>0.0616</v>
      </c>
      <c r="U59" s="471">
        <f>$C$33</f>
        <v>0.0616</v>
      </c>
      <c r="V59" s="471">
        <f>$C$33</f>
        <v>0.0616</v>
      </c>
      <c r="W59" s="471">
        <f>$C$33</f>
        <v>0.0616</v>
      </c>
      <c r="X59" s="42"/>
      <c r="Y59" s="470" t="s">
        <v>143</v>
      </c>
      <c r="Z59" s="471">
        <f>$F$33</f>
        <v>0.077038095238095</v>
      </c>
      <c r="AA59" s="471">
        <f>$F$33</f>
        <v>0.077038095238095</v>
      </c>
      <c r="AB59" s="471">
        <f>$F$33</f>
        <v>0.077038095238095</v>
      </c>
      <c r="AC59" s="471">
        <f>$F$33</f>
        <v>0.077038095238095</v>
      </c>
      <c r="AD59" s="471">
        <f>$F$33</f>
        <v>0.077038095238095</v>
      </c>
      <c r="AE59" s="471">
        <f>$F$33</f>
        <v>0.077038095238095</v>
      </c>
      <c r="AF59" s="490"/>
      <c r="AH59" s="470" t="s">
        <v>143</v>
      </c>
      <c r="AI59" s="471">
        <f>IF($I$7="",$I$8,$I$7)</f>
        <v>0</v>
      </c>
      <c r="AJ59" s="471">
        <f>IF($I$7="",$I$8,$I$7)</f>
        <v>0</v>
      </c>
      <c r="AK59" s="471">
        <f>IF($I$7="",$I$8,$I$7)</f>
        <v>0</v>
      </c>
      <c r="AL59" s="471">
        <f>IF($I$7="",$I$8,$I$7)</f>
        <v>0</v>
      </c>
      <c r="AM59" s="471">
        <f>IF($I$7="",$I$8,$I$7)</f>
        <v>0</v>
      </c>
      <c r="AN59" s="471">
        <f>IF($I$7="",$I$8,$I$7)</f>
        <v>0</v>
      </c>
      <c r="AQ59" s="42"/>
      <c r="AR59" s="42"/>
      <c r="AS59" s="42"/>
    </row>
    <row r="60" spans="1:46">
      <c r="B60" s="575"/>
      <c r="C60" s="577"/>
      <c r="D60" s="577"/>
      <c r="E60" s="576"/>
      <c r="F60" s="576"/>
      <c r="H60" s="497"/>
      <c r="I60" s="497"/>
      <c r="J60" s="573" t="s">
        <v>202</v>
      </c>
      <c r="K60" s="574">
        <f>I18</f>
        <v>0.3849</v>
      </c>
      <c r="L60" s="356"/>
      <c r="M60" s="42"/>
      <c r="O60" s="356"/>
      <c r="P60" s="39"/>
      <c r="Q60" s="473" t="s">
        <v>203</v>
      </c>
      <c r="R60" s="471">
        <f>$C$34</f>
        <v>0.03758216</v>
      </c>
      <c r="S60" s="471">
        <f>$C$34</f>
        <v>0.03758216</v>
      </c>
      <c r="T60" s="471">
        <f>$C$34</f>
        <v>0.03758216</v>
      </c>
      <c r="U60" s="471">
        <f>$C$34</f>
        <v>0.03758216</v>
      </c>
      <c r="V60" s="471">
        <f>$C$34</f>
        <v>0.03758216</v>
      </c>
      <c r="W60" s="471">
        <f>$C$34</f>
        <v>0.03758216</v>
      </c>
      <c r="X60" s="42"/>
      <c r="Y60" s="473" t="s">
        <v>203</v>
      </c>
      <c r="Z60" s="471">
        <f>$F$34</f>
        <v>0.054311857142857</v>
      </c>
      <c r="AA60" s="471">
        <f>$F$34</f>
        <v>0.054311857142857</v>
      </c>
      <c r="AB60" s="471">
        <f>$F$34</f>
        <v>0.054311857142857</v>
      </c>
      <c r="AC60" s="471">
        <f>$F$34</f>
        <v>0.054311857142857</v>
      </c>
      <c r="AD60" s="471">
        <f>$F$34</f>
        <v>0.054311857142857</v>
      </c>
      <c r="AE60" s="471">
        <f>$F$34</f>
        <v>0.054311857142857</v>
      </c>
      <c r="AF60" s="495"/>
      <c r="AH60" s="473" t="s">
        <v>203</v>
      </c>
      <c r="AI60" s="471">
        <f>$AI$59*(1-$I$20)</f>
        <v>0</v>
      </c>
      <c r="AJ60" s="471">
        <f>$AI$59*(1-$I$20)</f>
        <v>0</v>
      </c>
      <c r="AK60" s="471">
        <f>$AI$59*(1-$I$20)</f>
        <v>0</v>
      </c>
      <c r="AL60" s="471">
        <f>$AI$59*(1-$I$20)</f>
        <v>0</v>
      </c>
      <c r="AM60" s="471">
        <f>$AI$59*(1-$I$20)</f>
        <v>0</v>
      </c>
      <c r="AN60" s="471">
        <f>$AI$59*(1-$I$20)</f>
        <v>0</v>
      </c>
      <c r="AQ60" s="42"/>
      <c r="AR60" s="42"/>
      <c r="AS60" s="42"/>
    </row>
    <row r="61" spans="1:46">
      <c r="B61" s="562" t="s">
        <v>143</v>
      </c>
      <c r="C61" s="579">
        <f>I3</f>
        <v>0.0829</v>
      </c>
      <c r="D61" s="577"/>
      <c r="E61" s="576"/>
      <c r="F61" s="576"/>
      <c r="J61" s="565" t="s">
        <v>5</v>
      </c>
      <c r="K61" s="589">
        <f>'Plantilla Usuario'!C5</f>
        <v>847191.731</v>
      </c>
      <c r="L61" s="42"/>
      <c r="M61" s="42"/>
      <c r="O61" s="356"/>
      <c r="P61" s="39"/>
      <c r="Q61" s="473" t="s">
        <v>204</v>
      </c>
      <c r="R61" s="471">
        <f>R53*R60+R54*R57</f>
        <v>0.079368475466239</v>
      </c>
      <c r="S61" s="471">
        <f>S53*S60+S54*S57</f>
        <v>0.07794388633491</v>
      </c>
      <c r="T61" s="471">
        <f>T53*T60+T54*T57</f>
        <v>0.076764043749498</v>
      </c>
      <c r="U61" s="471">
        <f>U53*U60+U54*U57</f>
        <v>0.075770865298073</v>
      </c>
      <c r="V61" s="471">
        <f>V53*V60+V54*V57</f>
        <v>0.074923299858327</v>
      </c>
      <c r="W61" s="471">
        <f>W53*W60+W54*W57</f>
        <v>0.072967501946016</v>
      </c>
      <c r="X61" s="42"/>
      <c r="Y61" s="473" t="s">
        <v>204</v>
      </c>
      <c r="Z61" s="471">
        <f>Z53*Z60+Z54*Z57</f>
        <v>0.094806570704334</v>
      </c>
      <c r="AA61" s="471">
        <f>AA53*AA60+AA54*AA57</f>
        <v>0.093661769659124</v>
      </c>
      <c r="AB61" s="471">
        <f>AB53*AB60+AB54*AB57</f>
        <v>0.092691562923178</v>
      </c>
      <c r="AC61" s="471">
        <f>AC53*AC60+AC54*AC57</f>
        <v>0.09185883920192</v>
      </c>
      <c r="AD61" s="471">
        <f>AD53*AD60+AD54*AD57</f>
        <v>0.091136309004103</v>
      </c>
      <c r="AE61" s="471">
        <f>AE53*AE60+AE54*AE57</f>
        <v>0.090503457012428</v>
      </c>
      <c r="AF61" s="495"/>
      <c r="AH61" s="473" t="s">
        <v>204</v>
      </c>
      <c r="AI61" s="471">
        <f>AI53*AI60+AI54*AI57</f>
        <v>0.10066847546624</v>
      </c>
      <c r="AJ61" s="471">
        <f>AJ53*AJ60+AJ54*AJ57</f>
        <v>0.082735316767433</v>
      </c>
      <c r="AK61" s="471">
        <f>AK53*AK60+AK54*AK57</f>
        <v>0.071795333911423</v>
      </c>
      <c r="AL61" s="471">
        <f>AL53*AL60+AL54*AL57</f>
        <v>0.064425399044555</v>
      </c>
      <c r="AM61" s="471">
        <f>AM53*AM60+AM54*AM57</f>
        <v>0.059123126809267</v>
      </c>
      <c r="AN61" s="471">
        <f>AN53*AN60+AN54*AN57</f>
        <v>0.05512542563475</v>
      </c>
      <c r="AQ61" s="42"/>
      <c r="AR61" s="42"/>
      <c r="AS61" s="42"/>
    </row>
    <row r="62" spans="1:46">
      <c r="B62" s="562" t="s">
        <v>3</v>
      </c>
      <c r="C62" s="580" t="str">
        <f>J3</f>
        <v>Dólares</v>
      </c>
      <c r="D62" s="577"/>
      <c r="E62" s="576"/>
      <c r="F62" s="576"/>
      <c r="J62" s="42"/>
      <c r="K62" s="42"/>
      <c r="L62" s="42"/>
      <c r="M62" s="42"/>
      <c r="O62" s="356"/>
      <c r="P62" s="39"/>
      <c r="U62" s="42"/>
      <c r="V62" s="39"/>
      <c r="X62" s="42"/>
      <c r="AQ62" s="42"/>
      <c r="AR62" s="393" t="s">
        <v>4</v>
      </c>
      <c r="AS62" s="393" t="s">
        <v>156</v>
      </c>
    </row>
    <row r="63" spans="1:46" customHeight="1" ht="24.6">
      <c r="J63"/>
      <c r="K63" s="42"/>
      <c r="L63" s="42"/>
      <c r="M63" s="42"/>
      <c r="O63" s="356"/>
      <c r="P63" s="39"/>
      <c r="U63"/>
      <c r="V63"/>
      <c r="X63" s="42"/>
      <c r="Y63" s="39"/>
      <c r="AQ63" s="394" t="s">
        <v>111</v>
      </c>
      <c r="AR63" s="48">
        <f>IF($I$7="",$I$8,$I$7)</f>
        <v>0</v>
      </c>
      <c r="AS63" s="48">
        <f>(1+$AR$63)*(1+$J$7)-1</f>
        <v>0.0164</v>
      </c>
    </row>
    <row r="64" spans="1:46" customHeight="1" ht="48.6">
      <c r="J64"/>
      <c r="K64" s="42"/>
      <c r="L64" s="42"/>
      <c r="M64" s="42"/>
      <c r="O64" s="356"/>
      <c r="P64" s="39"/>
      <c r="U64"/>
      <c r="V64"/>
      <c r="X64" s="42"/>
      <c r="Y64" s="39"/>
      <c r="AQ64" s="394" t="s">
        <v>171</v>
      </c>
      <c r="AR64" s="48">
        <f>AR63*(1-$AR$50)</f>
        <v>0</v>
      </c>
      <c r="AS64" s="48">
        <f>$AS$63*(1-$I$20)</f>
        <v>0.011562</v>
      </c>
    </row>
    <row r="65" spans="1:46">
      <c r="B65" s="504" t="s">
        <v>205</v>
      </c>
      <c r="C65" s="504" t="s">
        <v>60</v>
      </c>
      <c r="D65" s="504" t="s">
        <v>61</v>
      </c>
      <c r="E65" s="504" t="s">
        <v>62</v>
      </c>
      <c r="F65" s="504" t="s">
        <v>63</v>
      </c>
      <c r="G65" s="504" t="s">
        <v>184</v>
      </c>
      <c r="H65" s="42"/>
      <c r="J65" s="42"/>
      <c r="K65" s="42"/>
      <c r="L65" s="42"/>
      <c r="M65" s="42"/>
      <c r="N65" s="42"/>
      <c r="P65" s="356"/>
      <c r="Q65" s="39"/>
      <c r="U65" s="42"/>
      <c r="V65" s="39"/>
      <c r="Y65" s="42"/>
      <c r="Z65" s="39"/>
      <c r="AR65" s="42"/>
      <c r="AS65" s="42"/>
      <c r="AT65" s="42"/>
    </row>
    <row r="66" spans="1:46" customHeight="1" ht="18">
      <c r="B66" s="503"/>
      <c r="C66" s="503" t="s">
        <v>206</v>
      </c>
      <c r="D66" s="499"/>
      <c r="E66" s="499"/>
      <c r="F66" s="511"/>
      <c r="G66" s="511"/>
      <c r="H66"/>
      <c r="L66" s="42"/>
      <c r="M66" s="42"/>
      <c r="N66" s="42"/>
      <c r="P66" s="356"/>
      <c r="Q66" s="39"/>
      <c r="U66"/>
      <c r="V66"/>
      <c r="Y66" s="42"/>
      <c r="Z66" s="39"/>
      <c r="AR66" s="42"/>
      <c r="AS66" s="393" t="s">
        <v>4</v>
      </c>
      <c r="AT66" s="393" t="s">
        <v>156</v>
      </c>
    </row>
    <row r="67" spans="1:46" customHeight="1" ht="48.6">
      <c r="B67" s="500" t="s">
        <v>207</v>
      </c>
      <c r="C67" s="500" t="s">
        <v>208</v>
      </c>
      <c r="D67" s="501">
        <f>C9</f>
        <v>0.066379626541014</v>
      </c>
      <c r="E67" s="501"/>
      <c r="F67" s="511"/>
      <c r="G67" s="511"/>
      <c r="H67"/>
      <c r="L67" s="42"/>
      <c r="M67" s="42"/>
      <c r="N67" s="42"/>
      <c r="P67" s="356"/>
      <c r="Q67" s="39"/>
      <c r="U67"/>
      <c r="V67"/>
      <c r="Y67" s="42"/>
      <c r="Z67" s="39"/>
      <c r="AR67" s="394" t="s">
        <v>173</v>
      </c>
      <c r="AS67" s="404">
        <f>$AR$54*$AO$48+$AR$64*$AO$47</f>
        <v>3.3246728959953</v>
      </c>
      <c r="AT67" s="48">
        <f>(1+$AS$67)*(1+$J$7)-1</f>
        <v>3.3955975314896</v>
      </c>
    </row>
    <row r="68" spans="1:46">
      <c r="B68" s="500" t="s">
        <v>209</v>
      </c>
      <c r="C68" s="500" t="s">
        <v>210</v>
      </c>
      <c r="D68" s="501">
        <f>C10</f>
        <v>0.0416</v>
      </c>
      <c r="E68" s="501"/>
      <c r="F68" s="511"/>
      <c r="G68" s="511"/>
      <c r="H68" s="42"/>
      <c r="L68" s="42"/>
      <c r="M68" s="42"/>
      <c r="N68" s="42"/>
      <c r="P68" s="356"/>
      <c r="Q68" s="39"/>
      <c r="U68" s="42"/>
      <c r="V68" s="39"/>
      <c r="Y68" s="42"/>
      <c r="Z68" s="39"/>
      <c r="AR68" s="42"/>
      <c r="AS68" s="42"/>
      <c r="AT68" s="42"/>
    </row>
    <row r="69" spans="1:46">
      <c r="B69" s="503"/>
      <c r="C69" s="503" t="s">
        <v>211</v>
      </c>
      <c r="D69" s="499"/>
      <c r="E69" s="511"/>
      <c r="F69" s="511"/>
      <c r="G69" s="511"/>
      <c r="H69" s="42"/>
      <c r="L69" s="42"/>
      <c r="M69" s="42"/>
      <c r="N69" s="42"/>
      <c r="P69" s="356"/>
      <c r="Q69" s="39"/>
      <c r="U69" s="42"/>
      <c r="V69" s="39"/>
      <c r="Y69" s="42"/>
      <c r="Z69" s="39"/>
      <c r="AR69" s="39"/>
      <c r="AS69" s="39"/>
      <c r="AT69" s="42"/>
    </row>
    <row r="70" spans="1:46">
      <c r="B70" s="500" t="s">
        <v>212</v>
      </c>
      <c r="C70" s="500" t="s">
        <v>213</v>
      </c>
      <c r="D70" s="501">
        <f>+C17</f>
        <v>0.31029224250138</v>
      </c>
      <c r="E70" s="499"/>
      <c r="F70" s="502"/>
      <c r="G70" s="511"/>
      <c r="H70" s="42"/>
      <c r="L70" s="42"/>
      <c r="M70" s="42"/>
      <c r="N70" s="42"/>
      <c r="P70" s="356"/>
      <c r="Q70" s="39"/>
      <c r="U70" s="42"/>
      <c r="V70" s="39"/>
      <c r="Y70" s="42"/>
      <c r="Z70" s="39"/>
      <c r="AR70" s="395" t="s">
        <v>175</v>
      </c>
      <c r="AS70" s="403">
        <f>IF('EE.FF Económicos'!$D$54="Soles",AT67,AS67)</f>
        <v>3.3955975314896</v>
      </c>
      <c r="AT70" s="42"/>
    </row>
    <row r="71" spans="1:46">
      <c r="B71" s="500" t="s">
        <v>214</v>
      </c>
      <c r="C71" s="500" t="s">
        <v>150</v>
      </c>
      <c r="D71" s="501">
        <f>1-D70</f>
        <v>0.68970775749862</v>
      </c>
      <c r="E71" s="499"/>
      <c r="F71" s="511"/>
      <c r="G71" s="511"/>
      <c r="H71" s="42"/>
      <c r="L71" s="356"/>
      <c r="M71" s="356"/>
      <c r="N71" s="39"/>
      <c r="U71" s="42"/>
      <c r="V71" s="42"/>
      <c r="W71" s="39"/>
    </row>
    <row r="72" spans="1:46">
      <c r="B72" s="502"/>
      <c r="C72" s="502" t="s">
        <v>215</v>
      </c>
      <c r="D72" s="501">
        <f>+C20</f>
        <v>0.3899</v>
      </c>
      <c r="E72" s="499"/>
      <c r="F72" s="511"/>
      <c r="G72" s="511"/>
      <c r="H72" s="42"/>
      <c r="K72" s="42"/>
      <c r="L72" s="356"/>
      <c r="M72" s="356"/>
      <c r="N72" s="39"/>
      <c r="U72" s="42"/>
      <c r="V72" s="42"/>
      <c r="W72" s="39"/>
    </row>
    <row r="73" spans="1:46" customHeight="1" ht="15">
      <c r="B73" s="732" t="s">
        <v>62</v>
      </c>
      <c r="C73" s="733" t="s">
        <v>60</v>
      </c>
      <c r="D73" s="709" t="s">
        <v>61</v>
      </c>
      <c r="E73" s="499"/>
      <c r="F73" s="511"/>
      <c r="G73" s="511"/>
      <c r="H73"/>
      <c r="K73" s="42"/>
      <c r="L73"/>
      <c r="M73" s="356"/>
      <c r="N73" s="39"/>
      <c r="U73"/>
      <c r="V73" s="42"/>
      <c r="W73" s="39"/>
    </row>
    <row r="74" spans="1:46" customHeight="1" ht="15">
      <c r="B74" s="711"/>
      <c r="C74" s="734" t="s">
        <v>216</v>
      </c>
      <c r="D74" s="727">
        <f>C16</f>
        <v>0</v>
      </c>
      <c r="E74" s="499"/>
      <c r="F74" s="511"/>
      <c r="G74" s="511"/>
      <c r="H74"/>
      <c r="K74" s="42"/>
      <c r="L74"/>
      <c r="M74" s="356"/>
      <c r="N74" s="39"/>
      <c r="U74"/>
      <c r="V74" s="42"/>
      <c r="W74" s="39"/>
    </row>
    <row r="75" spans="1:46" customHeight="1" ht="18">
      <c r="B75" s="718" t="s">
        <v>217</v>
      </c>
      <c r="C75" s="730" t="s">
        <v>218</v>
      </c>
      <c r="D75" s="731">
        <f>C21</f>
        <v>0.749</v>
      </c>
      <c r="E75" s="499"/>
      <c r="F75" s="511"/>
      <c r="G75" s="511"/>
      <c r="H75"/>
      <c r="K75" s="42"/>
      <c r="L75"/>
      <c r="M75" s="356"/>
      <c r="N75" s="39"/>
      <c r="U75"/>
      <c r="V75" s="42"/>
      <c r="W75" s="39"/>
    </row>
    <row r="76" spans="1:46" customHeight="1" ht="18">
      <c r="B76" s="718" t="s">
        <v>219</v>
      </c>
      <c r="C76" s="735" t="s">
        <v>157</v>
      </c>
      <c r="D76" s="729">
        <f>+C24</f>
        <v>0.091318340279219</v>
      </c>
      <c r="E76" s="499"/>
      <c r="F76" s="511"/>
      <c r="G76" s="511"/>
      <c r="H76"/>
      <c r="K76" s="42"/>
      <c r="L76"/>
      <c r="M76" s="356"/>
      <c r="N76" s="39"/>
      <c r="U76"/>
      <c r="V76" s="42"/>
      <c r="W76" s="39"/>
    </row>
    <row r="77" spans="1:46" customHeight="1" ht="18">
      <c r="B77" s="708" t="s">
        <v>62</v>
      </c>
      <c r="C77" s="736" t="s">
        <v>60</v>
      </c>
      <c r="D77" s="709" t="s">
        <v>61</v>
      </c>
      <c r="E77" s="499"/>
      <c r="F77" s="511"/>
      <c r="G77" s="511"/>
      <c r="H77"/>
      <c r="K77" s="42"/>
      <c r="L77"/>
      <c r="M77" s="356"/>
      <c r="N77" s="39"/>
      <c r="U77"/>
      <c r="V77" s="42"/>
      <c r="W77" s="39"/>
    </row>
    <row r="78" spans="1:46" customHeight="1" ht="18">
      <c r="B78" s="711"/>
      <c r="C78" s="737" t="s">
        <v>220</v>
      </c>
      <c r="D78" s="727">
        <f>C20</f>
        <v>0.3899</v>
      </c>
      <c r="E78" s="499"/>
      <c r="F78" s="511"/>
      <c r="G78" s="511"/>
      <c r="H78"/>
      <c r="K78" s="42"/>
      <c r="L78"/>
      <c r="M78" s="356"/>
      <c r="N78" s="39"/>
      <c r="U78"/>
      <c r="V78" s="42"/>
      <c r="W78" s="39"/>
    </row>
    <row r="79" spans="1:46" customHeight="1" ht="18">
      <c r="B79" s="718" t="s">
        <v>221</v>
      </c>
      <c r="C79" s="728" t="s">
        <v>222</v>
      </c>
      <c r="D79" s="731">
        <f>C27</f>
        <v>0.56897692009314</v>
      </c>
      <c r="E79" s="499"/>
      <c r="F79" s="511"/>
      <c r="G79" s="511"/>
      <c r="H79"/>
      <c r="K79" s="42"/>
      <c r="L79"/>
      <c r="M79" s="356"/>
      <c r="N79" s="39"/>
      <c r="U79"/>
      <c r="V79" s="42"/>
      <c r="W79" s="39"/>
    </row>
    <row r="80" spans="1:46" customHeight="1" ht="18">
      <c r="B80" s="718" t="s">
        <v>223</v>
      </c>
      <c r="C80" s="735" t="s">
        <v>164</v>
      </c>
      <c r="D80" s="729">
        <f>C28</f>
        <v>0.079368475466239</v>
      </c>
      <c r="E80" s="499"/>
      <c r="F80" s="511"/>
      <c r="G80" s="511"/>
      <c r="H80"/>
      <c r="K80" s="42"/>
      <c r="L80"/>
      <c r="M80" s="356"/>
      <c r="N80" s="39"/>
      <c r="U80"/>
      <c r="V80" s="42"/>
      <c r="W80" s="39"/>
    </row>
    <row r="81" spans="1:46" customHeight="1" ht="18">
      <c r="B81" s="708" t="s">
        <v>62</v>
      </c>
      <c r="C81" s="736" t="s">
        <v>60</v>
      </c>
      <c r="D81" s="709" t="s">
        <v>61</v>
      </c>
      <c r="E81" s="499"/>
      <c r="F81" s="511"/>
      <c r="G81" s="511"/>
      <c r="H81"/>
      <c r="K81" s="42"/>
      <c r="L81"/>
      <c r="M81" s="356"/>
      <c r="N81" s="39"/>
      <c r="U81"/>
      <c r="V81" s="42"/>
      <c r="W81" s="39"/>
    </row>
    <row r="82" spans="1:46" customHeight="1" ht="18">
      <c r="B82" s="716"/>
      <c r="C82" s="734" t="s">
        <v>224</v>
      </c>
      <c r="D82" s="727">
        <f>C24</f>
        <v>0.091318340279219</v>
      </c>
      <c r="E82" s="499"/>
      <c r="F82" s="511"/>
      <c r="G82" s="511"/>
      <c r="H82"/>
      <c r="K82" s="42"/>
      <c r="L82"/>
      <c r="M82" s="356"/>
      <c r="N82" s="39"/>
      <c r="U82"/>
      <c r="V82" s="42"/>
      <c r="W82" s="39"/>
    </row>
    <row r="83" spans="1:46" customHeight="1" ht="18">
      <c r="B83" s="717" t="s">
        <v>225</v>
      </c>
      <c r="C83" s="730" t="s">
        <v>226</v>
      </c>
      <c r="D83" s="729">
        <f>C32</f>
        <v>0.02</v>
      </c>
      <c r="E83" s="499"/>
      <c r="F83" s="511"/>
      <c r="G83" s="511"/>
      <c r="H83"/>
      <c r="K83" s="42"/>
      <c r="L83"/>
      <c r="M83" s="356"/>
      <c r="N83" s="39"/>
      <c r="U83"/>
      <c r="V83" s="42"/>
      <c r="W83" s="39"/>
    </row>
    <row r="84" spans="1:46" customHeight="1" ht="18">
      <c r="B84" s="718" t="s">
        <v>227</v>
      </c>
      <c r="C84" s="728" t="s">
        <v>215</v>
      </c>
      <c r="D84" s="729">
        <f>C20</f>
        <v>0.3899</v>
      </c>
      <c r="E84" s="499"/>
      <c r="F84" s="511"/>
      <c r="G84" s="511"/>
      <c r="H84"/>
      <c r="K84" s="42"/>
      <c r="L84"/>
      <c r="M84" s="356"/>
      <c r="N84" s="39"/>
      <c r="U84"/>
      <c r="V84" s="42"/>
      <c r="W84" s="39"/>
    </row>
    <row r="85" spans="1:46" customHeight="1" ht="18">
      <c r="B85" s="717" t="s">
        <v>228</v>
      </c>
      <c r="C85" s="730" t="s">
        <v>229</v>
      </c>
      <c r="D85" s="729">
        <f>C33</f>
        <v>0.0616</v>
      </c>
      <c r="E85" s="499"/>
      <c r="F85" s="511"/>
      <c r="G85" s="511"/>
      <c r="H85"/>
      <c r="K85" s="42"/>
      <c r="L85"/>
      <c r="M85" s="356"/>
      <c r="N85" s="39"/>
      <c r="U85"/>
      <c r="V85" s="42"/>
      <c r="W85" s="39"/>
    </row>
    <row r="86" spans="1:46" customHeight="1" ht="18">
      <c r="B86" s="718" t="s">
        <v>230</v>
      </c>
      <c r="C86" s="735" t="s">
        <v>231</v>
      </c>
      <c r="D86" s="729">
        <f>C34</f>
        <v>0.03758216</v>
      </c>
      <c r="E86" s="499"/>
      <c r="F86" s="511"/>
      <c r="G86" s="511"/>
      <c r="H86"/>
      <c r="K86" s="42"/>
      <c r="L86"/>
      <c r="M86" s="356"/>
      <c r="N86" s="39"/>
      <c r="U86"/>
      <c r="V86" s="42"/>
      <c r="W86" s="39"/>
    </row>
    <row r="87" spans="1:46" customHeight="1" ht="18">
      <c r="B87" s="708" t="s">
        <v>62</v>
      </c>
      <c r="C87" s="736" t="s">
        <v>60</v>
      </c>
      <c r="D87" s="709" t="s">
        <v>61</v>
      </c>
      <c r="E87" s="499"/>
      <c r="F87" s="511"/>
      <c r="G87" s="511"/>
      <c r="H87"/>
      <c r="K87" s="42"/>
      <c r="L87"/>
      <c r="M87" s="356"/>
      <c r="N87" s="39"/>
      <c r="U87"/>
      <c r="V87" s="42"/>
      <c r="W87" s="39"/>
    </row>
    <row r="88" spans="1:46" customHeight="1" ht="18">
      <c r="B88" s="711"/>
      <c r="C88" s="737" t="s">
        <v>232</v>
      </c>
      <c r="D88" s="727">
        <f>C30</f>
        <v/>
      </c>
      <c r="E88" s="499"/>
      <c r="F88" s="511"/>
      <c r="G88" s="511"/>
      <c r="H88"/>
      <c r="K88" s="42"/>
      <c r="L88"/>
      <c r="M88" s="356"/>
      <c r="N88" s="39"/>
      <c r="U88"/>
      <c r="V88" s="42"/>
      <c r="W88" s="39"/>
    </row>
    <row r="89" spans="1:46" customHeight="1" ht="18">
      <c r="B89" s="718" t="s">
        <v>233</v>
      </c>
      <c r="C89" s="728" t="s">
        <v>213</v>
      </c>
      <c r="D89" s="729">
        <f>C17</f>
        <v>0.31029224250138</v>
      </c>
      <c r="E89" s="499"/>
      <c r="F89" s="511"/>
      <c r="G89" s="511"/>
      <c r="H89"/>
      <c r="K89" s="42"/>
      <c r="L89"/>
      <c r="M89" s="356"/>
      <c r="N89" s="39"/>
      <c r="U89"/>
      <c r="V89" s="42"/>
      <c r="W89" s="39"/>
    </row>
    <row r="90" spans="1:46" customHeight="1" ht="18">
      <c r="B90" s="718" t="s">
        <v>234</v>
      </c>
      <c r="C90" s="728" t="s">
        <v>150</v>
      </c>
      <c r="D90" s="729">
        <f>C18</f>
        <v>0.68970775749862</v>
      </c>
      <c r="E90" s="499"/>
      <c r="F90" s="511"/>
      <c r="G90" s="511"/>
      <c r="H90"/>
      <c r="K90" s="42"/>
      <c r="L90"/>
      <c r="M90" s="356"/>
      <c r="N90" s="39"/>
      <c r="U90"/>
      <c r="V90" s="42"/>
      <c r="W90" s="39"/>
    </row>
    <row r="91" spans="1:46" customHeight="1" ht="18">
      <c r="B91" s="718" t="s">
        <v>235</v>
      </c>
      <c r="C91" s="728" t="s">
        <v>157</v>
      </c>
      <c r="D91" s="729">
        <f>C24</f>
        <v>0.091318340279219</v>
      </c>
      <c r="E91" s="499"/>
      <c r="F91" s="511"/>
      <c r="G91" s="511"/>
      <c r="H91"/>
      <c r="K91" s="42"/>
      <c r="L91"/>
      <c r="M91" s="356"/>
      <c r="N91" s="39"/>
      <c r="U91"/>
      <c r="V91" s="42"/>
      <c r="W91" s="39"/>
    </row>
    <row r="92" spans="1:46" customHeight="1" ht="18">
      <c r="B92" s="718" t="s">
        <v>236</v>
      </c>
      <c r="C92" s="728" t="s">
        <v>231</v>
      </c>
      <c r="D92" s="729">
        <f>C34</f>
        <v>0.03758216</v>
      </c>
      <c r="E92" s="499"/>
      <c r="F92" s="511"/>
      <c r="G92" s="511"/>
      <c r="H92"/>
      <c r="K92" s="42"/>
      <c r="L92"/>
      <c r="M92" s="356"/>
      <c r="N92" s="39"/>
      <c r="U92"/>
      <c r="V92" s="42"/>
      <c r="W92" s="39"/>
    </row>
    <row r="93" spans="1:46" customHeight="1" ht="18">
      <c r="B93" s="718" t="s">
        <v>237</v>
      </c>
      <c r="C93" s="735" t="s">
        <v>173</v>
      </c>
      <c r="D93" s="729">
        <f>C37</f>
        <v>0.074644420396922</v>
      </c>
      <c r="E93" s="499"/>
      <c r="F93" s="511"/>
      <c r="G93" s="511"/>
      <c r="H93"/>
      <c r="K93" s="42"/>
      <c r="L93"/>
      <c r="M93" s="356"/>
      <c r="N93" s="39"/>
      <c r="U93"/>
      <c r="V93" s="42"/>
      <c r="W93" s="39"/>
    </row>
    <row r="94" spans="1:46" customHeight="1" ht="18">
      <c r="B94" s="703" t="s">
        <v>62</v>
      </c>
      <c r="C94" s="738" t="s">
        <v>60</v>
      </c>
      <c r="D94" s="709" t="s">
        <v>61</v>
      </c>
      <c r="E94" s="512"/>
      <c r="F94" s="511"/>
      <c r="G94" s="511"/>
      <c r="H94"/>
      <c r="K94" s="42"/>
      <c r="L94"/>
      <c r="M94" s="356"/>
      <c r="N94" s="39"/>
      <c r="O94" s="444" t="s">
        <v>238</v>
      </c>
      <c r="U94"/>
      <c r="V94" s="42"/>
      <c r="W94" s="39"/>
    </row>
    <row r="95" spans="1:46" customHeight="1" ht="18">
      <c r="B95" s="716"/>
      <c r="C95" s="739" t="s">
        <v>239</v>
      </c>
      <c r="D95" s="712">
        <f>C37</f>
        <v>0.074644420396922</v>
      </c>
      <c r="E95" s="505"/>
      <c r="F95" s="511"/>
      <c r="G95" s="511"/>
      <c r="H95"/>
      <c r="K95" s="42"/>
      <c r="L95"/>
      <c r="M95" s="356"/>
      <c r="N95" s="39"/>
      <c r="U95"/>
      <c r="V95" s="42"/>
      <c r="W95" s="39"/>
    </row>
    <row r="96" spans="1:46" customHeight="1" ht="18">
      <c r="B96" s="713" t="s">
        <v>240</v>
      </c>
      <c r="C96" s="714" t="s">
        <v>1</v>
      </c>
      <c r="D96" s="725" t="str">
        <f>F6</f>
        <v>Peru</v>
      </c>
      <c r="E96" s="505"/>
      <c r="F96" s="511"/>
      <c r="G96" s="511"/>
      <c r="H96"/>
      <c r="K96" s="42"/>
      <c r="L96"/>
      <c r="M96" s="356"/>
      <c r="N96" s="39"/>
      <c r="O96" s="474"/>
      <c r="P96" s="475" t="s">
        <v>241</v>
      </c>
      <c r="Q96" s="476" t="s">
        <v>242</v>
      </c>
      <c r="R96" s="477" t="s">
        <v>129</v>
      </c>
      <c r="U96"/>
      <c r="V96" s="42"/>
      <c r="W96" s="39"/>
    </row>
    <row r="97" spans="1:46" customHeight="1" ht="18">
      <c r="B97" s="713" t="s">
        <v>243</v>
      </c>
      <c r="C97" s="714" t="s">
        <v>127</v>
      </c>
      <c r="D97" s="673">
        <f>F7</f>
        <v>0.0164</v>
      </c>
      <c r="E97" s="505"/>
      <c r="F97" s="511"/>
      <c r="G97" s="511"/>
      <c r="H97"/>
      <c r="K97" s="42"/>
      <c r="L97"/>
      <c r="M97" s="356"/>
      <c r="N97" s="39"/>
      <c r="O97" s="448" t="s">
        <v>192</v>
      </c>
      <c r="P97" s="478">
        <f>$C$17</f>
        <v>0.31029224250138</v>
      </c>
      <c r="Q97" s="478">
        <f>$F$17</f>
        <v>0.31029224250138</v>
      </c>
      <c r="R97" s="478">
        <f>$I$17</f>
        <v>0.6151</v>
      </c>
      <c r="U97"/>
      <c r="V97" s="42"/>
      <c r="W97" s="39"/>
    </row>
    <row r="98" spans="1:46" customHeight="1" ht="18">
      <c r="B98" s="713" t="s">
        <v>244</v>
      </c>
      <c r="C98" s="714" t="s">
        <v>245</v>
      </c>
      <c r="D98" s="673">
        <f>F9</f>
        <v>0.015438095238095</v>
      </c>
      <c r="E98" s="505"/>
      <c r="F98" s="511"/>
      <c r="G98" s="511"/>
      <c r="H98"/>
      <c r="K98" s="42"/>
      <c r="L98"/>
      <c r="M98" s="356"/>
      <c r="N98" s="39"/>
      <c r="O98" s="448" t="s">
        <v>194</v>
      </c>
      <c r="P98" s="478">
        <f>1-P97</f>
        <v>0.68970775749862</v>
      </c>
      <c r="Q98" s="478">
        <f>1-Q97</f>
        <v>0.68970775749862</v>
      </c>
      <c r="R98" s="478">
        <f>1-R97</f>
        <v>0.3849</v>
      </c>
      <c r="U98"/>
      <c r="V98" s="42"/>
      <c r="W98" s="39"/>
    </row>
    <row r="99" spans="1:46" customHeight="1" ht="18">
      <c r="B99" s="715" t="s">
        <v>246</v>
      </c>
      <c r="C99" s="726" t="s">
        <v>247</v>
      </c>
      <c r="D99" s="510">
        <f>F20</f>
        <v>0.295</v>
      </c>
      <c r="E99" s="505"/>
      <c r="F99" s="511"/>
      <c r="G99" s="511"/>
      <c r="H99"/>
      <c r="K99" s="42"/>
      <c r="L99"/>
      <c r="M99" s="356"/>
      <c r="N99" s="39"/>
      <c r="O99" s="457" t="s">
        <v>248</v>
      </c>
      <c r="U99"/>
      <c r="V99" s="42"/>
      <c r="W99" s="39"/>
    </row>
    <row r="100" spans="1:46" customHeight="1" ht="18">
      <c r="B100" s="581"/>
      <c r="C100" s="740" t="s">
        <v>60</v>
      </c>
      <c r="D100" s="722" t="s">
        <v>61</v>
      </c>
      <c r="E100" s="505"/>
      <c r="F100" s="511"/>
      <c r="G100" s="511"/>
      <c r="H100"/>
      <c r="K100" s="42"/>
      <c r="L100"/>
      <c r="M100" s="356"/>
      <c r="N100" s="39"/>
      <c r="O100" s="457"/>
      <c r="U100"/>
      <c r="V100" s="42"/>
      <c r="W100" s="39"/>
    </row>
    <row r="101" spans="1:46" customHeight="1" ht="18">
      <c r="B101" s="503"/>
      <c r="C101" s="741" t="s">
        <v>249</v>
      </c>
      <c r="D101" s="712">
        <f>C43</f>
        <v>0</v>
      </c>
      <c r="E101" s="505"/>
      <c r="F101" s="511"/>
      <c r="G101" s="511"/>
      <c r="H101"/>
      <c r="K101" s="42"/>
      <c r="L101"/>
      <c r="M101" s="356"/>
      <c r="N101" s="39"/>
      <c r="O101" s="457" t="s">
        <v>250</v>
      </c>
      <c r="U101"/>
      <c r="V101" s="42"/>
      <c r="W101" s="39"/>
    </row>
    <row r="102" spans="1:46" customHeight="1" ht="18">
      <c r="B102" s="581" t="s">
        <v>251</v>
      </c>
      <c r="C102" s="714" t="s">
        <v>213</v>
      </c>
      <c r="D102" s="673">
        <f>F17</f>
        <v>0.31029224250138</v>
      </c>
      <c r="E102" s="505"/>
      <c r="F102" s="511"/>
      <c r="G102" s="511"/>
      <c r="H102"/>
      <c r="K102" s="42"/>
      <c r="L102"/>
      <c r="M102" s="356"/>
      <c r="N102" s="39"/>
      <c r="U102"/>
      <c r="V102" s="42"/>
      <c r="W102" s="39"/>
    </row>
    <row r="103" spans="1:46" customHeight="1" ht="18">
      <c r="B103" s="581" t="s">
        <v>252</v>
      </c>
      <c r="C103" s="726" t="s">
        <v>150</v>
      </c>
      <c r="D103" s="510">
        <f>F18</f>
        <v>0.68970775749862</v>
      </c>
      <c r="E103" s="505"/>
      <c r="F103" s="511"/>
      <c r="G103" s="511"/>
      <c r="H103"/>
      <c r="K103" s="42"/>
      <c r="L103"/>
      <c r="M103" s="356"/>
      <c r="N103" s="39"/>
      <c r="U103"/>
      <c r="V103" s="42"/>
      <c r="W103" s="39"/>
    </row>
    <row r="104" spans="1:46" customHeight="1" ht="18">
      <c r="B104" s="720" t="s">
        <v>62</v>
      </c>
      <c r="C104" s="742" t="s">
        <v>60</v>
      </c>
      <c r="D104" s="721" t="s">
        <v>61</v>
      </c>
      <c r="E104" s="505"/>
      <c r="F104" s="511"/>
      <c r="G104" s="511"/>
      <c r="H104"/>
      <c r="K104" s="42"/>
      <c r="L104"/>
      <c r="M104" s="356"/>
      <c r="N104" s="39"/>
      <c r="U104"/>
      <c r="V104" s="42"/>
      <c r="W104" s="39"/>
    </row>
    <row r="105" spans="1:46" customHeight="1" ht="18">
      <c r="B105" s="716"/>
      <c r="C105" s="739" t="s">
        <v>253</v>
      </c>
      <c r="D105" s="712">
        <f>C47</f>
        <v>0</v>
      </c>
      <c r="E105" s="505"/>
      <c r="F105" s="511"/>
      <c r="G105" s="511"/>
      <c r="H105"/>
      <c r="K105" s="42"/>
      <c r="L105"/>
      <c r="M105" s="356"/>
      <c r="N105" s="39"/>
      <c r="O105" s="444" t="s">
        <v>254</v>
      </c>
      <c r="U105"/>
      <c r="V105" s="42"/>
      <c r="W105" s="39"/>
    </row>
    <row r="106" spans="1:46" customHeight="1" ht="18">
      <c r="B106" s="713" t="s">
        <v>255</v>
      </c>
      <c r="C106" s="714" t="s">
        <v>208</v>
      </c>
      <c r="D106" s="673">
        <f>C9</f>
        <v>0.066379626541014</v>
      </c>
      <c r="E106" s="505"/>
      <c r="F106" s="511"/>
      <c r="G106" s="511"/>
      <c r="H106"/>
      <c r="K106" s="42"/>
      <c r="L106"/>
      <c r="M106" s="356"/>
      <c r="N106" s="39"/>
      <c r="U106"/>
      <c r="V106" s="42"/>
      <c r="W106" s="39"/>
    </row>
    <row r="107" spans="1:46" customHeight="1" ht="18">
      <c r="B107" s="713" t="s">
        <v>256</v>
      </c>
      <c r="C107" s="714" t="s">
        <v>210</v>
      </c>
      <c r="D107" s="673">
        <f>C10</f>
        <v>0.0416</v>
      </c>
      <c r="E107" s="505"/>
      <c r="F107" s="511"/>
      <c r="G107" s="511"/>
      <c r="H107"/>
      <c r="K107" s="42"/>
      <c r="L107"/>
      <c r="M107" s="356"/>
      <c r="N107" s="39"/>
      <c r="O107" s="92"/>
      <c r="U107"/>
      <c r="V107" s="42"/>
      <c r="W107" s="39"/>
    </row>
    <row r="108" spans="1:46" customHeight="1" ht="18">
      <c r="B108" s="713" t="s">
        <v>257</v>
      </c>
      <c r="C108" s="714" t="s">
        <v>245</v>
      </c>
      <c r="D108" s="673">
        <f>D98</f>
        <v>0.015438095238095</v>
      </c>
      <c r="E108" s="505"/>
      <c r="F108" s="511"/>
      <c r="G108" s="511"/>
      <c r="H108"/>
      <c r="K108" s="42"/>
      <c r="L108"/>
      <c r="M108" s="356"/>
      <c r="N108" s="39"/>
      <c r="O108" s="92"/>
      <c r="U108"/>
      <c r="V108" s="42"/>
      <c r="W108" s="39"/>
    </row>
    <row r="109" spans="1:46" customHeight="1" ht="18">
      <c r="B109" s="720" t="s">
        <v>62</v>
      </c>
      <c r="C109" s="742" t="s">
        <v>60</v>
      </c>
      <c r="D109" s="722" t="s">
        <v>61</v>
      </c>
      <c r="E109" s="674"/>
      <c r="F109" s="511"/>
      <c r="G109" s="511"/>
      <c r="H109"/>
      <c r="K109" s="42"/>
      <c r="L109"/>
      <c r="M109" s="356"/>
      <c r="N109" s="39"/>
      <c r="O109" s="92"/>
      <c r="U109"/>
      <c r="V109" s="42"/>
      <c r="W109" s="39"/>
    </row>
    <row r="110" spans="1:46" customHeight="1" ht="18">
      <c r="B110" s="716"/>
      <c r="C110" s="739" t="s">
        <v>216</v>
      </c>
      <c r="D110" s="712">
        <f>C52</f>
        <v>0.079368475466239</v>
      </c>
      <c r="E110" s="674"/>
      <c r="F110" s="511"/>
      <c r="G110" s="511"/>
      <c r="H110"/>
      <c r="K110" s="42"/>
      <c r="L110"/>
      <c r="M110" s="356"/>
      <c r="N110" s="39"/>
      <c r="U110"/>
      <c r="V110" s="42"/>
      <c r="W110" s="39"/>
    </row>
    <row r="111" spans="1:46" customHeight="1" ht="18">
      <c r="B111" s="713" t="s">
        <v>258</v>
      </c>
      <c r="C111" s="714" t="s">
        <v>218</v>
      </c>
      <c r="D111" s="723">
        <f>F21</f>
        <v>0.74944050252522</v>
      </c>
      <c r="E111" s="674"/>
      <c r="F111" s="511"/>
      <c r="G111" s="511"/>
      <c r="H111"/>
      <c r="K111" s="42"/>
      <c r="L111"/>
      <c r="M111" s="356"/>
      <c r="N111" s="39"/>
      <c r="U111"/>
      <c r="V111" s="42"/>
      <c r="W111" s="39"/>
    </row>
    <row r="112" spans="1:46" customHeight="1" ht="18">
      <c r="B112" s="715" t="s">
        <v>259</v>
      </c>
      <c r="C112" s="743" t="s">
        <v>157</v>
      </c>
      <c r="D112" s="510">
        <f>F24</f>
        <v>0.10678567591043</v>
      </c>
      <c r="E112" s="674"/>
      <c r="F112" s="511"/>
      <c r="G112" s="511"/>
      <c r="H112"/>
      <c r="K112" s="42"/>
      <c r="L112"/>
      <c r="M112" s="356"/>
      <c r="N112" s="39"/>
      <c r="U112"/>
      <c r="V112" s="42"/>
      <c r="W112" s="39"/>
    </row>
    <row r="113" spans="1:46" customHeight="1" ht="18">
      <c r="B113" s="581"/>
      <c r="C113" s="744" t="s">
        <v>60</v>
      </c>
      <c r="D113" s="724" t="s">
        <v>61</v>
      </c>
      <c r="E113" s="505"/>
      <c r="F113" s="511"/>
      <c r="G113" s="511"/>
      <c r="H113"/>
      <c r="K113" s="42"/>
      <c r="L113"/>
      <c r="M113" s="356"/>
      <c r="N113" s="39"/>
      <c r="U113"/>
      <c r="V113" s="42"/>
      <c r="W113" s="39"/>
    </row>
    <row r="114" spans="1:46" customHeight="1" ht="18">
      <c r="B114" s="503"/>
      <c r="C114" s="741" t="s">
        <v>220</v>
      </c>
      <c r="D114" s="712">
        <f>C56</f>
        <v/>
      </c>
      <c r="E114" s="505"/>
      <c r="F114" s="511"/>
      <c r="G114" s="511"/>
      <c r="H114"/>
      <c r="K114" s="42"/>
      <c r="L114"/>
      <c r="M114" s="356"/>
      <c r="N114" s="39"/>
      <c r="U114"/>
      <c r="V114" s="42"/>
      <c r="W114" s="39"/>
    </row>
    <row r="115" spans="1:46" customHeight="1" ht="18">
      <c r="B115" s="581" t="s">
        <v>260</v>
      </c>
      <c r="C115" s="714" t="s">
        <v>222</v>
      </c>
      <c r="D115" s="723">
        <f>F27</f>
        <v>0.56897692009314</v>
      </c>
      <c r="E115" s="505"/>
      <c r="F115" s="511"/>
      <c r="G115" s="511"/>
      <c r="H115"/>
      <c r="K115" s="42"/>
      <c r="L115"/>
      <c r="M115" s="356"/>
      <c r="N115" s="39"/>
      <c r="U115"/>
      <c r="V115" s="42"/>
      <c r="W115" s="39"/>
    </row>
    <row r="116" spans="1:46" customHeight="1" ht="18">
      <c r="B116" s="581" t="s">
        <v>261</v>
      </c>
      <c r="C116" s="743" t="s">
        <v>164</v>
      </c>
      <c r="D116" s="510">
        <f>F28</f>
        <v>0.094806570704334</v>
      </c>
      <c r="E116" s="505"/>
      <c r="F116" s="511"/>
      <c r="G116" s="511"/>
      <c r="H116"/>
      <c r="K116" s="42"/>
      <c r="L116"/>
      <c r="M116" s="356"/>
      <c r="N116" s="39"/>
      <c r="U116"/>
      <c r="V116" s="42"/>
      <c r="W116" s="39"/>
    </row>
    <row r="117" spans="1:46" customHeight="1" ht="18">
      <c r="B117" s="708" t="s">
        <v>62</v>
      </c>
      <c r="C117" s="736" t="s">
        <v>60</v>
      </c>
      <c r="D117" s="710" t="s">
        <v>61</v>
      </c>
      <c r="E117" s="674"/>
      <c r="F117" s="511"/>
      <c r="G117" s="511"/>
      <c r="H117"/>
      <c r="K117" s="42"/>
      <c r="L117"/>
      <c r="M117" s="356"/>
      <c r="N117" s="39"/>
      <c r="U117"/>
      <c r="V117" s="42"/>
      <c r="W117" s="39"/>
    </row>
    <row r="118" spans="1:46" customHeight="1" ht="18">
      <c r="B118" s="716"/>
      <c r="C118" s="745" t="s">
        <v>224</v>
      </c>
      <c r="D118" s="712">
        <f>C60</f>
        <v/>
      </c>
      <c r="E118" s="674"/>
      <c r="F118" s="511"/>
      <c r="G118" s="511"/>
      <c r="H118"/>
      <c r="K118" s="42"/>
      <c r="L118"/>
      <c r="M118" s="356"/>
      <c r="N118" s="39"/>
      <c r="U118"/>
      <c r="V118" s="42"/>
      <c r="W118" s="39"/>
    </row>
    <row r="119" spans="1:46" customHeight="1" ht="18">
      <c r="B119" s="717" t="s">
        <v>262</v>
      </c>
      <c r="C119" s="714" t="s">
        <v>263</v>
      </c>
      <c r="D119" s="673">
        <f>C33</f>
        <v>0.0616</v>
      </c>
      <c r="E119" s="674"/>
      <c r="F119" s="511"/>
      <c r="G119" s="511"/>
      <c r="H119"/>
      <c r="K119" s="42"/>
      <c r="L119"/>
      <c r="M119" s="356"/>
      <c r="N119" s="39"/>
      <c r="U119"/>
      <c r="V119" s="42"/>
      <c r="W119" s="39"/>
    </row>
    <row r="120" spans="1:46" customHeight="1" ht="18">
      <c r="B120" s="718" t="s">
        <v>264</v>
      </c>
      <c r="C120" s="714" t="s">
        <v>245</v>
      </c>
      <c r="D120" s="673">
        <f>F9</f>
        <v>0.015438095238095</v>
      </c>
      <c r="E120" s="674"/>
      <c r="F120" s="511"/>
      <c r="G120" s="511"/>
      <c r="H120"/>
      <c r="K120" s="42"/>
      <c r="L120"/>
      <c r="M120" s="356"/>
      <c r="N120" s="39"/>
      <c r="U120"/>
      <c r="V120" s="42"/>
      <c r="W120" s="39"/>
    </row>
    <row r="121" spans="1:46" customHeight="1" ht="18">
      <c r="B121" s="717" t="s">
        <v>265</v>
      </c>
      <c r="C121" s="714" t="s">
        <v>229</v>
      </c>
      <c r="D121" s="673">
        <f>F33</f>
        <v>0.077038095238095</v>
      </c>
      <c r="E121" s="674"/>
      <c r="F121" s="511"/>
      <c r="G121" s="511"/>
      <c r="H121"/>
      <c r="K121" s="42"/>
      <c r="L121"/>
      <c r="M121" s="356"/>
      <c r="N121" s="39"/>
      <c r="U121"/>
      <c r="V121" s="42"/>
      <c r="W121" s="39"/>
    </row>
    <row r="122" spans="1:46" customHeight="1" ht="18">
      <c r="B122" s="719" t="s">
        <v>266</v>
      </c>
      <c r="C122" s="743" t="s">
        <v>231</v>
      </c>
      <c r="D122" s="510">
        <f>F34</f>
        <v>0.054311857142857</v>
      </c>
      <c r="E122" s="674"/>
      <c r="F122" s="511"/>
      <c r="G122" s="511"/>
      <c r="H122"/>
      <c r="K122" s="42"/>
      <c r="L122"/>
      <c r="M122" s="356"/>
      <c r="N122" s="39"/>
      <c r="U122"/>
      <c r="V122" s="42"/>
      <c r="W122" s="39"/>
    </row>
    <row r="123" spans="1:46" customHeight="1" ht="18">
      <c r="B123" s="708" t="s">
        <v>62</v>
      </c>
      <c r="C123" s="736" t="s">
        <v>60</v>
      </c>
      <c r="D123" s="710" t="s">
        <v>61</v>
      </c>
      <c r="E123" s="674"/>
      <c r="F123" s="511"/>
      <c r="G123" s="511"/>
      <c r="H123" s="499" t="s">
        <v>60</v>
      </c>
      <c r="I123" s="499" t="s">
        <v>61</v>
      </c>
      <c r="J123" s="499" t="s">
        <v>62</v>
      </c>
      <c r="K123" s="42"/>
      <c r="L123"/>
      <c r="M123" s="356"/>
      <c r="N123" s="39"/>
      <c r="U123"/>
      <c r="V123" s="42"/>
      <c r="W123" s="39"/>
    </row>
    <row r="124" spans="1:46" customHeight="1" ht="18">
      <c r="B124" s="711"/>
      <c r="C124" s="741" t="s">
        <v>232</v>
      </c>
      <c r="D124" s="712" t="str">
        <f>C66</f>
        <v>Parámetros del cálculo</v>
      </c>
      <c r="E124" s="674"/>
      <c r="F124" s="511"/>
      <c r="G124" s="511"/>
      <c r="H124" s="681"/>
      <c r="I124" s="682" t="s">
        <v>267</v>
      </c>
      <c r="J124" s="682" t="s">
        <v>268</v>
      </c>
      <c r="K124" s="42"/>
      <c r="L124"/>
      <c r="M124" s="356"/>
      <c r="N124" s="39"/>
      <c r="U124"/>
      <c r="V124" s="42"/>
      <c r="W124" s="39"/>
    </row>
    <row r="125" spans="1:46" customHeight="1" ht="18">
      <c r="B125" s="713" t="s">
        <v>269</v>
      </c>
      <c r="C125" s="714" t="s">
        <v>213</v>
      </c>
      <c r="D125" s="673">
        <f>F17</f>
        <v>0.31029224250138</v>
      </c>
      <c r="E125" s="674"/>
      <c r="F125" s="511"/>
      <c r="G125" s="511"/>
      <c r="H125" s="507" t="s">
        <v>232</v>
      </c>
      <c r="I125" s="510"/>
      <c r="K125" s="42"/>
      <c r="L125"/>
      <c r="M125" s="356"/>
      <c r="N125" s="39"/>
      <c r="U125"/>
      <c r="V125" s="42"/>
      <c r="W125" s="39"/>
    </row>
    <row r="126" spans="1:46" customHeight="1" ht="18">
      <c r="B126" s="713" t="s">
        <v>270</v>
      </c>
      <c r="C126" s="714" t="s">
        <v>150</v>
      </c>
      <c r="D126" s="673">
        <f>F18</f>
        <v>0.68970775749862</v>
      </c>
      <c r="E126" s="674"/>
      <c r="F126" s="511"/>
      <c r="G126" s="511"/>
      <c r="H126" s="506" t="s">
        <v>213</v>
      </c>
      <c r="I126" s="510">
        <f>C17</f>
        <v>0.31029224250138</v>
      </c>
      <c r="J126" s="510">
        <f>F17</f>
        <v>0.31029224250138</v>
      </c>
      <c r="K126" s="42"/>
      <c r="L126"/>
      <c r="M126" s="356"/>
      <c r="N126" s="39"/>
      <c r="U126"/>
      <c r="V126" s="42"/>
      <c r="W126" s="39"/>
    </row>
    <row r="127" spans="1:46" customHeight="1" ht="18">
      <c r="B127" s="713" t="s">
        <v>271</v>
      </c>
      <c r="C127" s="714" t="s">
        <v>157</v>
      </c>
      <c r="D127" s="673">
        <f>D112</f>
        <v>0.10678567591043</v>
      </c>
      <c r="E127" s="674"/>
      <c r="F127" s="511"/>
      <c r="G127" s="511"/>
      <c r="H127" s="506" t="s">
        <v>150</v>
      </c>
      <c r="I127" s="510">
        <f>C18</f>
        <v>0.68970775749862</v>
      </c>
      <c r="J127" s="510">
        <f>F18</f>
        <v>0.68970775749862</v>
      </c>
      <c r="K127" s="42"/>
      <c r="L127"/>
      <c r="M127" s="356"/>
      <c r="N127" s="39"/>
      <c r="U127"/>
      <c r="V127" s="42"/>
      <c r="W127" s="39"/>
    </row>
    <row r="128" spans="1:46" customHeight="1" ht="18">
      <c r="B128" s="713" t="s">
        <v>272</v>
      </c>
      <c r="C128" s="714" t="s">
        <v>231</v>
      </c>
      <c r="D128" s="673">
        <f>D122</f>
        <v>0.054311857142857</v>
      </c>
      <c r="E128" s="674"/>
      <c r="F128" s="511"/>
      <c r="G128" s="511"/>
      <c r="H128" s="506" t="s">
        <v>157</v>
      </c>
      <c r="I128" s="510">
        <f>C24</f>
        <v>0.091318340279219</v>
      </c>
      <c r="J128" s="510">
        <f>D112</f>
        <v>0.10678567591043</v>
      </c>
      <c r="K128" s="42"/>
      <c r="L128"/>
      <c r="M128" s="356"/>
      <c r="N128" s="39"/>
      <c r="U128"/>
      <c r="V128" s="42"/>
      <c r="W128" s="39"/>
    </row>
    <row r="129" spans="1:46" customHeight="1" ht="18">
      <c r="B129" s="715" t="s">
        <v>273</v>
      </c>
      <c r="C129" s="743" t="s">
        <v>173</v>
      </c>
      <c r="D129" s="510">
        <f>F37</f>
        <v>0.090503457012428</v>
      </c>
      <c r="E129" s="674"/>
      <c r="F129" s="511"/>
      <c r="G129" s="511"/>
      <c r="H129" s="672" t="s">
        <v>231</v>
      </c>
      <c r="I129" s="510">
        <f>C34</f>
        <v>0.03758216</v>
      </c>
      <c r="J129" s="673">
        <f>D122</f>
        <v>0.054311857142857</v>
      </c>
      <c r="K129" s="42"/>
      <c r="L129"/>
      <c r="M129" s="356"/>
      <c r="N129" s="39"/>
      <c r="U129"/>
      <c r="V129" s="42"/>
      <c r="W129" s="39"/>
    </row>
    <row r="130" spans="1:46" customHeight="1" ht="18">
      <c r="B130" s="703" t="s">
        <v>63</v>
      </c>
      <c r="C130" s="738" t="s">
        <v>60</v>
      </c>
      <c r="D130" s="709" t="s">
        <v>61</v>
      </c>
      <c r="E130" s="704" t="s">
        <v>62</v>
      </c>
      <c r="F130" s="511"/>
      <c r="G130" s="511"/>
      <c r="H130" s="675" t="s">
        <v>173</v>
      </c>
      <c r="I130" s="510">
        <f>C37</f>
        <v>0.074644420396922</v>
      </c>
      <c r="J130" s="510">
        <f>F37</f>
        <v>0.090503457012428</v>
      </c>
      <c r="K130" s="42"/>
      <c r="L130"/>
      <c r="M130" s="356"/>
      <c r="N130" s="39"/>
      <c r="U130"/>
      <c r="V130" s="42"/>
      <c r="W130" s="39"/>
    </row>
    <row r="131" spans="1:46" customHeight="1" ht="18">
      <c r="B131" s="705"/>
      <c r="C131" s="746" t="s">
        <v>274</v>
      </c>
      <c r="D131" s="690" t="str">
        <f>C73</f>
        <v>Columna1</v>
      </c>
      <c r="E131" s="691"/>
      <c r="F131" s="511"/>
      <c r="G131" s="511"/>
      <c r="H131"/>
      <c r="K131" s="42"/>
      <c r="L131"/>
      <c r="M131" s="356"/>
      <c r="N131" s="39"/>
      <c r="U131"/>
      <c r="V131" s="42"/>
      <c r="W131" s="39"/>
    </row>
    <row r="132" spans="1:46" customHeight="1" ht="18">
      <c r="B132" s="706" t="s">
        <v>275</v>
      </c>
      <c r="C132" s="746"/>
      <c r="D132" s="690" t="s">
        <v>4</v>
      </c>
      <c r="E132" s="691" t="s">
        <v>156</v>
      </c>
      <c r="F132" s="511"/>
      <c r="G132" s="511"/>
      <c r="H132"/>
      <c r="K132" s="42"/>
      <c r="L132"/>
      <c r="M132" s="356"/>
      <c r="N132" s="39"/>
      <c r="U132"/>
      <c r="V132" s="42"/>
      <c r="W132" s="39"/>
    </row>
    <row r="133" spans="1:46" customHeight="1" ht="18">
      <c r="B133" s="693" t="s">
        <v>276</v>
      </c>
      <c r="C133" s="692" t="s">
        <v>277</v>
      </c>
      <c r="D133" s="678">
        <f>IF(I7=0,I8,I7)</f>
        <v>0.0829</v>
      </c>
      <c r="E133" s="677">
        <f>IF(K7=0,K8,K7)</f>
        <v>0.10065956</v>
      </c>
      <c r="F133" s="511"/>
      <c r="G133" s="511"/>
      <c r="H133"/>
      <c r="K133" s="42"/>
      <c r="L133"/>
      <c r="M133" s="356"/>
      <c r="N133" s="39"/>
      <c r="U133"/>
      <c r="V133" s="42"/>
      <c r="W133" s="39"/>
    </row>
    <row r="134" spans="1:46" customHeight="1" ht="18">
      <c r="B134" s="693"/>
      <c r="C134" s="692" t="s">
        <v>278</v>
      </c>
      <c r="D134" s="678">
        <f>F33</f>
        <v>0.077038095238095</v>
      </c>
      <c r="E134" s="677"/>
      <c r="F134" s="511"/>
      <c r="G134" s="511"/>
      <c r="H134"/>
      <c r="K134" s="42"/>
      <c r="L134"/>
      <c r="M134" s="356"/>
      <c r="N134" s="39"/>
      <c r="O134" s="444" t="s">
        <v>279</v>
      </c>
      <c r="U134"/>
      <c r="V134" s="42"/>
      <c r="W134" s="39"/>
    </row>
    <row r="135" spans="1:46" customHeight="1" ht="18">
      <c r="B135" s="697" t="s">
        <v>280</v>
      </c>
      <c r="C135" s="707" t="s">
        <v>281</v>
      </c>
      <c r="D135" s="676">
        <f>I10</f>
        <v>0.005861904761905</v>
      </c>
      <c r="E135" s="513"/>
      <c r="F135" s="511"/>
      <c r="G135" s="511"/>
      <c r="H135"/>
      <c r="K135" s="42"/>
      <c r="L135"/>
      <c r="M135" s="356"/>
      <c r="N135" s="39"/>
      <c r="U135"/>
      <c r="V135" s="42"/>
      <c r="W135" s="39"/>
    </row>
    <row r="136" spans="1:46" customHeight="1" ht="18">
      <c r="B136" s="683" t="s">
        <v>63</v>
      </c>
      <c r="C136" s="747" t="s">
        <v>60</v>
      </c>
      <c r="D136" s="683" t="s">
        <v>61</v>
      </c>
      <c r="E136" s="684" t="s">
        <v>62</v>
      </c>
      <c r="F136" s="511"/>
      <c r="G136" s="511"/>
      <c r="H136"/>
      <c r="K136" s="42"/>
      <c r="L136"/>
      <c r="M136" s="356"/>
      <c r="N136" s="39" t="s">
        <v>63</v>
      </c>
      <c r="O136" t="s">
        <v>60</v>
      </c>
      <c r="P136" t="s">
        <v>61</v>
      </c>
      <c r="Q136" t="s">
        <v>62</v>
      </c>
      <c r="U136"/>
      <c r="V136" s="42"/>
      <c r="W136" s="39"/>
    </row>
    <row r="137" spans="1:46" customHeight="1" ht="18">
      <c r="B137" s="685"/>
      <c r="C137" s="746" t="s">
        <v>282</v>
      </c>
      <c r="D137" s="687" t="str">
        <f>C79</f>
        <v>Beta Desapalancado (Boa)</v>
      </c>
      <c r="E137" s="688"/>
      <c r="F137" s="511"/>
      <c r="G137" s="511"/>
      <c r="H137"/>
      <c r="K137" s="42"/>
      <c r="L137"/>
      <c r="M137" s="356"/>
      <c r="N137" s="39"/>
      <c r="O137" s="457"/>
      <c r="P137" s="475" t="s">
        <v>241</v>
      </c>
      <c r="Q137" s="476" t="s">
        <v>242</v>
      </c>
      <c r="U137"/>
      <c r="V137" s="42"/>
      <c r="W137" s="39"/>
    </row>
    <row r="138" spans="1:46" customHeight="1" ht="18">
      <c r="B138" s="689"/>
      <c r="C138" s="746"/>
      <c r="D138" s="690" t="s">
        <v>4</v>
      </c>
      <c r="E138" s="691" t="s">
        <v>156</v>
      </c>
      <c r="F138" s="511"/>
      <c r="G138" s="511"/>
      <c r="H138"/>
      <c r="K138" s="42"/>
      <c r="L138"/>
      <c r="M138" s="356"/>
      <c r="N138" s="757" t="s">
        <v>283</v>
      </c>
      <c r="O138" s="479" t="s">
        <v>141</v>
      </c>
      <c r="P138" s="450">
        <f>C24</f>
        <v>0.091318340279219</v>
      </c>
      <c r="Q138" s="450">
        <f>F24</f>
        <v>0.10678567591043</v>
      </c>
      <c r="U138"/>
      <c r="V138" s="42"/>
      <c r="W138" s="39"/>
    </row>
    <row r="139" spans="1:46" customHeight="1" ht="18">
      <c r="B139" s="693" t="s">
        <v>284</v>
      </c>
      <c r="C139" s="692" t="s">
        <v>285</v>
      </c>
      <c r="D139" s="678">
        <f>I17</f>
        <v>0.6151</v>
      </c>
      <c r="E139" s="688"/>
      <c r="F139" s="511"/>
      <c r="G139" s="511"/>
      <c r="H139"/>
      <c r="K139" s="42"/>
      <c r="L139"/>
      <c r="M139" s="356"/>
      <c r="N139" s="757" t="s">
        <v>286</v>
      </c>
      <c r="O139" s="479" t="s">
        <v>142</v>
      </c>
      <c r="P139" s="450">
        <f>C28</f>
        <v>0.079368475466239</v>
      </c>
      <c r="Q139" s="450">
        <f>F28</f>
        <v>0.094806570704334</v>
      </c>
      <c r="U139"/>
      <c r="V139" s="42"/>
      <c r="W139" s="39"/>
    </row>
    <row r="140" spans="1:46" customHeight="1" ht="18">
      <c r="B140" s="693" t="s">
        <v>287</v>
      </c>
      <c r="C140" s="692" t="s">
        <v>288</v>
      </c>
      <c r="D140" s="678">
        <f>I18</f>
        <v>0.3849</v>
      </c>
      <c r="E140" s="688"/>
      <c r="F140" s="511"/>
      <c r="G140" s="511"/>
      <c r="H140"/>
      <c r="K140" s="42"/>
      <c r="L140"/>
      <c r="M140" s="356"/>
      <c r="N140" s="757" t="s">
        <v>289</v>
      </c>
      <c r="O140" s="480" t="s">
        <v>203</v>
      </c>
      <c r="P140" s="450">
        <f>C34</f>
        <v>0.03758216</v>
      </c>
      <c r="Q140" s="450">
        <f>F34</f>
        <v>0.054311857142857</v>
      </c>
      <c r="U140"/>
      <c r="V140" s="42"/>
      <c r="W140" s="39"/>
    </row>
    <row r="141" spans="1:46" customHeight="1" ht="18">
      <c r="B141" s="689"/>
      <c r="C141" s="746" t="s">
        <v>290</v>
      </c>
      <c r="D141" s="687" t="str">
        <f>C83</f>
        <v>Spread de la Deuda</v>
      </c>
      <c r="E141" s="688"/>
      <c r="F141" s="511"/>
      <c r="G141" s="511"/>
      <c r="H141"/>
      <c r="K141" s="42"/>
      <c r="L141"/>
      <c r="M141" s="356"/>
      <c r="N141" s="757" t="s">
        <v>291</v>
      </c>
      <c r="O141" s="679" t="s">
        <v>204</v>
      </c>
      <c r="P141" s="680">
        <f>C37</f>
        <v>0.074644420396922</v>
      </c>
      <c r="Q141" s="680">
        <f>F37</f>
        <v>0.090503457012428</v>
      </c>
      <c r="U141"/>
      <c r="V141" s="42"/>
      <c r="W141" s="39"/>
    </row>
    <row r="142" spans="1:46" customHeight="1" ht="18">
      <c r="B142" s="693" t="s">
        <v>292</v>
      </c>
      <c r="C142" s="694" t="s">
        <v>218</v>
      </c>
      <c r="D142" s="695">
        <f>I21</f>
        <v>1.210011684973</v>
      </c>
      <c r="E142" s="696"/>
      <c r="F142" s="511"/>
      <c r="G142" s="511"/>
      <c r="H142"/>
      <c r="K142" s="42"/>
      <c r="L142"/>
      <c r="M142" s="356"/>
      <c r="N142" s="39"/>
      <c r="O142" s="508"/>
      <c r="P142" s="454"/>
      <c r="Q142" s="454"/>
      <c r="U142"/>
      <c r="V142" s="42"/>
      <c r="W142" s="39"/>
    </row>
    <row r="143" spans="1:46" customHeight="1" ht="18">
      <c r="B143" s="697" t="s">
        <v>293</v>
      </c>
      <c r="C143" s="748" t="s">
        <v>157</v>
      </c>
      <c r="D143" s="676">
        <f>I24</f>
        <v>0.1432</v>
      </c>
      <c r="E143" s="513">
        <f>J24</f>
        <v>0.1619</v>
      </c>
      <c r="F143" s="511"/>
      <c r="G143" s="511"/>
      <c r="H143"/>
      <c r="K143" s="42"/>
      <c r="L143"/>
      <c r="M143" s="356"/>
      <c r="N143" s="39"/>
      <c r="O143" s="508"/>
      <c r="P143" s="454"/>
      <c r="Q143" s="454"/>
      <c r="U143"/>
      <c r="V143" s="42"/>
      <c r="W143" s="39"/>
    </row>
    <row r="144" spans="1:46" customHeight="1" ht="18">
      <c r="B144" s="683" t="s">
        <v>63</v>
      </c>
      <c r="C144" s="747" t="s">
        <v>60</v>
      </c>
      <c r="D144" s="683" t="s">
        <v>61</v>
      </c>
      <c r="E144" s="684" t="s">
        <v>62</v>
      </c>
      <c r="F144" s="511"/>
      <c r="G144" s="511"/>
      <c r="H144"/>
      <c r="K144" s="42"/>
      <c r="L144"/>
      <c r="M144" s="356"/>
      <c r="N144" s="39"/>
      <c r="U144"/>
      <c r="V144" s="42"/>
      <c r="W144" s="39"/>
    </row>
    <row r="145" spans="1:46" customHeight="1" ht="18">
      <c r="B145" s="686"/>
      <c r="C145" s="749" t="s">
        <v>220</v>
      </c>
      <c r="D145" s="687" t="str">
        <f>C87</f>
        <v>Columna1</v>
      </c>
      <c r="E145" s="688"/>
      <c r="F145" s="511"/>
      <c r="G145" s="511"/>
      <c r="H145"/>
      <c r="K145" s="42"/>
      <c r="L145"/>
      <c r="M145" s="356"/>
      <c r="N145" s="39"/>
      <c r="U145"/>
      <c r="V145" s="42"/>
      <c r="W145" s="39"/>
    </row>
    <row r="146" spans="1:46" customHeight="1" ht="18">
      <c r="B146" s="700"/>
      <c r="C146" s="749"/>
      <c r="D146" s="690" t="s">
        <v>4</v>
      </c>
      <c r="E146" s="691" t="s">
        <v>156</v>
      </c>
      <c r="F146" s="511"/>
      <c r="G146" s="511"/>
      <c r="H146"/>
      <c r="K146" s="42"/>
      <c r="L146"/>
      <c r="M146" s="356"/>
      <c r="N146" s="39"/>
      <c r="U146"/>
      <c r="V146" s="42"/>
      <c r="W146" s="39"/>
    </row>
    <row r="147" spans="1:46" customHeight="1" ht="18">
      <c r="B147" s="701" t="s">
        <v>294</v>
      </c>
      <c r="C147" s="694" t="s">
        <v>295</v>
      </c>
      <c r="D147" s="678">
        <f>F28</f>
        <v>0.094806570704334</v>
      </c>
      <c r="E147" s="688"/>
      <c r="F147" s="511"/>
      <c r="G147" s="511"/>
      <c r="H147"/>
      <c r="K147" s="42"/>
      <c r="L147"/>
      <c r="M147" s="356"/>
      <c r="N147" s="39"/>
      <c r="U147"/>
      <c r="V147" s="42"/>
      <c r="W147" s="39"/>
    </row>
    <row r="148" spans="1:46" customHeight="1" ht="18">
      <c r="B148" s="701" t="s">
        <v>296</v>
      </c>
      <c r="C148" s="694" t="s">
        <v>281</v>
      </c>
      <c r="D148" s="678">
        <f>I10</f>
        <v>0.005861904761905</v>
      </c>
      <c r="E148" s="688"/>
      <c r="F148" s="511"/>
      <c r="G148" s="511"/>
      <c r="H148"/>
      <c r="K148" s="42"/>
      <c r="L148"/>
      <c r="M148" s="356"/>
      <c r="N148" s="39"/>
      <c r="U148"/>
      <c r="V148" s="42"/>
      <c r="W148" s="39"/>
    </row>
    <row r="149" spans="1:46" customHeight="1" ht="18">
      <c r="B149" s="702" t="s">
        <v>297</v>
      </c>
      <c r="C149" s="750" t="s">
        <v>164</v>
      </c>
      <c r="D149" s="676">
        <f>I28</f>
        <v>0.1007</v>
      </c>
      <c r="E149" s="513">
        <f>J28</f>
        <v>0.1188</v>
      </c>
      <c r="F149" s="511"/>
      <c r="G149" s="511"/>
      <c r="H149"/>
      <c r="K149" s="42"/>
      <c r="L149"/>
      <c r="M149" s="356"/>
      <c r="N149" s="39"/>
      <c r="U149"/>
      <c r="V149" s="42"/>
      <c r="W149" s="39"/>
    </row>
    <row r="150" spans="1:46" customHeight="1" ht="18">
      <c r="B150" s="698" t="s">
        <v>63</v>
      </c>
      <c r="C150" s="694" t="s">
        <v>60</v>
      </c>
      <c r="D150" s="683" t="s">
        <v>61</v>
      </c>
      <c r="E150" s="699" t="s">
        <v>62</v>
      </c>
      <c r="F150" s="511"/>
      <c r="G150" s="511"/>
      <c r="H150"/>
      <c r="K150" s="42"/>
      <c r="L150"/>
      <c r="M150" s="356"/>
      <c r="N150" s="39"/>
      <c r="U150"/>
      <c r="V150" s="42"/>
      <c r="W150" s="39"/>
    </row>
    <row r="151" spans="1:46" customHeight="1" ht="18">
      <c r="B151" s="686"/>
      <c r="C151" s="749" t="s">
        <v>224</v>
      </c>
      <c r="D151" s="687" t="str">
        <f>C93</f>
        <v>Costo Promedio Ponderado de Capital (CPPC)</v>
      </c>
      <c r="E151" s="688"/>
      <c r="F151" s="511"/>
      <c r="G151" s="511"/>
      <c r="H151"/>
      <c r="K151" s="42"/>
      <c r="L151"/>
      <c r="M151" s="356"/>
      <c r="N151" s="39"/>
      <c r="U151"/>
      <c r="V151" s="42"/>
      <c r="W151" s="39"/>
    </row>
    <row r="152" spans="1:46" customHeight="1" ht="18">
      <c r="B152" s="700"/>
      <c r="C152" s="749"/>
      <c r="D152" s="690" t="s">
        <v>4</v>
      </c>
      <c r="E152" s="691" t="s">
        <v>156</v>
      </c>
      <c r="F152" s="511"/>
      <c r="G152" s="511"/>
      <c r="H152"/>
      <c r="K152" s="42"/>
      <c r="L152"/>
      <c r="M152" s="356"/>
      <c r="N152" s="39"/>
      <c r="U152"/>
      <c r="V152" s="42"/>
      <c r="W152" s="39"/>
    </row>
    <row r="153" spans="1:46" customHeight="1" ht="18">
      <c r="B153" s="701" t="s">
        <v>298</v>
      </c>
      <c r="C153" s="694" t="s">
        <v>229</v>
      </c>
      <c r="D153" s="678">
        <f>I33</f>
        <v>0.0829</v>
      </c>
      <c r="E153" s="677">
        <f>J33</f>
        <v>0.1007</v>
      </c>
      <c r="F153" s="511"/>
      <c r="G153" s="511"/>
      <c r="H153"/>
      <c r="K153" s="42"/>
      <c r="L153"/>
      <c r="M153" s="356"/>
      <c r="N153" s="39"/>
      <c r="U153"/>
      <c r="V153" s="42"/>
      <c r="W153" s="39"/>
    </row>
    <row r="154" spans="1:46" customHeight="1" ht="18">
      <c r="B154" s="702" t="s">
        <v>299</v>
      </c>
      <c r="C154" s="750" t="s">
        <v>231</v>
      </c>
      <c r="D154" s="676">
        <f>I34</f>
        <v>0.0584</v>
      </c>
      <c r="E154" s="513">
        <f>J34</f>
        <v>0.071</v>
      </c>
      <c r="F154" s="511"/>
      <c r="G154" s="511"/>
      <c r="H154"/>
      <c r="K154" s="42"/>
      <c r="L154"/>
      <c r="M154" s="356"/>
      <c r="N154" s="39"/>
      <c r="U154"/>
      <c r="V154" s="42"/>
      <c r="W154" s="39"/>
    </row>
    <row r="155" spans="1:46" customHeight="1" ht="18">
      <c r="B155" s="683" t="s">
        <v>63</v>
      </c>
      <c r="C155" s="747" t="s">
        <v>60</v>
      </c>
      <c r="D155" s="683" t="s">
        <v>61</v>
      </c>
      <c r="E155" s="683" t="s">
        <v>62</v>
      </c>
      <c r="F155" s="511"/>
      <c r="G155" s="511"/>
      <c r="H155"/>
      <c r="K155" s="42"/>
      <c r="L155"/>
      <c r="M155" s="356"/>
      <c r="N155" s="39"/>
      <c r="U155"/>
      <c r="V155" s="42"/>
      <c r="W155" s="39"/>
    </row>
    <row r="156" spans="1:46" customHeight="1" ht="18">
      <c r="B156" s="685"/>
      <c r="C156" s="746" t="s">
        <v>232</v>
      </c>
      <c r="D156" s="687" t="s">
        <v>4</v>
      </c>
      <c r="E156" s="688" t="s">
        <v>300</v>
      </c>
      <c r="F156" s="511"/>
      <c r="G156" s="511"/>
      <c r="H156"/>
      <c r="K156" s="42"/>
      <c r="L156"/>
      <c r="M156" s="356"/>
      <c r="N156" s="39"/>
      <c r="U156"/>
      <c r="V156" s="42"/>
      <c r="W156" s="39"/>
    </row>
    <row r="157" spans="1:46" customHeight="1" ht="18">
      <c r="B157" s="693" t="s">
        <v>301</v>
      </c>
      <c r="C157" s="692" t="s">
        <v>213</v>
      </c>
      <c r="D157" s="678">
        <f>D139</f>
        <v>0.6151</v>
      </c>
      <c r="E157" s="688"/>
      <c r="F157" s="511"/>
      <c r="G157" s="511"/>
      <c r="H157"/>
      <c r="K157" s="42"/>
      <c r="L157"/>
      <c r="M157" s="356"/>
      <c r="N157" s="39"/>
      <c r="U157"/>
      <c r="V157" s="42"/>
      <c r="W157" s="39"/>
    </row>
    <row r="158" spans="1:46" customHeight="1" ht="18">
      <c r="B158" s="693" t="s">
        <v>301</v>
      </c>
      <c r="C158" s="692" t="s">
        <v>150</v>
      </c>
      <c r="D158" s="678">
        <f>D140</f>
        <v>0.3849</v>
      </c>
      <c r="E158" s="688"/>
      <c r="F158" s="511"/>
      <c r="G158" s="511"/>
      <c r="H158"/>
      <c r="K158" s="42"/>
      <c r="L158"/>
      <c r="M158" s="356"/>
      <c r="N158" s="39"/>
      <c r="U158"/>
      <c r="V158" s="42"/>
      <c r="W158" s="39"/>
    </row>
    <row r="159" spans="1:46" customHeight="1" ht="18">
      <c r="B159" s="693" t="s">
        <v>301</v>
      </c>
      <c r="C159" s="692" t="s">
        <v>157</v>
      </c>
      <c r="D159" s="678">
        <f>D143</f>
        <v>0.1432</v>
      </c>
      <c r="E159" s="677">
        <f>+J24</f>
        <v>0.1619</v>
      </c>
      <c r="F159" s="511"/>
      <c r="G159" s="511"/>
      <c r="H159"/>
      <c r="K159" s="42"/>
      <c r="L159"/>
      <c r="M159" s="356"/>
      <c r="N159" s="39"/>
      <c r="U159"/>
      <c r="V159" s="42"/>
      <c r="W159" s="39"/>
    </row>
    <row r="160" spans="1:46" customHeight="1" ht="18">
      <c r="B160" s="693" t="s">
        <v>301</v>
      </c>
      <c r="C160" s="692" t="s">
        <v>231</v>
      </c>
      <c r="D160" s="678">
        <f>D154</f>
        <v>0.0584</v>
      </c>
      <c r="E160" s="677">
        <f>+J34</f>
        <v>0.071</v>
      </c>
      <c r="F160" s="511"/>
      <c r="G160" s="511"/>
      <c r="H160"/>
      <c r="K160" s="42"/>
      <c r="L160"/>
      <c r="M160" s="356"/>
      <c r="N160" s="39"/>
      <c r="U160"/>
      <c r="V160" s="42"/>
      <c r="W160" s="39"/>
    </row>
    <row r="161" spans="1:46" customHeight="1" ht="18">
      <c r="B161" s="693" t="s">
        <v>301</v>
      </c>
      <c r="C161" s="751" t="s">
        <v>173</v>
      </c>
      <c r="D161" s="678">
        <f>I37</f>
        <v>0.091</v>
      </c>
      <c r="E161" s="513">
        <f>J37</f>
        <v>0.1089</v>
      </c>
      <c r="F161" s="511"/>
      <c r="G161" s="511"/>
      <c r="H161"/>
      <c r="K161" s="42"/>
      <c r="L161"/>
      <c r="M161" s="356"/>
      <c r="N161" s="39"/>
      <c r="U161"/>
      <c r="V161" s="42"/>
      <c r="W161" s="39"/>
    </row>
    <row r="162" spans="1:46" customHeight="1" ht="18">
      <c r="B162" s="511"/>
      <c r="C162" s="514"/>
      <c r="D162" s="688" t="str">
        <f>C104</f>
        <v>Columna1</v>
      </c>
      <c r="E162" s="515"/>
      <c r="F162" s="511"/>
      <c r="G162" s="511"/>
      <c r="H162"/>
      <c r="K162" s="42"/>
      <c r="L162"/>
      <c r="M162" s="356"/>
      <c r="N162" s="39"/>
      <c r="U162"/>
      <c r="V162" s="42"/>
      <c r="W162" s="39"/>
    </row>
    <row r="163" spans="1:46">
      <c r="B163" s="582" t="s">
        <v>302</v>
      </c>
      <c r="C163" s="752"/>
      <c r="D163" s="753" t="s">
        <v>125</v>
      </c>
      <c r="E163" s="753" t="s">
        <v>128</v>
      </c>
      <c r="F163" s="502"/>
      <c r="G163" s="502"/>
      <c r="H163" s="42"/>
      <c r="K163" s="42"/>
      <c r="L163" s="356"/>
      <c r="M163" s="356"/>
      <c r="N163" s="39"/>
      <c r="U163" s="42"/>
      <c r="V163" s="42"/>
      <c r="W163" s="39"/>
    </row>
    <row r="164" spans="1:46" customHeight="1" ht="18">
      <c r="B164" s="583" t="s">
        <v>303</v>
      </c>
      <c r="C164" s="509" t="s">
        <v>157</v>
      </c>
      <c r="D164" s="516">
        <f>D76</f>
        <v>0.091318340279219</v>
      </c>
      <c r="E164" s="516">
        <f>D112</f>
        <v>0.10678567591043</v>
      </c>
      <c r="F164" s="502"/>
      <c r="G164" s="502"/>
      <c r="H164"/>
      <c r="K164" s="42"/>
      <c r="L164"/>
      <c r="M164" s="356"/>
      <c r="N164" s="39"/>
      <c r="U164"/>
      <c r="V164" s="42"/>
      <c r="W164" s="39"/>
    </row>
    <row r="165" spans="1:46" customHeight="1" ht="18">
      <c r="B165" s="583" t="s">
        <v>304</v>
      </c>
      <c r="C165" s="509" t="s">
        <v>164</v>
      </c>
      <c r="D165" s="516">
        <f>D80</f>
        <v>0.079368475466239</v>
      </c>
      <c r="E165" s="516">
        <f>D116</f>
        <v>0.094806570704334</v>
      </c>
      <c r="F165" s="502"/>
      <c r="G165" s="502"/>
      <c r="H165"/>
      <c r="K165" s="42"/>
      <c r="L165"/>
      <c r="M165" s="356"/>
      <c r="N165" s="39"/>
      <c r="U165"/>
      <c r="V165" s="42"/>
      <c r="W165" s="39"/>
    </row>
    <row r="166" spans="1:46" customHeight="1" ht="18">
      <c r="B166" s="583" t="s">
        <v>305</v>
      </c>
      <c r="C166" s="509" t="s">
        <v>231</v>
      </c>
      <c r="D166" s="516">
        <f>D86</f>
        <v>0.03758216</v>
      </c>
      <c r="E166" s="516">
        <f>D122</f>
        <v>0.054311857142857</v>
      </c>
      <c r="F166" s="502"/>
      <c r="G166" s="502"/>
      <c r="H166"/>
      <c r="K166" s="42"/>
      <c r="L166"/>
      <c r="M166" s="356"/>
      <c r="N166" s="39"/>
      <c r="U166"/>
      <c r="V166" s="42"/>
      <c r="W166" s="39"/>
    </row>
    <row r="167" spans="1:46" customHeight="1" ht="18">
      <c r="B167" s="583" t="s">
        <v>306</v>
      </c>
      <c r="C167" s="509" t="s">
        <v>173</v>
      </c>
      <c r="D167" s="516">
        <f>D93</f>
        <v>0.074644420396922</v>
      </c>
      <c r="E167" s="516">
        <f>D129</f>
        <v>0.090503457012428</v>
      </c>
      <c r="F167" s="502"/>
      <c r="G167" s="502"/>
      <c r="H167"/>
      <c r="K167" s="42"/>
      <c r="L167"/>
      <c r="M167" s="356"/>
      <c r="N167" s="39"/>
      <c r="U167"/>
      <c r="V167" s="42"/>
      <c r="W167" s="39"/>
    </row>
    <row r="168" spans="1:46" customHeight="1" ht="18">
      <c r="B168" s="502"/>
      <c r="C168" s="502"/>
      <c r="D168" s="499" t="str">
        <f>C110</f>
        <v>Parámetros del Costo de Capital Financiero</v>
      </c>
      <c r="E168" s="502"/>
      <c r="F168" s="502"/>
      <c r="G168" s="502"/>
      <c r="K168" s="42"/>
      <c r="N168" s="444" t="s">
        <v>307</v>
      </c>
    </row>
    <row r="169" spans="1:46" customHeight="1" ht="18">
      <c r="B169" s="502"/>
      <c r="C169" s="502"/>
      <c r="D169" s="499" t="str">
        <f>C111</f>
        <v>Beta Apalancado (Be)</v>
      </c>
      <c r="E169" s="502"/>
      <c r="F169" s="502"/>
      <c r="G169" s="502"/>
    </row>
    <row r="170" spans="1:46" customHeight="1" ht="18">
      <c r="B170" s="582" t="s">
        <v>308</v>
      </c>
      <c r="C170" s="752"/>
      <c r="D170" s="753" t="s">
        <v>128</v>
      </c>
      <c r="E170" s="753"/>
      <c r="F170" s="502"/>
      <c r="G170" s="502"/>
    </row>
    <row r="171" spans="1:46" customHeight="1" ht="37.95">
      <c r="B171" s="583" t="s">
        <v>309</v>
      </c>
      <c r="C171" s="509" t="s">
        <v>157</v>
      </c>
      <c r="D171" s="516">
        <f>D112</f>
        <v>0.10678567591043</v>
      </c>
      <c r="E171" s="502"/>
      <c r="F171" s="502"/>
      <c r="G171" s="502"/>
      <c r="N171" s="457"/>
      <c r="O171" s="481" t="s">
        <v>241</v>
      </c>
      <c r="P171" s="482" t="s">
        <v>242</v>
      </c>
      <c r="Q171" s="483" t="s">
        <v>310</v>
      </c>
      <c r="R171" s="484" t="s">
        <v>311</v>
      </c>
    </row>
    <row r="172" spans="1:46" customHeight="1" ht="18">
      <c r="B172" s="583" t="s">
        <v>312</v>
      </c>
      <c r="C172" s="509" t="s">
        <v>164</v>
      </c>
      <c r="D172" s="516">
        <f>D116</f>
        <v>0.094806570704334</v>
      </c>
      <c r="E172" s="502"/>
      <c r="F172" s="502"/>
      <c r="G172" s="502"/>
      <c r="N172" s="485" t="s">
        <v>141</v>
      </c>
      <c r="O172" s="450">
        <f>P138</f>
        <v>0.091318340279219</v>
      </c>
      <c r="P172" s="450">
        <f>Q138</f>
        <v>0.10678567591043</v>
      </c>
      <c r="Q172" s="450">
        <f>I24</f>
        <v>0.1432</v>
      </c>
      <c r="R172" s="450">
        <f>J24</f>
        <v>0.1619</v>
      </c>
    </row>
    <row r="173" spans="1:46" customHeight="1" ht="18">
      <c r="B173" s="583" t="s">
        <v>313</v>
      </c>
      <c r="C173" s="509" t="s">
        <v>231</v>
      </c>
      <c r="D173" s="516">
        <f>D122</f>
        <v>0.054311857142857</v>
      </c>
      <c r="E173" s="502"/>
      <c r="F173" s="502"/>
      <c r="G173" s="502"/>
      <c r="N173" s="485" t="s">
        <v>142</v>
      </c>
      <c r="O173" s="450">
        <f>P139</f>
        <v>0.079368475466239</v>
      </c>
      <c r="P173" s="450">
        <f>Q139</f>
        <v>0.094806570704334</v>
      </c>
      <c r="Q173" s="450">
        <f>I28</f>
        <v>0.1007</v>
      </c>
      <c r="R173" s="450">
        <f>J28</f>
        <v>0.1188</v>
      </c>
    </row>
    <row r="174" spans="1:46" customHeight="1" ht="18">
      <c r="B174" s="583" t="s">
        <v>314</v>
      </c>
      <c r="C174" s="754" t="s">
        <v>173</v>
      </c>
      <c r="D174" s="755">
        <f>D129</f>
        <v>0.090503457012428</v>
      </c>
      <c r="E174" s="502"/>
      <c r="F174" s="502"/>
      <c r="G174" s="502"/>
      <c r="N174" s="486" t="s">
        <v>203</v>
      </c>
      <c r="O174" s="450">
        <f>P140</f>
        <v>0.03758216</v>
      </c>
      <c r="P174" s="450">
        <f>Q140</f>
        <v>0.054311857142857</v>
      </c>
      <c r="Q174" s="450">
        <f>I34</f>
        <v>0.0584</v>
      </c>
      <c r="R174" s="450">
        <f>J34</f>
        <v>0.071</v>
      </c>
    </row>
    <row r="175" spans="1:46" customHeight="1" ht="18">
      <c r="B175" s="582" t="s">
        <v>302</v>
      </c>
      <c r="C175" s="752"/>
      <c r="D175" s="753" t="s">
        <v>315</v>
      </c>
      <c r="E175" s="502"/>
      <c r="F175" s="502"/>
      <c r="G175" s="502"/>
      <c r="N175" s="486"/>
      <c r="O175" s="450"/>
      <c r="P175" s="450"/>
      <c r="Q175" s="450"/>
      <c r="R175" s="450"/>
    </row>
    <row r="176" spans="1:46" customHeight="1" ht="18">
      <c r="B176" s="583" t="s">
        <v>316</v>
      </c>
      <c r="C176" s="509" t="s">
        <v>157</v>
      </c>
      <c r="D176" s="516">
        <f>D143</f>
        <v>0.1432</v>
      </c>
      <c r="E176" s="502"/>
      <c r="F176" s="502"/>
      <c r="G176" s="502"/>
      <c r="N176" s="486" t="s">
        <v>204</v>
      </c>
      <c r="O176" s="450">
        <f>P141</f>
        <v>0.074644420396922</v>
      </c>
      <c r="P176" s="450">
        <f>Q141</f>
        <v>0.090503457012428</v>
      </c>
      <c r="Q176" s="450">
        <f>I37</f>
        <v>0.091</v>
      </c>
      <c r="R176" s="450">
        <f>J37</f>
        <v>0.1089</v>
      </c>
    </row>
    <row r="177" spans="1:46" customHeight="1" ht="18">
      <c r="B177" s="583" t="s">
        <v>317</v>
      </c>
      <c r="C177" s="509" t="s">
        <v>164</v>
      </c>
      <c r="D177" s="516">
        <f>D149</f>
        <v>0.1007</v>
      </c>
      <c r="E177" s="502"/>
      <c r="F177" s="502"/>
      <c r="G177" s="502"/>
    </row>
    <row r="178" spans="1:46" customHeight="1" ht="18">
      <c r="B178" s="583" t="s">
        <v>318</v>
      </c>
      <c r="C178" s="509" t="s">
        <v>231</v>
      </c>
      <c r="D178" s="516">
        <f>D154</f>
        <v>0.0584</v>
      </c>
      <c r="E178" s="502"/>
      <c r="F178" s="502"/>
      <c r="G178" s="502"/>
    </row>
    <row r="179" spans="1:46" customHeight="1" ht="18">
      <c r="B179" s="583" t="s">
        <v>319</v>
      </c>
      <c r="C179" s="754" t="s">
        <v>173</v>
      </c>
      <c r="D179" s="516">
        <f>D161</f>
        <v>0.091</v>
      </c>
      <c r="E179" s="502"/>
      <c r="F179" s="502"/>
      <c r="G179" s="502"/>
    </row>
    <row r="180" spans="1:46" customHeight="1" ht="18">
      <c r="B180" s="583" t="s">
        <v>320</v>
      </c>
      <c r="C180" s="754" t="str">
        <f>+C133</f>
        <v>Costo de Deuda de su Empresa</v>
      </c>
      <c r="D180" s="516">
        <f>+D133</f>
        <v>0.0829</v>
      </c>
      <c r="E180" s="502"/>
      <c r="F180" s="502"/>
      <c r="G180" s="502"/>
    </row>
    <row r="181" spans="1:46" customHeight="1" ht="18">
      <c r="B181" s="582" t="s">
        <v>321</v>
      </c>
      <c r="C181" s="752"/>
      <c r="D181" s="753" t="s">
        <v>322</v>
      </c>
      <c r="E181" s="502"/>
      <c r="F181" s="502"/>
      <c r="G181" s="502"/>
    </row>
    <row r="182" spans="1:46" customHeight="1" ht="18">
      <c r="B182" s="583" t="s">
        <v>323</v>
      </c>
      <c r="C182" s="509" t="s">
        <v>157</v>
      </c>
      <c r="D182" s="516">
        <f>E143</f>
        <v>0.1619</v>
      </c>
      <c r="E182" s="502"/>
      <c r="F182" s="502"/>
      <c r="G182" s="502"/>
    </row>
    <row r="183" spans="1:46" customHeight="1" ht="18">
      <c r="B183" s="583" t="s">
        <v>324</v>
      </c>
      <c r="C183" s="509" t="s">
        <v>164</v>
      </c>
      <c r="D183" s="516">
        <f>E149</f>
        <v>0.1188</v>
      </c>
      <c r="E183" s="502"/>
      <c r="F183" s="502"/>
      <c r="G183" s="502"/>
    </row>
    <row r="184" spans="1:46" customHeight="1" ht="18">
      <c r="B184" s="583" t="s">
        <v>325</v>
      </c>
      <c r="C184" s="509" t="s">
        <v>231</v>
      </c>
      <c r="D184" s="516">
        <f>E154</f>
        <v>0.071</v>
      </c>
      <c r="E184" s="502"/>
      <c r="F184" s="502"/>
      <c r="G184" s="502"/>
    </row>
    <row r="185" spans="1:46" customHeight="1" ht="18">
      <c r="B185" s="583" t="s">
        <v>326</v>
      </c>
      <c r="C185" s="754" t="s">
        <v>173</v>
      </c>
      <c r="D185" s="516">
        <f>E161</f>
        <v>0.1089</v>
      </c>
      <c r="E185" s="502"/>
      <c r="F185" s="502"/>
      <c r="G185" s="502"/>
    </row>
    <row r="186" spans="1:46" customHeight="1" ht="18">
      <c r="B186" s="583" t="s">
        <v>327</v>
      </c>
      <c r="C186" s="754" t="s">
        <v>277</v>
      </c>
      <c r="D186" s="755">
        <f>+E133</f>
        <v>0.10065956</v>
      </c>
      <c r="E186" s="502"/>
      <c r="F186" s="502"/>
      <c r="G186" s="502"/>
    </row>
    <row r="187" spans="1:46" customHeight="1" ht="18"/>
    <row r="188" spans="1:46" customHeight="1" ht="18"/>
    <row r="189" spans="1:46" customHeight="1" ht="18"/>
    <row r="190" spans="1:46" customHeight="1" ht="18"/>
    <row r="191" spans="1:46" customHeight="1" ht="18"/>
    <row r="192" spans="1:46" customHeight="1" ht="18"/>
    <row r="193" spans="1:46" customHeight="1" ht="18"/>
  </sheetData>
  <sheetProtection formatCells="0" formatColumns="0" formatRows="0" insertColumns="0" insertRows="0" insertHyperlinks="0" deleteColumns="0" deleteRows="0" sort="0" autoFilter="0" pivotTables="0"/>
  <mergeCells>
    <mergeCell ref="AH49:AN49"/>
    <mergeCell ref="N13:Q13"/>
    <mergeCell ref="N23:Q23"/>
    <mergeCell ref="N33:Q33"/>
    <mergeCell ref="Q49:W49"/>
    <mergeCell ref="Y49:AE49"/>
  </mergeCells>
  <dataValidations count="2">
    <dataValidation type="list" allowBlank="1" showDropDown="0" showInputMessage="1" showErrorMessage="1" sqref="C6">
      <formula1>'Rf Ajustado'!$A$14:$A$25</formula1>
    </dataValidation>
    <dataValidation type="list" allowBlank="1" showDropDown="0" showInputMessage="1" showErrorMessage="1" sqref="E3">
      <formula1>#REF!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5">
    <tablePart r:id="rId_table_1"/>
    <tablePart r:id="rId_table_2"/>
    <tablePart r:id="rId_table_3"/>
    <tablePart r:id="rId_table_4"/>
    <tablePart r:id="rId_table_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AF138"/>
  <sheetViews>
    <sheetView tabSelected="0" workbookViewId="0" zoomScale="70" zoomScaleNormal="70" showGridLines="true" showRowColHeaders="1">
      <selection activeCell="F29" sqref="F29"/>
    </sheetView>
  </sheetViews>
  <sheetFormatPr defaultRowHeight="14.4" outlineLevelRow="0" outlineLevelCol="0"/>
  <cols>
    <col min="1" max="1" width="31.88671875" customWidth="true" style="0"/>
    <col min="31" max="31" width="15.33203125" customWidth="true" style="0"/>
  </cols>
  <sheetData>
    <row r="1" spans="1:32">
      <c r="B1" s="113">
        <v>2021</v>
      </c>
      <c r="C1" s="113">
        <v>2021</v>
      </c>
      <c r="D1" s="113">
        <v>2021</v>
      </c>
      <c r="E1" s="113">
        <v>2021</v>
      </c>
      <c r="F1" s="113">
        <v>2021</v>
      </c>
      <c r="G1" s="113">
        <v>2021</v>
      </c>
      <c r="H1" s="113">
        <v>2022</v>
      </c>
      <c r="I1" s="113">
        <v>2022</v>
      </c>
      <c r="J1" s="113">
        <v>2022</v>
      </c>
      <c r="K1" s="113">
        <v>2022</v>
      </c>
      <c r="L1" s="113">
        <v>2022</v>
      </c>
      <c r="M1" s="113">
        <v>2022</v>
      </c>
      <c r="N1" s="113">
        <v>2023</v>
      </c>
      <c r="O1" s="113">
        <v>2023</v>
      </c>
      <c r="P1" s="113">
        <v>2023</v>
      </c>
      <c r="Q1" s="113">
        <v>2023</v>
      </c>
      <c r="R1" s="113">
        <v>2023</v>
      </c>
      <c r="S1" s="113">
        <v>2023</v>
      </c>
      <c r="T1" s="113">
        <v>2024</v>
      </c>
      <c r="U1" s="113">
        <v>2024</v>
      </c>
      <c r="V1" s="113">
        <v>2024</v>
      </c>
      <c r="W1" s="113">
        <v>2024</v>
      </c>
      <c r="X1" s="113">
        <v>2024</v>
      </c>
      <c r="Y1" s="113">
        <v>2024</v>
      </c>
      <c r="Z1">
        <v>2025</v>
      </c>
      <c r="AA1">
        <v>2025</v>
      </c>
      <c r="AB1">
        <v>2025</v>
      </c>
      <c r="AC1">
        <v>2025</v>
      </c>
      <c r="AD1">
        <v>2025</v>
      </c>
      <c r="AE1" s="113">
        <v>2025</v>
      </c>
    </row>
    <row r="2" spans="1:32" customHeight="1" ht="22.8">
      <c r="A2" s="24" t="s">
        <v>328</v>
      </c>
      <c r="B2" s="530" t="s">
        <v>329</v>
      </c>
      <c r="C2" s="530" t="s">
        <v>330</v>
      </c>
      <c r="D2" s="531" t="s">
        <v>331</v>
      </c>
      <c r="E2" s="530" t="s">
        <v>332</v>
      </c>
      <c r="F2" s="530" t="s">
        <v>333</v>
      </c>
      <c r="G2" s="649" t="s">
        <v>334</v>
      </c>
      <c r="H2" s="528" t="s">
        <v>329</v>
      </c>
      <c r="I2" s="528" t="s">
        <v>330</v>
      </c>
      <c r="J2" s="529" t="s">
        <v>331</v>
      </c>
      <c r="K2" s="528" t="s">
        <v>332</v>
      </c>
      <c r="L2" s="528" t="s">
        <v>333</v>
      </c>
      <c r="M2" s="649" t="s">
        <v>335</v>
      </c>
      <c r="N2" s="590" t="s">
        <v>329</v>
      </c>
      <c r="O2" s="590" t="s">
        <v>330</v>
      </c>
      <c r="P2" s="591" t="s">
        <v>331</v>
      </c>
      <c r="Q2" s="590" t="s">
        <v>332</v>
      </c>
      <c r="R2" s="590" t="s">
        <v>333</v>
      </c>
      <c r="S2" s="649" t="s">
        <v>334</v>
      </c>
      <c r="T2" s="592" t="s">
        <v>329</v>
      </c>
      <c r="U2" s="592" t="s">
        <v>330</v>
      </c>
      <c r="V2" s="593" t="s">
        <v>331</v>
      </c>
      <c r="W2" s="593" t="s">
        <v>332</v>
      </c>
      <c r="X2" s="592" t="s">
        <v>333</v>
      </c>
      <c r="Y2" s="649" t="s">
        <v>334</v>
      </c>
      <c r="Z2" s="530" t="s">
        <v>329</v>
      </c>
      <c r="AA2" s="530" t="s">
        <v>330</v>
      </c>
      <c r="AB2" s="531" t="s">
        <v>331</v>
      </c>
      <c r="AC2" s="530" t="s">
        <v>332</v>
      </c>
      <c r="AD2" s="530" t="s">
        <v>333</v>
      </c>
      <c r="AE2" s="649" t="s">
        <v>334</v>
      </c>
    </row>
    <row r="3" spans="1:32" customHeight="1" ht="15.6">
      <c r="A3" s="86" t="s">
        <v>138</v>
      </c>
      <c r="B3" s="88">
        <v>0.33979075084744</v>
      </c>
      <c r="C3" s="88">
        <v>0.66020924915256</v>
      </c>
      <c r="D3" s="88">
        <v>0.27</v>
      </c>
      <c r="E3" s="87">
        <v>1.3404215229302</v>
      </c>
      <c r="F3" s="88">
        <v>0.56696815123613</v>
      </c>
      <c r="G3" s="650">
        <v>0.02068</v>
      </c>
      <c r="H3" s="88">
        <v>0.33979075084744</v>
      </c>
      <c r="I3" s="88">
        <v>0.66020924915256</v>
      </c>
      <c r="J3" s="88">
        <v>0.27</v>
      </c>
      <c r="K3" s="87">
        <v>1.3404215229302</v>
      </c>
      <c r="L3" s="88">
        <v>0.56696815123613</v>
      </c>
      <c r="M3" s="650">
        <v>0.02068</v>
      </c>
      <c r="N3" s="88">
        <v>0.31029224250138</v>
      </c>
      <c r="O3" s="88">
        <v>0.68970775749862</v>
      </c>
      <c r="P3" s="88">
        <v>0.25</v>
      </c>
      <c r="Q3" s="87">
        <v>1.6317380595347</v>
      </c>
      <c r="R3" s="88">
        <v>0.52722114455333</v>
      </c>
      <c r="S3" s="650">
        <v>0.02</v>
      </c>
      <c r="T3" s="600">
        <v>0.2524180847971</v>
      </c>
      <c r="U3" s="600">
        <v>0.7475819152029</v>
      </c>
      <c r="V3" s="603">
        <v>0.25</v>
      </c>
      <c r="W3" s="604">
        <v>1.3723256229214</v>
      </c>
      <c r="X3" s="600">
        <v>0.56414425301504</v>
      </c>
      <c r="Y3" s="650">
        <v>0.014724</v>
      </c>
      <c r="Z3" s="648">
        <v>0.20758669213754</v>
      </c>
      <c r="AA3" s="655">
        <v>0.79241330786246</v>
      </c>
      <c r="AB3" s="650">
        <v>0.25</v>
      </c>
      <c r="AC3" s="662">
        <v>1.337294053</v>
      </c>
      <c r="AD3" s="655">
        <v>0.671856667</v>
      </c>
      <c r="AE3" s="650">
        <v>0.0183</v>
      </c>
    </row>
    <row r="4" spans="1:32" customHeight="1" ht="15.6">
      <c r="A4" s="89" t="s">
        <v>336</v>
      </c>
      <c r="B4" s="88">
        <v>0.2275094992718</v>
      </c>
      <c r="C4" s="88">
        <v>0.7724905007282</v>
      </c>
      <c r="D4" s="88">
        <v>0.27</v>
      </c>
      <c r="E4" s="87">
        <v>1.2810483683111</v>
      </c>
      <c r="F4" s="88">
        <v>0.38232192400001</v>
      </c>
      <c r="G4" s="651">
        <v>0.0165</v>
      </c>
      <c r="H4" s="88">
        <v>0.2275094992718</v>
      </c>
      <c r="I4" s="88">
        <v>0.7724905007282</v>
      </c>
      <c r="J4" s="88">
        <v>0.27</v>
      </c>
      <c r="K4" s="87">
        <v>1.2810483683111</v>
      </c>
      <c r="L4" s="88">
        <v>0.38232192400001</v>
      </c>
      <c r="M4" s="651">
        <v>0.0165</v>
      </c>
      <c r="N4" s="88">
        <v>0.20670883607151</v>
      </c>
      <c r="O4" s="88">
        <v>0.79329116392849</v>
      </c>
      <c r="P4" s="88">
        <v>0.25</v>
      </c>
      <c r="Q4" s="87">
        <v>1.4141822802592</v>
      </c>
      <c r="R4" s="88">
        <v>0.37555544953772</v>
      </c>
      <c r="S4" s="651">
        <v>0.0162</v>
      </c>
      <c r="T4" s="600">
        <v>0.20291777620163</v>
      </c>
      <c r="U4" s="600">
        <v>0.79708222379837</v>
      </c>
      <c r="V4" s="603">
        <v>0.25</v>
      </c>
      <c r="W4" s="604">
        <v>1.0764050153356</v>
      </c>
      <c r="X4" s="600">
        <v>0.36402149671231</v>
      </c>
      <c r="Y4" s="651">
        <v>0.012055</v>
      </c>
      <c r="Z4" s="659">
        <v>0.18562455188693</v>
      </c>
      <c r="AA4" s="656">
        <v>0.81437544811307</v>
      </c>
      <c r="AB4" s="651">
        <v>0.25</v>
      </c>
      <c r="AC4" s="663">
        <v>0.901553128</v>
      </c>
      <c r="AD4" s="656">
        <v>0.427424009</v>
      </c>
      <c r="AE4" s="651">
        <v>0.0095</v>
      </c>
    </row>
    <row r="5" spans="1:32">
      <c r="A5" s="86" t="s">
        <v>337</v>
      </c>
      <c r="B5" s="88">
        <v>0.60525992136278</v>
      </c>
      <c r="C5" s="88">
        <v>0.39474007863722</v>
      </c>
      <c r="D5" s="88">
        <v>0.27</v>
      </c>
      <c r="E5" s="87">
        <v>1.5829076060558</v>
      </c>
      <c r="F5" s="88">
        <v>0.40193094320646</v>
      </c>
      <c r="G5" s="650">
        <v>0.02068</v>
      </c>
      <c r="H5" s="88">
        <v>0.60525992136278</v>
      </c>
      <c r="I5" s="88">
        <v>0.39474007863722</v>
      </c>
      <c r="J5" s="88">
        <v>0.27</v>
      </c>
      <c r="K5" s="87">
        <v>1.5829076060558</v>
      </c>
      <c r="L5" s="88">
        <v>0.40193094320646</v>
      </c>
      <c r="M5" s="650">
        <v>0.02068</v>
      </c>
      <c r="N5" s="88">
        <v>0.6507579595971</v>
      </c>
      <c r="O5" s="88">
        <v>0.3492420404029</v>
      </c>
      <c r="P5" s="88">
        <v>0.25</v>
      </c>
      <c r="Q5" s="87">
        <v>1.4159650876967</v>
      </c>
      <c r="R5" s="88">
        <v>0.37727498727803</v>
      </c>
      <c r="S5" s="650">
        <v>0.0162</v>
      </c>
      <c r="T5" s="87">
        <v>0.61854039037606</v>
      </c>
      <c r="U5" s="87">
        <v>0.38145960962394</v>
      </c>
      <c r="V5" s="87">
        <v>0.25</v>
      </c>
      <c r="W5" s="87">
        <v>1.2668401714816</v>
      </c>
      <c r="X5" s="87">
        <v>0.44650998921901</v>
      </c>
      <c r="Y5" s="650">
        <v>0.012055</v>
      </c>
      <c r="Z5" s="648">
        <v>0.516502257461</v>
      </c>
      <c r="AA5" s="655">
        <v>0.483497742539</v>
      </c>
      <c r="AB5" s="650">
        <v>0.25</v>
      </c>
      <c r="AC5" s="662">
        <v>1.236006738</v>
      </c>
      <c r="AD5" s="655">
        <v>0.652716386</v>
      </c>
      <c r="AE5" s="650">
        <v>0.0183</v>
      </c>
    </row>
    <row r="6" spans="1:32">
      <c r="A6" s="89" t="s">
        <v>338</v>
      </c>
      <c r="B6" s="88">
        <v>0.24009984482321</v>
      </c>
      <c r="C6" s="88">
        <v>0.75990015517679</v>
      </c>
      <c r="D6" s="88">
        <v>0.27</v>
      </c>
      <c r="E6" s="87">
        <v>1.226582572555</v>
      </c>
      <c r="F6" s="88">
        <v>0.43487047041029</v>
      </c>
      <c r="G6" s="651">
        <v>0.02068</v>
      </c>
      <c r="H6" s="88">
        <v>0.24009984482321</v>
      </c>
      <c r="I6" s="88">
        <v>0.75990015517679</v>
      </c>
      <c r="J6" s="88">
        <v>0.27</v>
      </c>
      <c r="K6" s="87">
        <v>1.226582572555</v>
      </c>
      <c r="L6" s="88">
        <v>0.43487047041029</v>
      </c>
      <c r="M6" s="651">
        <v>0.02068</v>
      </c>
      <c r="N6" s="88">
        <v>0.34024906959821</v>
      </c>
      <c r="O6" s="88">
        <v>0.65975093040179</v>
      </c>
      <c r="P6" s="88">
        <v>0.25</v>
      </c>
      <c r="Q6" s="87">
        <v>1.3246974025642</v>
      </c>
      <c r="R6" s="88">
        <v>0.3850874692889</v>
      </c>
      <c r="S6" s="651">
        <v>0.0162</v>
      </c>
      <c r="T6" s="87">
        <v>0.32778750136095</v>
      </c>
      <c r="U6" s="87">
        <v>0.67221249863905</v>
      </c>
      <c r="V6" s="87">
        <v>0.25</v>
      </c>
      <c r="W6" s="87">
        <v>1.1946998769689</v>
      </c>
      <c r="X6" s="87">
        <v>0.37035509904588</v>
      </c>
      <c r="Y6" s="651">
        <v>0.012055</v>
      </c>
      <c r="Z6" s="659">
        <v>0.31454440216296</v>
      </c>
      <c r="AA6" s="656">
        <v>0.68545559783704</v>
      </c>
      <c r="AB6" s="651">
        <v>0.25</v>
      </c>
      <c r="AC6" s="663">
        <v>0.990568046</v>
      </c>
      <c r="AD6" s="656">
        <v>0.509263882</v>
      </c>
      <c r="AE6" s="651">
        <v>0.012</v>
      </c>
    </row>
    <row r="7" spans="1:32">
      <c r="A7" s="86" t="s">
        <v>339</v>
      </c>
      <c r="B7" s="88">
        <v>0.16570496371338</v>
      </c>
      <c r="C7" s="88">
        <v>0.83429503628662</v>
      </c>
      <c r="D7" s="88">
        <v>0.27</v>
      </c>
      <c r="E7" s="87">
        <v>1.1293063217758</v>
      </c>
      <c r="F7" s="88">
        <v>0.54776880027637</v>
      </c>
      <c r="G7" s="650">
        <v>0.02068</v>
      </c>
      <c r="H7" s="88">
        <v>0.16570496371338</v>
      </c>
      <c r="I7" s="88">
        <v>0.83429503628662</v>
      </c>
      <c r="J7" s="88">
        <v>0.27</v>
      </c>
      <c r="K7" s="87">
        <v>1.1293063217758</v>
      </c>
      <c r="L7" s="88">
        <v>0.54776880027637</v>
      </c>
      <c r="M7" s="650">
        <v>0.02068</v>
      </c>
      <c r="N7" s="88">
        <v>0.33418107062895</v>
      </c>
      <c r="O7" s="88">
        <v>0.66581892937105</v>
      </c>
      <c r="P7" s="88">
        <v>0.25</v>
      </c>
      <c r="Q7" s="87">
        <v>1.5405976750534</v>
      </c>
      <c r="R7" s="88">
        <v>0.52614124875248</v>
      </c>
      <c r="S7" s="650">
        <v>0.02</v>
      </c>
      <c r="T7" s="87">
        <v>0.2367543405333</v>
      </c>
      <c r="U7" s="87">
        <v>0.7632456594667</v>
      </c>
      <c r="V7" s="87">
        <v>0.25</v>
      </c>
      <c r="W7" s="87">
        <v>1.5223779065769</v>
      </c>
      <c r="X7" s="87">
        <v>0.59698514250326</v>
      </c>
      <c r="Y7" s="650">
        <v>0.014724</v>
      </c>
      <c r="Z7" s="648">
        <v>0.18297970555959</v>
      </c>
      <c r="AA7" s="655">
        <v>0.81702029444041</v>
      </c>
      <c r="AB7" s="650">
        <v>0.25</v>
      </c>
      <c r="AC7" s="662">
        <v>1.615412645</v>
      </c>
      <c r="AD7" s="655">
        <v>0.775911123</v>
      </c>
      <c r="AE7" s="650">
        <v>0.0183</v>
      </c>
    </row>
    <row r="8" spans="1:32">
      <c r="A8" s="89" t="s">
        <v>340</v>
      </c>
      <c r="B8" s="88">
        <v>0.24056373190498</v>
      </c>
      <c r="C8" s="88">
        <v>0.75943626809502</v>
      </c>
      <c r="D8" s="88">
        <v>0.27</v>
      </c>
      <c r="E8" s="87">
        <v>1.3980688847319</v>
      </c>
      <c r="F8" s="88">
        <v>0.37140419964616</v>
      </c>
      <c r="G8" s="651">
        <v>0.02068</v>
      </c>
      <c r="H8" s="88">
        <v>0.24056373190498</v>
      </c>
      <c r="I8" s="88">
        <v>0.75943626809502</v>
      </c>
      <c r="J8" s="88">
        <v>0.27</v>
      </c>
      <c r="K8" s="87">
        <v>1.3980688847319</v>
      </c>
      <c r="L8" s="88">
        <v>0.37140419964616</v>
      </c>
      <c r="M8" s="651">
        <v>0.0165</v>
      </c>
      <c r="N8" s="88">
        <v>0.29901008239034</v>
      </c>
      <c r="O8" s="88">
        <v>0.70098991760966</v>
      </c>
      <c r="P8" s="88">
        <v>0.25</v>
      </c>
      <c r="Q8" s="87">
        <v>1.4739918130238</v>
      </c>
      <c r="R8" s="88">
        <v>0.39519394771296</v>
      </c>
      <c r="S8" s="651">
        <v>0.0162</v>
      </c>
      <c r="T8" s="87">
        <v>0.2776627158727</v>
      </c>
      <c r="U8" s="87">
        <v>0.7223372841273</v>
      </c>
      <c r="V8" s="87">
        <v>0.25</v>
      </c>
      <c r="W8" s="87">
        <v>1.3444265903808</v>
      </c>
      <c r="X8" s="87">
        <v>0.370719640016</v>
      </c>
      <c r="Y8" s="651">
        <v>0.012055</v>
      </c>
      <c r="Z8" s="659">
        <v>0.32356185494134</v>
      </c>
      <c r="AA8" s="656">
        <v>0.67643814505866</v>
      </c>
      <c r="AB8" s="651">
        <v>0.25</v>
      </c>
      <c r="AC8" s="663">
        <v>1.225123783</v>
      </c>
      <c r="AD8" s="656">
        <v>0.526237487</v>
      </c>
      <c r="AE8" s="651">
        <v>0.012</v>
      </c>
    </row>
    <row r="9" spans="1:32">
      <c r="A9" s="86" t="s">
        <v>341</v>
      </c>
      <c r="B9" s="88">
        <v>0.17638569922055</v>
      </c>
      <c r="C9" s="88">
        <v>0.82361430077945</v>
      </c>
      <c r="D9" s="88">
        <v>0.27</v>
      </c>
      <c r="E9" s="87">
        <v>0.81936464501292</v>
      </c>
      <c r="F9" s="88">
        <v>0.3786599583436</v>
      </c>
      <c r="G9" s="650">
        <v>0.0165</v>
      </c>
      <c r="H9" s="88">
        <v>0.17638569922055</v>
      </c>
      <c r="I9" s="88">
        <v>0.82361430077945</v>
      </c>
      <c r="J9" s="88">
        <v>0.27</v>
      </c>
      <c r="K9" s="87">
        <v>0.81936464501292</v>
      </c>
      <c r="L9" s="88">
        <v>0.3786599583436</v>
      </c>
      <c r="M9" s="650">
        <v>0.0165</v>
      </c>
      <c r="N9" s="88">
        <v>0.18639448485009</v>
      </c>
      <c r="O9" s="88">
        <v>0.81360551514991</v>
      </c>
      <c r="P9" s="88">
        <v>0.25</v>
      </c>
      <c r="Q9" s="87">
        <v>1.0129742331996</v>
      </c>
      <c r="R9" s="88">
        <v>0.49874676442989</v>
      </c>
      <c r="S9" s="650">
        <v>0.0162</v>
      </c>
      <c r="T9" s="87">
        <v>0.19656022020067</v>
      </c>
      <c r="U9" s="87">
        <v>0.80343977979933</v>
      </c>
      <c r="V9" s="87">
        <v>0.25</v>
      </c>
      <c r="W9" s="87">
        <v>1.1318349126688</v>
      </c>
      <c r="X9" s="87">
        <v>0.49704140411936</v>
      </c>
      <c r="Y9" s="666">
        <v>0.012055</v>
      </c>
      <c r="Z9" s="648">
        <v>0.23351097343728</v>
      </c>
      <c r="AA9" s="655">
        <v>0.76648902656272</v>
      </c>
      <c r="AB9" s="650">
        <v>0.25</v>
      </c>
      <c r="AC9" s="662">
        <v>0.610297863</v>
      </c>
      <c r="AD9" s="655">
        <v>0.630763756</v>
      </c>
      <c r="AE9" s="650">
        <v>0.012</v>
      </c>
    </row>
    <row r="10" spans="1:32">
      <c r="A10" s="89" t="s">
        <v>342</v>
      </c>
      <c r="B10" s="88">
        <v>0.14271344348026</v>
      </c>
      <c r="C10" s="88">
        <v>0.85728655651974</v>
      </c>
      <c r="D10" s="88">
        <v>0.27</v>
      </c>
      <c r="E10" s="87">
        <v>1.2156865359253</v>
      </c>
      <c r="F10" s="88">
        <v>0.48265388855797</v>
      </c>
      <c r="G10" s="651">
        <v>0.02068</v>
      </c>
      <c r="H10" s="88">
        <v>0.14271344348026</v>
      </c>
      <c r="I10" s="88">
        <v>0.85728655651974</v>
      </c>
      <c r="J10" s="88">
        <v>0.27</v>
      </c>
      <c r="K10" s="87">
        <v>1.2156865359253</v>
      </c>
      <c r="L10" s="88">
        <v>0.48265388855797</v>
      </c>
      <c r="M10" s="651">
        <v>0.02068</v>
      </c>
      <c r="N10" s="88">
        <v>0.13246439822298</v>
      </c>
      <c r="O10" s="88">
        <v>0.86753560177702</v>
      </c>
      <c r="P10" s="88">
        <v>0.25</v>
      </c>
      <c r="Q10" s="87">
        <v>1.3034433070435</v>
      </c>
      <c r="R10" s="88">
        <v>0.41717146856964</v>
      </c>
      <c r="S10" s="651">
        <v>0.0162</v>
      </c>
      <c r="T10" s="87">
        <v>0.14615787524295</v>
      </c>
      <c r="U10" s="87">
        <v>0.85384212475705</v>
      </c>
      <c r="V10" s="87">
        <v>0.25</v>
      </c>
      <c r="W10" s="87">
        <v>0.76414587542459</v>
      </c>
      <c r="X10" s="87">
        <v>0.42961071148671</v>
      </c>
      <c r="Y10" s="651">
        <v>0.012055</v>
      </c>
      <c r="Z10" s="659">
        <v>0.16479514715169</v>
      </c>
      <c r="AA10" s="656">
        <v>0.83520485284831</v>
      </c>
      <c r="AB10" s="651">
        <v>0.25</v>
      </c>
      <c r="AC10" s="663">
        <v>0.567766101</v>
      </c>
      <c r="AD10" s="656">
        <v>0.476702678</v>
      </c>
      <c r="AE10" s="651">
        <v>0.012</v>
      </c>
    </row>
    <row r="11" spans="1:32">
      <c r="A11" s="86" t="s">
        <v>343</v>
      </c>
      <c r="B11" s="88">
        <v>0.5387927592624</v>
      </c>
      <c r="C11" s="88">
        <v>0.4612072407376</v>
      </c>
      <c r="D11" s="88">
        <v>0.27</v>
      </c>
      <c r="E11" s="87">
        <v>1.3520952869468</v>
      </c>
      <c r="F11" s="88">
        <v>0.48769409629655</v>
      </c>
      <c r="G11" s="650">
        <v>0.02068</v>
      </c>
      <c r="H11" s="88">
        <v>0.5387927592624</v>
      </c>
      <c r="I11" s="88">
        <v>0.4612072407376</v>
      </c>
      <c r="J11" s="88">
        <v>0.27</v>
      </c>
      <c r="K11" s="87">
        <v>1.3520952869468</v>
      </c>
      <c r="L11" s="88">
        <v>0.48769409629655</v>
      </c>
      <c r="M11" s="650">
        <v>0.02068</v>
      </c>
      <c r="N11" s="88">
        <v>0.59486626883899</v>
      </c>
      <c r="O11" s="88">
        <v>0.40513373116101</v>
      </c>
      <c r="P11" s="88">
        <v>0.25</v>
      </c>
      <c r="Q11" s="87">
        <v>1.3220586425472</v>
      </c>
      <c r="R11" s="88">
        <v>0.46898414558751</v>
      </c>
      <c r="S11" s="650">
        <v>0.0162</v>
      </c>
      <c r="T11" s="87">
        <v>0.63820798682921</v>
      </c>
      <c r="U11" s="87">
        <v>0.36179201317079</v>
      </c>
      <c r="V11" s="87">
        <v>0.25</v>
      </c>
      <c r="W11" s="87">
        <v>1.0609243999049</v>
      </c>
      <c r="X11" s="87">
        <v>0.38457133667076</v>
      </c>
      <c r="Y11" s="650">
        <v>0.012055</v>
      </c>
      <c r="Z11" s="648">
        <v>0.59929947491538</v>
      </c>
      <c r="AA11" s="655">
        <v>0.40070052508462</v>
      </c>
      <c r="AB11" s="650">
        <v>0.25</v>
      </c>
      <c r="AC11" s="662">
        <v>0.917523633</v>
      </c>
      <c r="AD11" s="655">
        <v>0.52595168</v>
      </c>
      <c r="AE11" s="650">
        <v>0.012</v>
      </c>
    </row>
    <row r="12" spans="1:32">
      <c r="A12" s="89" t="s">
        <v>344</v>
      </c>
      <c r="B12" s="88">
        <v>0.64599682229674</v>
      </c>
      <c r="C12" s="88">
        <v>0.35400317770326</v>
      </c>
      <c r="D12" s="88">
        <v>0.27</v>
      </c>
      <c r="E12" s="87">
        <v>1.1749812758827</v>
      </c>
      <c r="F12" s="88">
        <v>0.31739360898024</v>
      </c>
      <c r="G12" s="651">
        <v>0.0165</v>
      </c>
      <c r="H12" s="88">
        <v>0.64599682229674</v>
      </c>
      <c r="I12" s="88">
        <v>0.35400317770326</v>
      </c>
      <c r="J12" s="88">
        <v>0.27</v>
      </c>
      <c r="K12" s="87">
        <v>1.1749812758827</v>
      </c>
      <c r="L12" s="88">
        <v>0.31739360898024</v>
      </c>
      <c r="M12" s="651">
        <v>0.0165</v>
      </c>
      <c r="N12" s="88">
        <v>0.66787153511038</v>
      </c>
      <c r="O12" s="88">
        <v>0.33212846488962</v>
      </c>
      <c r="P12" s="88">
        <v>0.25</v>
      </c>
      <c r="Q12" s="87">
        <v>1.204808289618</v>
      </c>
      <c r="R12" s="88">
        <v>0.27996249256243</v>
      </c>
      <c r="S12" s="651">
        <v>0.0162</v>
      </c>
      <c r="T12" s="87">
        <v>0.69330765887709</v>
      </c>
      <c r="U12" s="87">
        <v>0.30669234112291</v>
      </c>
      <c r="V12" s="87">
        <v>0.25</v>
      </c>
      <c r="W12" s="87">
        <v>1.1203261939847</v>
      </c>
      <c r="X12" s="87">
        <v>0.25213732428211</v>
      </c>
      <c r="Y12" s="651">
        <v>0.012055</v>
      </c>
      <c r="Z12" s="659">
        <v>0.65106514891653</v>
      </c>
      <c r="AA12" s="656">
        <v>0.34893485108347</v>
      </c>
      <c r="AB12" s="651">
        <v>0.25</v>
      </c>
      <c r="AC12" s="663">
        <v>0.952267405</v>
      </c>
      <c r="AD12" s="656">
        <v>0.404908912</v>
      </c>
      <c r="AE12" s="651">
        <v>0.0095</v>
      </c>
    </row>
    <row r="13" spans="1:32">
      <c r="A13" s="86" t="s">
        <v>345</v>
      </c>
      <c r="B13" s="88">
        <v>0.15787201839639</v>
      </c>
      <c r="C13" s="88">
        <v>0.84212798160361</v>
      </c>
      <c r="D13" s="88">
        <v>0.27</v>
      </c>
      <c r="E13" s="87">
        <v>1.1871342649276</v>
      </c>
      <c r="F13" s="88">
        <v>0.3453500897695</v>
      </c>
      <c r="G13" s="650">
        <v>0.0165</v>
      </c>
      <c r="H13" s="88">
        <v>0.15787201839639</v>
      </c>
      <c r="I13" s="88">
        <v>0.84212798160361</v>
      </c>
      <c r="J13" s="88">
        <v>0.27</v>
      </c>
      <c r="K13" s="87">
        <v>1.1871342649276</v>
      </c>
      <c r="L13" s="88">
        <v>0.3453500897695</v>
      </c>
      <c r="M13" s="650">
        <v>0.0165</v>
      </c>
      <c r="N13" s="88">
        <v>0.2243625152024</v>
      </c>
      <c r="O13" s="88">
        <v>0.7756374847976</v>
      </c>
      <c r="P13" s="88">
        <v>0.25</v>
      </c>
      <c r="Q13" s="87">
        <v>1.2772800948237</v>
      </c>
      <c r="R13" s="88">
        <v>0.29189913847162</v>
      </c>
      <c r="S13" s="650">
        <v>0.0162</v>
      </c>
      <c r="T13" s="87">
        <v>0.15361123144803</v>
      </c>
      <c r="U13" s="87">
        <v>0.84638876855197</v>
      </c>
      <c r="V13" s="87">
        <v>0.25</v>
      </c>
      <c r="W13" s="87">
        <v>1.3177985305249</v>
      </c>
      <c r="X13" s="87">
        <v>0.28715879840268</v>
      </c>
      <c r="Y13" s="650">
        <v>0.012055</v>
      </c>
      <c r="Z13" s="648">
        <v>0.15947307956365</v>
      </c>
      <c r="AA13" s="655">
        <v>0.84052692043635</v>
      </c>
      <c r="AB13" s="650">
        <v>0.25</v>
      </c>
      <c r="AC13" s="662">
        <v>1.359882717</v>
      </c>
      <c r="AD13" s="655">
        <v>0.347474928</v>
      </c>
      <c r="AE13" s="650">
        <v>0.0095</v>
      </c>
    </row>
    <row r="14" spans="1:32">
      <c r="A14" s="89" t="s">
        <v>346</v>
      </c>
      <c r="B14" s="88">
        <v>0.18294499348775</v>
      </c>
      <c r="C14" s="88">
        <v>0.81705500651225</v>
      </c>
      <c r="D14" s="88">
        <v>0.27</v>
      </c>
      <c r="E14" s="87">
        <v>1.0891943033566</v>
      </c>
      <c r="F14" s="88">
        <v>0.41173436630185</v>
      </c>
      <c r="G14" s="651">
        <v>0.02068</v>
      </c>
      <c r="H14" s="88">
        <v>0.18294499348775</v>
      </c>
      <c r="I14" s="88">
        <v>0.81705500651225</v>
      </c>
      <c r="J14" s="88">
        <v>0.27</v>
      </c>
      <c r="K14" s="87">
        <v>1.0891943033566</v>
      </c>
      <c r="L14" s="88">
        <v>0.41173436630185</v>
      </c>
      <c r="M14" s="651">
        <v>0.02068</v>
      </c>
      <c r="N14" s="88">
        <v>0.21552515508878</v>
      </c>
      <c r="O14" s="88">
        <v>0.78447484491122</v>
      </c>
      <c r="P14" s="88">
        <v>0.25</v>
      </c>
      <c r="Q14" s="87">
        <v>1.170920020453</v>
      </c>
      <c r="R14" s="88">
        <v>0.45782493709707</v>
      </c>
      <c r="S14" s="651">
        <v>0.0162</v>
      </c>
      <c r="T14" s="87">
        <v>0.15210606535531</v>
      </c>
      <c r="U14" s="87">
        <v>0.84789393464469</v>
      </c>
      <c r="V14" s="87">
        <v>0.25</v>
      </c>
      <c r="W14" s="87">
        <v>1.022101721641</v>
      </c>
      <c r="X14" s="87">
        <v>0.41290054994468</v>
      </c>
      <c r="Y14" s="651">
        <v>0.012055</v>
      </c>
      <c r="Z14" s="659">
        <v>0.14369515909211</v>
      </c>
      <c r="AA14" s="656">
        <v>0.85630484090789</v>
      </c>
      <c r="AB14" s="651">
        <v>0.25</v>
      </c>
      <c r="AC14" s="663">
        <v>1.00384996</v>
      </c>
      <c r="AD14" s="656">
        <v>0.453932055</v>
      </c>
      <c r="AE14" s="651">
        <v>0.012</v>
      </c>
    </row>
    <row r="15" spans="1:32">
      <c r="A15" s="86" t="s">
        <v>347</v>
      </c>
      <c r="B15" s="88">
        <v>0.37544985904032</v>
      </c>
      <c r="C15" s="88">
        <v>0.62455014095968</v>
      </c>
      <c r="D15" s="88">
        <v>0.27</v>
      </c>
      <c r="E15" s="87">
        <v>0.93412874253081</v>
      </c>
      <c r="F15" s="88">
        <v>0.2007319735187</v>
      </c>
      <c r="G15" s="650">
        <v>0.0165</v>
      </c>
      <c r="H15" s="88">
        <v>0.37544985904032</v>
      </c>
      <c r="I15" s="88">
        <v>0.62455014095968</v>
      </c>
      <c r="J15" s="88">
        <v>0.27</v>
      </c>
      <c r="K15" s="87">
        <v>0.93412874253081</v>
      </c>
      <c r="L15" s="88">
        <v>0.2007319735187</v>
      </c>
      <c r="M15" s="650">
        <v>0.0099</v>
      </c>
      <c r="N15" s="88">
        <v>0.51752783876705</v>
      </c>
      <c r="O15" s="88">
        <v>0.48247216123295</v>
      </c>
      <c r="P15" s="88">
        <v>0.25</v>
      </c>
      <c r="Q15" s="87">
        <v>1.2551641961018</v>
      </c>
      <c r="R15" s="88">
        <v>0.2540691750565</v>
      </c>
      <c r="S15" s="650">
        <v>0.0162</v>
      </c>
      <c r="T15" s="87">
        <v>0.50426003463258</v>
      </c>
      <c r="U15" s="87">
        <v>0.49573996536742</v>
      </c>
      <c r="V15" s="87">
        <v>0.25</v>
      </c>
      <c r="W15" s="87">
        <v>1.276798315898</v>
      </c>
      <c r="X15" s="87">
        <v>0.33005304195587</v>
      </c>
      <c r="Y15" s="650">
        <v>0.012055</v>
      </c>
      <c r="Z15" s="648">
        <v>0.55821493937237</v>
      </c>
      <c r="AA15" s="655">
        <v>0.44178506062763</v>
      </c>
      <c r="AB15" s="650">
        <v>0.25</v>
      </c>
      <c r="AC15" s="662">
        <v>0.960510745</v>
      </c>
      <c r="AD15" s="655">
        <v>0.497327842</v>
      </c>
      <c r="AE15" s="650">
        <v>0.012</v>
      </c>
    </row>
    <row r="16" spans="1:32">
      <c r="A16" s="89" t="s">
        <v>348</v>
      </c>
      <c r="B16" s="88">
        <v>0.30918659624352</v>
      </c>
      <c r="C16" s="88">
        <v>0.69081340375648</v>
      </c>
      <c r="D16" s="88">
        <v>0.27</v>
      </c>
      <c r="E16" s="87">
        <v>1.1624244348249</v>
      </c>
      <c r="F16" s="88">
        <v>0.45018877687708</v>
      </c>
      <c r="G16" s="651">
        <v>0.02068</v>
      </c>
      <c r="H16" s="88">
        <v>0.30918659624352</v>
      </c>
      <c r="I16" s="88">
        <v>0.69081340375648</v>
      </c>
      <c r="J16" s="88">
        <v>0.27</v>
      </c>
      <c r="K16" s="87">
        <v>1.1624244348249</v>
      </c>
      <c r="L16" s="88">
        <v>0.45018877687708</v>
      </c>
      <c r="M16" s="651">
        <v>0.02068</v>
      </c>
      <c r="N16" s="88">
        <v>0.32569374593561</v>
      </c>
      <c r="O16" s="88">
        <v>0.67430625406439</v>
      </c>
      <c r="P16" s="88">
        <v>0.25</v>
      </c>
      <c r="Q16" s="87">
        <v>1.2471014770998</v>
      </c>
      <c r="R16" s="88">
        <v>0.4657900442176</v>
      </c>
      <c r="S16" s="651">
        <v>0.0162</v>
      </c>
      <c r="T16" s="87">
        <v>0.31354657676699</v>
      </c>
      <c r="U16" s="87">
        <v>0.68645342323301</v>
      </c>
      <c r="V16" s="87">
        <v>0.25</v>
      </c>
      <c r="W16" s="87">
        <v>1.0962670773317</v>
      </c>
      <c r="X16" s="87">
        <v>0.38924523542651</v>
      </c>
      <c r="Y16" s="651">
        <v>0.012055</v>
      </c>
      <c r="Z16" s="659">
        <v>0.36810087599643</v>
      </c>
      <c r="AA16" s="656">
        <v>0.63189912400357</v>
      </c>
      <c r="AB16" s="651">
        <v>0.25</v>
      </c>
      <c r="AC16" s="663">
        <v>1.147686922</v>
      </c>
      <c r="AD16" s="656">
        <v>0.500216196</v>
      </c>
      <c r="AE16" s="651">
        <v>0.012</v>
      </c>
    </row>
    <row r="17" spans="1:32">
      <c r="A17" s="86" t="s">
        <v>349</v>
      </c>
      <c r="B17" s="88">
        <v>0.32156484408921</v>
      </c>
      <c r="C17" s="88">
        <v>0.67843515591079</v>
      </c>
      <c r="D17" s="88">
        <v>0.27</v>
      </c>
      <c r="E17" s="87">
        <v>1.5028204045767</v>
      </c>
      <c r="F17" s="88">
        <v>0.37291591458524</v>
      </c>
      <c r="G17" s="650">
        <v>0.0165</v>
      </c>
      <c r="H17" s="88">
        <v>0.32156484408921</v>
      </c>
      <c r="I17" s="88">
        <v>0.67843515591079</v>
      </c>
      <c r="J17" s="88">
        <v>0.27</v>
      </c>
      <c r="K17" s="87">
        <v>1.5028204045767</v>
      </c>
      <c r="L17" s="88">
        <v>0.37291591458524</v>
      </c>
      <c r="M17" s="650">
        <v>0.0165</v>
      </c>
      <c r="N17" s="88">
        <v>0.36805699288839</v>
      </c>
      <c r="O17" s="88">
        <v>0.63194300711161</v>
      </c>
      <c r="P17" s="88">
        <v>0.25</v>
      </c>
      <c r="Q17" s="87">
        <v>1.4125912305601</v>
      </c>
      <c r="R17" s="88">
        <v>0.39493176140036</v>
      </c>
      <c r="S17" s="650">
        <v>0.0162</v>
      </c>
      <c r="T17" s="87">
        <v>0.41012862019664</v>
      </c>
      <c r="U17" s="87">
        <v>0.58987137980336</v>
      </c>
      <c r="V17" s="87">
        <v>0.25</v>
      </c>
      <c r="W17" s="87">
        <v>1.1332797311391</v>
      </c>
      <c r="X17" s="87">
        <v>0.37242278384438</v>
      </c>
      <c r="Y17" s="650">
        <v>0.012055</v>
      </c>
      <c r="Z17" s="648">
        <v>0.53078499492481</v>
      </c>
      <c r="AA17" s="655">
        <v>0.46921500507519</v>
      </c>
      <c r="AB17" s="650">
        <v>0.25</v>
      </c>
      <c r="AC17" s="662">
        <v>0.994138662</v>
      </c>
      <c r="AD17" s="655">
        <v>0.469704194</v>
      </c>
      <c r="AE17" s="650">
        <v>0.012</v>
      </c>
    </row>
    <row r="18" spans="1:32">
      <c r="A18" s="89" t="s">
        <v>350</v>
      </c>
      <c r="B18" s="88">
        <v>0.16295575914951</v>
      </c>
      <c r="C18" s="88">
        <v>0.83704424085049</v>
      </c>
      <c r="D18" s="88">
        <v>0.27</v>
      </c>
      <c r="E18" s="87">
        <v>1.10274663583</v>
      </c>
      <c r="F18" s="88">
        <v>0.407237209193</v>
      </c>
      <c r="G18" s="651">
        <v>0.0165</v>
      </c>
      <c r="H18" s="88">
        <v>0.16295575914951</v>
      </c>
      <c r="I18" s="88">
        <v>0.83704424085049</v>
      </c>
      <c r="J18" s="88">
        <v>0.27</v>
      </c>
      <c r="K18" s="87">
        <v>1.10274663583</v>
      </c>
      <c r="L18" s="88">
        <v>0.407237209193</v>
      </c>
      <c r="M18" s="651">
        <v>0.02068</v>
      </c>
      <c r="N18" s="88">
        <v>0.21509733288409</v>
      </c>
      <c r="O18" s="88">
        <v>0.78490266711591</v>
      </c>
      <c r="P18" s="88">
        <v>0.25</v>
      </c>
      <c r="Q18" s="87">
        <v>1.2772947079306</v>
      </c>
      <c r="R18" s="88">
        <v>0.42320469092144</v>
      </c>
      <c r="S18" s="651">
        <v>0.0162</v>
      </c>
      <c r="T18" s="87">
        <v>0.21148852013849</v>
      </c>
      <c r="U18" s="87">
        <v>0.78851147986151</v>
      </c>
      <c r="V18" s="87">
        <v>0.25</v>
      </c>
      <c r="W18" s="87">
        <v>1.0873832852798</v>
      </c>
      <c r="X18" s="87">
        <v>0.36600539277751</v>
      </c>
      <c r="Y18" s="651">
        <v>0.012055</v>
      </c>
      <c r="Z18" s="659">
        <v>0.21336957255392</v>
      </c>
      <c r="AA18" s="656">
        <v>0.78663042744608</v>
      </c>
      <c r="AB18" s="651">
        <v>0.25</v>
      </c>
      <c r="AC18" s="663">
        <v>0.921548907</v>
      </c>
      <c r="AD18" s="656">
        <v>0.481493551</v>
      </c>
      <c r="AE18" s="651">
        <v>0.012</v>
      </c>
    </row>
    <row r="19" spans="1:32">
      <c r="A19" s="379" t="s">
        <v>351</v>
      </c>
      <c r="B19" s="88">
        <v>0.29402745890662</v>
      </c>
      <c r="C19" s="88">
        <v>0.70597254109338</v>
      </c>
      <c r="D19" s="88">
        <v>0.27</v>
      </c>
      <c r="E19" s="87">
        <v>0.91562861731458</v>
      </c>
      <c r="F19" s="88">
        <v>0.58569716334996</v>
      </c>
      <c r="G19" s="650">
        <v>0.02068</v>
      </c>
      <c r="H19" s="88">
        <v>0.29402745890662</v>
      </c>
      <c r="I19" s="88">
        <v>0.70597254109338</v>
      </c>
      <c r="J19" s="88">
        <v>0.27</v>
      </c>
      <c r="K19" s="87">
        <v>0.91562861731458</v>
      </c>
      <c r="L19" s="88">
        <v>0.58569716334996</v>
      </c>
      <c r="M19" s="650">
        <v>0.02068</v>
      </c>
      <c r="N19" s="88">
        <v>0.17836697027389</v>
      </c>
      <c r="O19" s="88">
        <v>0.82163302972611</v>
      </c>
      <c r="P19" s="88">
        <v>0.25</v>
      </c>
      <c r="Q19" s="87">
        <v>1.4521788818809</v>
      </c>
      <c r="R19" s="88">
        <v>0.61956739404999</v>
      </c>
      <c r="S19" s="650">
        <v>0.02</v>
      </c>
      <c r="T19" s="87">
        <v>0.1839681585159</v>
      </c>
      <c r="U19" s="87">
        <v>0.8160318414841</v>
      </c>
      <c r="V19" s="87">
        <v>0.25</v>
      </c>
      <c r="W19" s="87">
        <v>1.2707580825145</v>
      </c>
      <c r="X19" s="87">
        <v>0.556922598997</v>
      </c>
      <c r="Y19" s="650">
        <v>0.014724</v>
      </c>
      <c r="Z19" s="648">
        <v>0.086500147949946</v>
      </c>
      <c r="AA19" s="655">
        <v>0.91349985205005</v>
      </c>
      <c r="AB19" s="650">
        <v>0.25</v>
      </c>
      <c r="AC19" s="662">
        <v>1.182062997</v>
      </c>
      <c r="AD19" s="655">
        <v>0.537782229</v>
      </c>
      <c r="AE19" s="650">
        <v>0.012</v>
      </c>
    </row>
    <row r="20" spans="1:32">
      <c r="A20" s="89" t="s">
        <v>352</v>
      </c>
      <c r="B20" s="88">
        <v>0.21223039185456</v>
      </c>
      <c r="C20" s="88">
        <v>0.78776960814544</v>
      </c>
      <c r="D20" s="88">
        <v>0.27</v>
      </c>
      <c r="E20" s="87">
        <v>1.1988227196576</v>
      </c>
      <c r="F20" s="88">
        <v>0.48442476717079</v>
      </c>
      <c r="G20" s="651">
        <v>0.02068</v>
      </c>
      <c r="H20" s="88">
        <v>0.21223039185456</v>
      </c>
      <c r="I20" s="88">
        <v>0.78776960814544</v>
      </c>
      <c r="J20" s="88">
        <v>0.27</v>
      </c>
      <c r="K20" s="87">
        <v>1.1988227196576</v>
      </c>
      <c r="L20" s="88">
        <v>0.48442476717079</v>
      </c>
      <c r="M20" s="651">
        <v>0.02068</v>
      </c>
      <c r="N20" s="88">
        <v>0.2456419916292</v>
      </c>
      <c r="O20" s="88">
        <v>0.7543580083708</v>
      </c>
      <c r="P20" s="88">
        <v>0.25</v>
      </c>
      <c r="Q20" s="87">
        <v>1.171386932289</v>
      </c>
      <c r="R20" s="88">
        <v>0.47775300169021</v>
      </c>
      <c r="S20" s="651">
        <v>0.0162</v>
      </c>
      <c r="T20" s="87">
        <v>0.22566035729966</v>
      </c>
      <c r="U20" s="87">
        <v>0.77433964270034</v>
      </c>
      <c r="V20" s="87">
        <v>0.25</v>
      </c>
      <c r="W20" s="87">
        <v>0.99732353782807</v>
      </c>
      <c r="X20" s="87">
        <v>0.49612772702275</v>
      </c>
      <c r="Y20" s="651">
        <v>0.012055</v>
      </c>
      <c r="Z20" s="659">
        <v>0.20842271411909</v>
      </c>
      <c r="AA20" s="656">
        <v>0.79157728588091</v>
      </c>
      <c r="AB20" s="651">
        <v>0.25</v>
      </c>
      <c r="AC20" s="663">
        <v>1.234460621</v>
      </c>
      <c r="AD20" s="656">
        <v>0.443962787</v>
      </c>
      <c r="AE20" s="651">
        <v>0.0095</v>
      </c>
    </row>
    <row r="21" spans="1:32">
      <c r="A21" s="86" t="s">
        <v>353</v>
      </c>
      <c r="B21" s="88">
        <v>0.070429273759932</v>
      </c>
      <c r="C21" s="88">
        <v>0.92957072624007</v>
      </c>
      <c r="D21" s="88">
        <v>0.27</v>
      </c>
      <c r="E21" s="87">
        <v>1.286747131947</v>
      </c>
      <c r="F21" s="88">
        <v>0.51273763968374</v>
      </c>
      <c r="G21" s="650">
        <v>0.02068</v>
      </c>
      <c r="H21" s="88">
        <v>0.070429273759932</v>
      </c>
      <c r="I21" s="88">
        <v>0.92957072624007</v>
      </c>
      <c r="J21" s="88">
        <v>0.27</v>
      </c>
      <c r="K21" s="87">
        <v>1.286747131947</v>
      </c>
      <c r="L21" s="88">
        <v>0.51273763968374</v>
      </c>
      <c r="M21" s="650">
        <v>0.02068</v>
      </c>
      <c r="N21" s="88">
        <v>0.086947263270186</v>
      </c>
      <c r="O21" s="88">
        <v>0.91305273672981</v>
      </c>
      <c r="P21" s="88">
        <v>0.25</v>
      </c>
      <c r="Q21" s="87">
        <v>1.2910863648382</v>
      </c>
      <c r="R21" s="88">
        <v>0.48725444355957</v>
      </c>
      <c r="S21" s="650">
        <v>0.0162</v>
      </c>
      <c r="T21" s="87">
        <v>0.057417446747049</v>
      </c>
      <c r="U21" s="87">
        <v>0.94258255325295</v>
      </c>
      <c r="V21" s="87">
        <v>0.25</v>
      </c>
      <c r="W21" s="87">
        <v>1.1329223650294</v>
      </c>
      <c r="X21" s="87">
        <v>0.38898164531277</v>
      </c>
      <c r="Y21" s="650">
        <v>0.012055</v>
      </c>
      <c r="Z21" s="648">
        <v>0.045958192552513</v>
      </c>
      <c r="AA21" s="655">
        <v>0.95404180744749</v>
      </c>
      <c r="AB21" s="650">
        <v>0.25</v>
      </c>
      <c r="AC21" s="662">
        <v>1.142245646</v>
      </c>
      <c r="AD21" s="655">
        <v>0.526219681</v>
      </c>
      <c r="AE21" s="650">
        <v>0.012</v>
      </c>
    </row>
    <row r="22" spans="1:32">
      <c r="A22" s="89" t="s">
        <v>354</v>
      </c>
      <c r="B22" s="88">
        <v>0.21839418375643</v>
      </c>
      <c r="C22" s="88">
        <v>0.78160581624357</v>
      </c>
      <c r="D22" s="88">
        <v>0.27</v>
      </c>
      <c r="E22" s="87">
        <v>1.1085751411224</v>
      </c>
      <c r="F22" s="88">
        <v>0.40006447227811</v>
      </c>
      <c r="G22" s="651">
        <v>0.0165</v>
      </c>
      <c r="H22" s="88">
        <v>0.21839418375643</v>
      </c>
      <c r="I22" s="88">
        <v>0.78160581624357</v>
      </c>
      <c r="J22" s="88">
        <v>0.27</v>
      </c>
      <c r="K22" s="87">
        <v>1.1085751411224</v>
      </c>
      <c r="L22" s="88">
        <v>0.40006447227811</v>
      </c>
      <c r="M22" s="651">
        <v>0.02068</v>
      </c>
      <c r="N22" s="88">
        <v>0.23151570788836</v>
      </c>
      <c r="O22" s="88">
        <v>0.76848429211164</v>
      </c>
      <c r="P22" s="88">
        <v>0.25</v>
      </c>
      <c r="Q22" s="87">
        <v>1.2643960028602</v>
      </c>
      <c r="R22" s="88">
        <v>0.35111645283882</v>
      </c>
      <c r="S22" s="651">
        <v>0.0162</v>
      </c>
      <c r="T22" s="87">
        <v>0.19808486343548</v>
      </c>
      <c r="U22" s="87">
        <v>0.80191513656452</v>
      </c>
      <c r="V22" s="87">
        <v>0.25</v>
      </c>
      <c r="W22" s="87">
        <v>1.1279620532845</v>
      </c>
      <c r="X22" s="87">
        <v>0.37831296869001</v>
      </c>
      <c r="Y22" s="651">
        <v>0.012055</v>
      </c>
      <c r="Z22" s="659">
        <v>0.17739375240337</v>
      </c>
      <c r="AA22" s="656">
        <v>0.82260624759663</v>
      </c>
      <c r="AB22" s="651">
        <v>0.25</v>
      </c>
      <c r="AC22" s="663">
        <v>1.293637225</v>
      </c>
      <c r="AD22" s="656">
        <v>0.475248388</v>
      </c>
      <c r="AE22" s="651">
        <v>0.012</v>
      </c>
    </row>
    <row r="23" spans="1:32">
      <c r="A23" s="86" t="s">
        <v>355</v>
      </c>
      <c r="B23" s="88">
        <v>0.18447898233232</v>
      </c>
      <c r="C23" s="88">
        <v>0.81552101766768</v>
      </c>
      <c r="D23" s="88">
        <v>0.27</v>
      </c>
      <c r="E23" s="87">
        <v>0.75438848401831</v>
      </c>
      <c r="F23" s="88">
        <v>0.30110983992728</v>
      </c>
      <c r="G23" s="650">
        <v>0.0165</v>
      </c>
      <c r="H23" s="88">
        <v>0.18447898233232</v>
      </c>
      <c r="I23" s="88">
        <v>0.81552101766768</v>
      </c>
      <c r="J23" s="88">
        <v>0.27</v>
      </c>
      <c r="K23" s="87">
        <v>0.75438848401831</v>
      </c>
      <c r="L23" s="88">
        <v>0.30110983992728</v>
      </c>
      <c r="M23" s="650">
        <v>0.0165</v>
      </c>
      <c r="N23" s="88">
        <v>0.17516637526738</v>
      </c>
      <c r="O23" s="88">
        <v>0.82483362473262</v>
      </c>
      <c r="P23" s="88">
        <v>0.25</v>
      </c>
      <c r="Q23" s="87">
        <v>1.0382284747791</v>
      </c>
      <c r="R23" s="88">
        <v>0.57844438730746</v>
      </c>
      <c r="S23" s="650">
        <v>0.02</v>
      </c>
      <c r="T23" s="87">
        <v>0.16074207855891</v>
      </c>
      <c r="U23" s="87">
        <v>0.83925792144109</v>
      </c>
      <c r="V23" s="87">
        <v>0.25</v>
      </c>
      <c r="W23" s="87">
        <v>1.1948544445211</v>
      </c>
      <c r="X23" s="87">
        <v>0.52250503400181</v>
      </c>
      <c r="Y23" s="650">
        <v>0.014724</v>
      </c>
      <c r="Z23" s="648">
        <v>0.13859853317034</v>
      </c>
      <c r="AA23" s="655">
        <v>0.86140146682966</v>
      </c>
      <c r="AB23" s="650">
        <v>0.25</v>
      </c>
      <c r="AC23" s="662">
        <v>1.089996424</v>
      </c>
      <c r="AD23" s="655">
        <v>0.593496607</v>
      </c>
      <c r="AE23" s="650">
        <v>0.012</v>
      </c>
    </row>
    <row r="24" spans="1:32">
      <c r="A24" s="89" t="s">
        <v>356</v>
      </c>
      <c r="B24" s="88">
        <v>0.13269339738553</v>
      </c>
      <c r="C24" s="88">
        <v>0.86730660261447</v>
      </c>
      <c r="D24" s="88">
        <v>0.27</v>
      </c>
      <c r="E24" s="87">
        <v>0.99294902726017</v>
      </c>
      <c r="F24" s="88">
        <v>0.50798554717214</v>
      </c>
      <c r="G24" s="651">
        <v>0.02068</v>
      </c>
      <c r="H24" s="88">
        <v>0.13269339738553</v>
      </c>
      <c r="I24" s="88">
        <v>0.86730660261447</v>
      </c>
      <c r="J24" s="88">
        <v>0.27</v>
      </c>
      <c r="K24" s="87">
        <v>0.99294902726017</v>
      </c>
      <c r="L24" s="88">
        <v>0.50798554717214</v>
      </c>
      <c r="M24" s="651">
        <v>0.02068</v>
      </c>
      <c r="N24" s="88">
        <v>0.13285422647908</v>
      </c>
      <c r="O24" s="88">
        <v>0.86714577352092</v>
      </c>
      <c r="P24" s="88">
        <v>0.25</v>
      </c>
      <c r="Q24" s="87">
        <v>1.2417422800706</v>
      </c>
      <c r="R24" s="88">
        <v>0.58414093308211</v>
      </c>
      <c r="S24" s="651">
        <v>0.02</v>
      </c>
      <c r="T24" s="87">
        <v>0.14082267604024</v>
      </c>
      <c r="U24" s="87">
        <v>0.85917732395976</v>
      </c>
      <c r="V24" s="87">
        <v>0.25</v>
      </c>
      <c r="W24" s="87">
        <v>1.1233547439492</v>
      </c>
      <c r="X24" s="87">
        <v>0.61980947738319</v>
      </c>
      <c r="Y24" s="651">
        <v>0.014724</v>
      </c>
      <c r="Z24" s="659">
        <v>0.14598060381331</v>
      </c>
      <c r="AA24" s="656">
        <v>0.85401939618669</v>
      </c>
      <c r="AB24" s="651">
        <v>0.25</v>
      </c>
      <c r="AC24" s="663">
        <v>1.251948113</v>
      </c>
      <c r="AD24" s="656">
        <v>0.868278117</v>
      </c>
      <c r="AE24" s="651">
        <v>0.03</v>
      </c>
    </row>
    <row r="25" spans="1:32">
      <c r="A25" s="86" t="s">
        <v>357</v>
      </c>
      <c r="B25" s="88">
        <v>0.12808851158805</v>
      </c>
      <c r="C25" s="88">
        <v>0.87191148841195</v>
      </c>
      <c r="D25" s="88">
        <v>0.27</v>
      </c>
      <c r="E25" s="87">
        <v>1.0762958947157</v>
      </c>
      <c r="F25" s="88">
        <v>0.56166469538744</v>
      </c>
      <c r="G25" s="650">
        <v>0.02068</v>
      </c>
      <c r="H25" s="88">
        <v>0.12808851158805</v>
      </c>
      <c r="I25" s="88">
        <v>0.87191148841195</v>
      </c>
      <c r="J25" s="88">
        <v>0.27</v>
      </c>
      <c r="K25" s="87">
        <v>1.0762958947157</v>
      </c>
      <c r="L25" s="88">
        <v>0.56166469538744</v>
      </c>
      <c r="M25" s="650">
        <v>0.02068</v>
      </c>
      <c r="N25" s="88">
        <v>0.11983897594962</v>
      </c>
      <c r="O25" s="88">
        <v>0.88016102405038</v>
      </c>
      <c r="P25" s="88">
        <v>0.25</v>
      </c>
      <c r="Q25" s="87">
        <v>1.2680061555197</v>
      </c>
      <c r="R25" s="88">
        <v>0.64883553950452</v>
      </c>
      <c r="S25" s="650">
        <v>0.02</v>
      </c>
      <c r="T25" s="87">
        <v>0.13828827500212</v>
      </c>
      <c r="U25" s="87">
        <v>0.86171172499788</v>
      </c>
      <c r="V25" s="87">
        <v>0.25</v>
      </c>
      <c r="W25" s="87">
        <v>1.0269619624933</v>
      </c>
      <c r="X25" s="87">
        <v>0.65303413832572</v>
      </c>
      <c r="Y25" s="650">
        <v>0.022079</v>
      </c>
      <c r="Z25" s="648">
        <v>0.14449996998716</v>
      </c>
      <c r="AA25" s="655">
        <v>0.85550003001284</v>
      </c>
      <c r="AB25" s="650">
        <v>0.25</v>
      </c>
      <c r="AC25" s="662">
        <v>1.073797133</v>
      </c>
      <c r="AD25" s="655">
        <v>0.800484536</v>
      </c>
      <c r="AE25" s="650">
        <v>0.03</v>
      </c>
    </row>
    <row r="26" spans="1:32">
      <c r="A26" s="89" t="s">
        <v>358</v>
      </c>
      <c r="B26" s="88">
        <v>0.20447798731215</v>
      </c>
      <c r="C26" s="88">
        <v>0.79552201268785</v>
      </c>
      <c r="D26" s="88">
        <v>0.27</v>
      </c>
      <c r="E26" s="87">
        <v>1.1260790341732</v>
      </c>
      <c r="F26" s="88">
        <v>0.41501556570085</v>
      </c>
      <c r="G26" s="651">
        <v>0.02068</v>
      </c>
      <c r="H26" s="88">
        <v>0.20447798731215</v>
      </c>
      <c r="I26" s="88">
        <v>0.79552201268785</v>
      </c>
      <c r="J26" s="88">
        <v>0.27</v>
      </c>
      <c r="K26" s="87">
        <v>1.1260790341732</v>
      </c>
      <c r="L26" s="88">
        <v>0.41501556570085</v>
      </c>
      <c r="M26" s="651">
        <v>0.02068</v>
      </c>
      <c r="N26" s="88">
        <v>0.23436430724797</v>
      </c>
      <c r="O26" s="88">
        <v>0.76563569275203</v>
      </c>
      <c r="P26" s="88">
        <v>0.25</v>
      </c>
      <c r="Q26" s="87">
        <v>1.1008288893195</v>
      </c>
      <c r="R26" s="88">
        <v>0.41812601855059</v>
      </c>
      <c r="S26" s="651">
        <v>0.0162</v>
      </c>
      <c r="T26" s="87">
        <v>0.16383109786985</v>
      </c>
      <c r="U26" s="87">
        <v>0.83616890213015</v>
      </c>
      <c r="V26" s="87">
        <v>0.25</v>
      </c>
      <c r="W26" s="87">
        <v>1.2251855531141</v>
      </c>
      <c r="X26" s="87">
        <v>0.43781301036597</v>
      </c>
      <c r="Y26" s="651">
        <v>0.012055</v>
      </c>
      <c r="Z26" s="659">
        <v>0.16279107677963</v>
      </c>
      <c r="AA26" s="656">
        <v>0.83720892322037</v>
      </c>
      <c r="AB26" s="651">
        <v>0.25</v>
      </c>
      <c r="AC26" s="663">
        <v>0.983172276</v>
      </c>
      <c r="AD26" s="656">
        <v>0.558226871</v>
      </c>
      <c r="AE26" s="651">
        <v>0.012</v>
      </c>
    </row>
    <row r="27" spans="1:32">
      <c r="A27" s="379" t="s">
        <v>359</v>
      </c>
      <c r="B27" s="88">
        <v>0.12042591406403</v>
      </c>
      <c r="C27" s="88">
        <v>0.87957408593597</v>
      </c>
      <c r="D27" s="88">
        <v>0.27</v>
      </c>
      <c r="E27" s="87">
        <v>1.2454054723858</v>
      </c>
      <c r="F27" s="88">
        <v>0.57659079263901</v>
      </c>
      <c r="G27" s="650">
        <v>0.02068</v>
      </c>
      <c r="H27" s="88">
        <v>0.12042591406403</v>
      </c>
      <c r="I27" s="88">
        <v>0.87957408593597</v>
      </c>
      <c r="J27" s="88">
        <v>0.27</v>
      </c>
      <c r="K27" s="87">
        <v>1.2454054723858</v>
      </c>
      <c r="L27" s="88">
        <v>0.57659079263901</v>
      </c>
      <c r="M27" s="650">
        <v>0.02068</v>
      </c>
      <c r="N27" s="88">
        <v>0.18379271640118</v>
      </c>
      <c r="O27" s="88">
        <v>0.81620728359882</v>
      </c>
      <c r="P27" s="88">
        <v>0.25</v>
      </c>
      <c r="Q27" s="87">
        <v>1.5896686619511</v>
      </c>
      <c r="R27" s="88">
        <v>0.58554859436634</v>
      </c>
      <c r="S27" s="650">
        <v>0.02</v>
      </c>
      <c r="T27" s="87">
        <v>0.17619594793469</v>
      </c>
      <c r="U27" s="87">
        <v>0.82380405206531</v>
      </c>
      <c r="V27" s="87">
        <v>0.25</v>
      </c>
      <c r="W27" s="87">
        <v>1.2410543592858</v>
      </c>
      <c r="X27" s="87">
        <v>0.5442389893824</v>
      </c>
      <c r="Y27" s="650">
        <v>0.014724</v>
      </c>
      <c r="Z27" s="648">
        <v>0.12925340321647</v>
      </c>
      <c r="AA27" s="655">
        <v>0.87074659678353</v>
      </c>
      <c r="AB27" s="650">
        <v>0.25</v>
      </c>
      <c r="AC27" s="662">
        <v>1.269751059</v>
      </c>
      <c r="AD27" s="655">
        <v>0.721156702</v>
      </c>
      <c r="AE27" s="650">
        <v>0.0183</v>
      </c>
    </row>
    <row r="28" spans="1:32">
      <c r="A28" s="89" t="s">
        <v>360</v>
      </c>
      <c r="B28" s="88">
        <v>0.070769640955831</v>
      </c>
      <c r="C28" s="88">
        <v>0.92923035904417</v>
      </c>
      <c r="D28" s="88">
        <v>0.27</v>
      </c>
      <c r="E28" s="87">
        <v>0.97597157996844</v>
      </c>
      <c r="F28" s="88">
        <v>0.5253777857331</v>
      </c>
      <c r="G28" s="651">
        <v>0.02068</v>
      </c>
      <c r="H28" s="88">
        <v>0.070769640955831</v>
      </c>
      <c r="I28" s="88">
        <v>0.92923035904417</v>
      </c>
      <c r="J28" s="88">
        <v>0.27</v>
      </c>
      <c r="K28" s="87">
        <v>0.97597157996844</v>
      </c>
      <c r="L28" s="88">
        <v>0.5253777857331</v>
      </c>
      <c r="M28" s="651">
        <v>0.02068</v>
      </c>
      <c r="N28" s="88">
        <v>0.14129490331069</v>
      </c>
      <c r="O28" s="88">
        <v>0.85870509668931</v>
      </c>
      <c r="P28" s="88">
        <v>0.25</v>
      </c>
      <c r="Q28" s="87">
        <v>1.5389191240889</v>
      </c>
      <c r="R28" s="88">
        <v>0.39564713245017</v>
      </c>
      <c r="S28" s="651">
        <v>0.0162</v>
      </c>
      <c r="T28" s="87">
        <v>0.15486981955972</v>
      </c>
      <c r="U28" s="87">
        <v>0.84513018044028</v>
      </c>
      <c r="V28" s="87">
        <v>0.25</v>
      </c>
      <c r="W28" s="87">
        <v>1.2951787766558</v>
      </c>
      <c r="X28" s="87">
        <v>0.39424154982087</v>
      </c>
      <c r="Y28" s="651">
        <v>0.012055</v>
      </c>
      <c r="Z28" s="659">
        <v>0.11745374424986</v>
      </c>
      <c r="AA28" s="656">
        <v>0.88254625575014</v>
      </c>
      <c r="AB28" s="651">
        <v>0.25</v>
      </c>
      <c r="AC28" s="663">
        <v>0.919635201</v>
      </c>
      <c r="AD28" s="656">
        <v>0.731989771</v>
      </c>
      <c r="AE28" s="651">
        <v>0.0183</v>
      </c>
    </row>
    <row r="29" spans="1:32">
      <c r="A29" s="86" t="s">
        <v>361</v>
      </c>
      <c r="B29" s="88">
        <v>0.11308584662139</v>
      </c>
      <c r="C29" s="88">
        <v>0.88691415337861</v>
      </c>
      <c r="D29" s="88">
        <v>0.27</v>
      </c>
      <c r="E29" s="87">
        <v>1.0852813664905</v>
      </c>
      <c r="F29" s="88">
        <v>0.43445536743727</v>
      </c>
      <c r="G29" s="650">
        <v>0.02068</v>
      </c>
      <c r="H29" s="88">
        <v>0.11308584662139</v>
      </c>
      <c r="I29" s="88">
        <v>0.88691415337861</v>
      </c>
      <c r="J29" s="88">
        <v>0.27</v>
      </c>
      <c r="K29" s="87">
        <v>1.0852813664905</v>
      </c>
      <c r="L29" s="88">
        <v>0.43445536743727</v>
      </c>
      <c r="M29" s="650">
        <v>0.02068</v>
      </c>
      <c r="N29" s="88">
        <v>0.15835752834031</v>
      </c>
      <c r="O29" s="88">
        <v>0.84164247165969</v>
      </c>
      <c r="P29" s="88">
        <v>0.25</v>
      </c>
      <c r="Q29" s="87">
        <v>1.2012527647557</v>
      </c>
      <c r="R29" s="88">
        <v>0.44937586670141</v>
      </c>
      <c r="S29" s="650">
        <v>0.0162</v>
      </c>
      <c r="T29" s="87">
        <v>0.14673840734826</v>
      </c>
      <c r="U29" s="87">
        <v>0.85326159265174</v>
      </c>
      <c r="V29" s="87">
        <v>0.25</v>
      </c>
      <c r="W29" s="87">
        <v>0.93395459906727</v>
      </c>
      <c r="X29" s="87">
        <v>0.42942643620556</v>
      </c>
      <c r="Y29" s="650">
        <v>0.012055</v>
      </c>
      <c r="Z29" s="648">
        <v>0.126031967623</v>
      </c>
      <c r="AA29" s="655">
        <v>0.873968032377</v>
      </c>
      <c r="AB29" s="650">
        <v>0.25</v>
      </c>
      <c r="AC29" s="662">
        <v>1.058231623</v>
      </c>
      <c r="AD29" s="655">
        <v>0.616085598</v>
      </c>
      <c r="AE29" s="650">
        <v>0.012</v>
      </c>
    </row>
    <row r="30" spans="1:32">
      <c r="A30" s="89" t="s">
        <v>362</v>
      </c>
      <c r="B30" s="88">
        <v>0.20377752312784</v>
      </c>
      <c r="C30" s="88">
        <v>0.79622247687216</v>
      </c>
      <c r="D30" s="88">
        <v>0.27</v>
      </c>
      <c r="E30" s="87">
        <v>1.0580888104396</v>
      </c>
      <c r="F30" s="88">
        <v>0.36356045751847</v>
      </c>
      <c r="G30" s="651">
        <v>0.02068</v>
      </c>
      <c r="H30" s="88">
        <v>0.20377752312784</v>
      </c>
      <c r="I30" s="88">
        <v>0.79622247687216</v>
      </c>
      <c r="J30" s="88">
        <v>0.27</v>
      </c>
      <c r="K30" s="87">
        <v>1.0580888104396</v>
      </c>
      <c r="L30" s="88">
        <v>0.36356045751847</v>
      </c>
      <c r="M30" s="651">
        <v>0.0165</v>
      </c>
      <c r="N30" s="88">
        <v>0.24007634301961</v>
      </c>
      <c r="O30" s="88">
        <v>0.75992365698039</v>
      </c>
      <c r="P30" s="88">
        <v>0.25</v>
      </c>
      <c r="Q30" s="87">
        <v>1.196764013832</v>
      </c>
      <c r="R30" s="88">
        <v>0.35166848143954</v>
      </c>
      <c r="S30" s="651">
        <v>0.0162</v>
      </c>
      <c r="T30" s="87">
        <v>0.20763646217021</v>
      </c>
      <c r="U30" s="87">
        <v>0.79236353782979</v>
      </c>
      <c r="V30" s="87">
        <v>0.25</v>
      </c>
      <c r="W30" s="87">
        <v>0.96064394549085</v>
      </c>
      <c r="X30" s="87">
        <v>0.33683740546522</v>
      </c>
      <c r="Y30" s="651">
        <v>0.012055</v>
      </c>
      <c r="Z30" s="659">
        <v>0.1519910552412</v>
      </c>
      <c r="AA30" s="656">
        <v>0.8480089447588</v>
      </c>
      <c r="AB30" s="651">
        <v>0.25</v>
      </c>
      <c r="AC30" s="663">
        <v>0.987915291</v>
      </c>
      <c r="AD30" s="656">
        <v>0.47331966</v>
      </c>
      <c r="AE30" s="651">
        <v>0.012</v>
      </c>
    </row>
    <row r="31" spans="1:32">
      <c r="A31" s="86" t="s">
        <v>363</v>
      </c>
      <c r="B31" s="88">
        <v>0.13219508579707</v>
      </c>
      <c r="C31" s="88">
        <v>0.86780491420293</v>
      </c>
      <c r="D31" s="88">
        <v>0.27</v>
      </c>
      <c r="E31" s="87">
        <v>1.0122823301705</v>
      </c>
      <c r="F31" s="88">
        <v>0.59629361364357</v>
      </c>
      <c r="G31" s="650">
        <v>0.031625</v>
      </c>
      <c r="H31" s="88">
        <v>0.13219508579707</v>
      </c>
      <c r="I31" s="88">
        <v>0.86780491420293</v>
      </c>
      <c r="J31" s="88">
        <v>0.27</v>
      </c>
      <c r="K31" s="87">
        <v>1.0122823301705</v>
      </c>
      <c r="L31" s="88">
        <v>0.59629361364357</v>
      </c>
      <c r="M31" s="650">
        <v>0.02068</v>
      </c>
      <c r="N31" s="88">
        <v>0.24970269532216</v>
      </c>
      <c r="O31" s="88">
        <v>0.75029730467784</v>
      </c>
      <c r="P31" s="88">
        <v>0.25</v>
      </c>
      <c r="Q31" s="87">
        <v>1.4497950169594</v>
      </c>
      <c r="R31" s="88">
        <v>0.57809557135125</v>
      </c>
      <c r="S31" s="650">
        <v>0.02</v>
      </c>
      <c r="T31" s="87">
        <v>0.2232735925881</v>
      </c>
      <c r="U31" s="87">
        <v>0.7767264074119</v>
      </c>
      <c r="V31" s="87">
        <v>0.25</v>
      </c>
      <c r="W31" s="87">
        <v>0.9945594291517</v>
      </c>
      <c r="X31" s="87">
        <v>0.61185830172417</v>
      </c>
      <c r="Y31" s="650">
        <v>0.014724</v>
      </c>
      <c r="Z31" s="648">
        <v>0.16899576961106</v>
      </c>
      <c r="AA31" s="655">
        <v>0.83100423038894</v>
      </c>
      <c r="AB31" s="650">
        <v>0.25</v>
      </c>
      <c r="AC31" s="662">
        <v>1.040909254</v>
      </c>
      <c r="AD31" s="655">
        <v>0.626979123</v>
      </c>
      <c r="AE31" s="650">
        <v>0.012</v>
      </c>
    </row>
    <row r="32" spans="1:32">
      <c r="A32" s="89" t="s">
        <v>364</v>
      </c>
      <c r="B32" s="88">
        <v>0.17263081283185</v>
      </c>
      <c r="C32" s="88">
        <v>0.82736918716815</v>
      </c>
      <c r="D32" s="88">
        <v>0.27</v>
      </c>
      <c r="E32" s="87">
        <v>1.2403337750926</v>
      </c>
      <c r="F32" s="88">
        <v>0.43013640507359</v>
      </c>
      <c r="G32" s="651">
        <v>0.02068</v>
      </c>
      <c r="H32" s="88">
        <v>0.17263081283185</v>
      </c>
      <c r="I32" s="88">
        <v>0.82736918716815</v>
      </c>
      <c r="J32" s="88">
        <v>0.27</v>
      </c>
      <c r="K32" s="87">
        <v>1.2403337750926</v>
      </c>
      <c r="L32" s="88">
        <v>0.43013640507359</v>
      </c>
      <c r="M32" s="651">
        <v>0.02068</v>
      </c>
      <c r="N32" s="88">
        <v>0.20341883913216</v>
      </c>
      <c r="O32" s="88">
        <v>0.79658116086784</v>
      </c>
      <c r="P32" s="88">
        <v>0.25</v>
      </c>
      <c r="Q32" s="87">
        <v>1.0153454106827</v>
      </c>
      <c r="R32" s="88">
        <v>0.48087346767746</v>
      </c>
      <c r="S32" s="651">
        <v>0.0162</v>
      </c>
      <c r="T32" s="87">
        <v>0.17996903176436</v>
      </c>
      <c r="U32" s="87">
        <v>0.82003096823564</v>
      </c>
      <c r="V32" s="87">
        <v>0.25</v>
      </c>
      <c r="W32" s="87">
        <v>0.90699903446977</v>
      </c>
      <c r="X32" s="87">
        <v>0.46066418551248</v>
      </c>
      <c r="Y32" s="651">
        <v>0.012055</v>
      </c>
      <c r="Z32" s="659">
        <v>0.16194219947984</v>
      </c>
      <c r="AA32" s="656">
        <v>0.83805780052016</v>
      </c>
      <c r="AB32" s="651">
        <v>0.25</v>
      </c>
      <c r="AC32" s="663">
        <v>0.920470271</v>
      </c>
      <c r="AD32" s="656">
        <v>0.544758219</v>
      </c>
      <c r="AE32" s="651">
        <v>0.012</v>
      </c>
    </row>
    <row r="33" spans="1:32">
      <c r="A33" s="86" t="s">
        <v>365</v>
      </c>
      <c r="B33" s="88">
        <v>0.26910917921156</v>
      </c>
      <c r="C33" s="88">
        <v>0.73089082078844</v>
      </c>
      <c r="D33" s="88">
        <v>0.27</v>
      </c>
      <c r="E33" s="87">
        <v>1.0303173351337</v>
      </c>
      <c r="F33" s="88">
        <v>0.46445615850245</v>
      </c>
      <c r="G33" s="650">
        <v>0.02068</v>
      </c>
      <c r="H33" s="88">
        <v>0.26910917921156</v>
      </c>
      <c r="I33" s="88">
        <v>0.73089082078844</v>
      </c>
      <c r="J33" s="88">
        <v>0.27</v>
      </c>
      <c r="K33" s="87">
        <v>1.0303173351337</v>
      </c>
      <c r="L33" s="88">
        <v>0.46445615850245</v>
      </c>
      <c r="M33" s="650">
        <v>0.02068</v>
      </c>
      <c r="N33" s="88">
        <v>0.25298812315411</v>
      </c>
      <c r="O33" s="88">
        <v>0.74701187684589</v>
      </c>
      <c r="P33" s="88">
        <v>0.25</v>
      </c>
      <c r="Q33" s="87">
        <v>1.1403135761676</v>
      </c>
      <c r="R33" s="88">
        <v>0.54426709586174</v>
      </c>
      <c r="S33" s="650">
        <v>0.02</v>
      </c>
      <c r="T33" s="87">
        <v>0.31178335075737</v>
      </c>
      <c r="U33" s="87">
        <v>0.68821664924263</v>
      </c>
      <c r="V33" s="87">
        <v>0.25</v>
      </c>
      <c r="W33" s="87">
        <v>0.99162450807266</v>
      </c>
      <c r="X33" s="87">
        <v>0.54139722238781</v>
      </c>
      <c r="Y33" s="650">
        <v>0.014724</v>
      </c>
      <c r="Z33" s="648">
        <v>0.34780955664976</v>
      </c>
      <c r="AA33" s="655">
        <v>0.65219044335024</v>
      </c>
      <c r="AB33" s="650">
        <v>0.25</v>
      </c>
      <c r="AC33" s="662">
        <v>0.982388156</v>
      </c>
      <c r="AD33" s="655">
        <v>0.695913261</v>
      </c>
      <c r="AE33" s="650">
        <v>0.0183</v>
      </c>
    </row>
    <row r="34" spans="1:32">
      <c r="A34" s="89" t="s">
        <v>366</v>
      </c>
      <c r="B34" s="88">
        <v>0.23382270352804</v>
      </c>
      <c r="C34" s="88">
        <v>0.76617729647196</v>
      </c>
      <c r="D34" s="88">
        <v>0.27</v>
      </c>
      <c r="E34" s="87">
        <v>0.75087548567822</v>
      </c>
      <c r="F34" s="88">
        <v>0.27689849214889</v>
      </c>
      <c r="G34" s="651">
        <v>0.0165</v>
      </c>
      <c r="H34" s="88">
        <v>0.23382270352804</v>
      </c>
      <c r="I34" s="88">
        <v>0.76617729647196</v>
      </c>
      <c r="J34" s="88">
        <v>0.27</v>
      </c>
      <c r="K34" s="87">
        <v>0.75087548567822</v>
      </c>
      <c r="L34" s="88">
        <v>0.27689849214889</v>
      </c>
      <c r="M34" s="651">
        <v>0.0165</v>
      </c>
      <c r="N34" s="88">
        <v>0.22395116431996</v>
      </c>
      <c r="O34" s="88">
        <v>0.77604883568004</v>
      </c>
      <c r="P34" s="88">
        <v>0.25</v>
      </c>
      <c r="Q34" s="87">
        <v>0.9175202331174</v>
      </c>
      <c r="R34" s="88">
        <v>0.34228783415433</v>
      </c>
      <c r="S34" s="651">
        <v>0.0162</v>
      </c>
      <c r="T34" s="87">
        <v>0.25207878166294</v>
      </c>
      <c r="U34" s="87">
        <v>0.74792121833706</v>
      </c>
      <c r="V34" s="87">
        <v>0.25</v>
      </c>
      <c r="W34" s="87">
        <v>0.60571773514307</v>
      </c>
      <c r="X34" s="87">
        <v>0.36509661152079</v>
      </c>
      <c r="Y34" s="651">
        <v>0.012055</v>
      </c>
      <c r="Z34" s="659">
        <v>0.26751648526722</v>
      </c>
      <c r="AA34" s="656">
        <v>0.73248351473278</v>
      </c>
      <c r="AB34" s="651">
        <v>0.25</v>
      </c>
      <c r="AC34" s="663">
        <v>0.474240235</v>
      </c>
      <c r="AD34" s="656">
        <v>0.462695731</v>
      </c>
      <c r="AE34" s="651">
        <v>0.012</v>
      </c>
    </row>
    <row r="35" spans="1:32">
      <c r="A35" s="86" t="s">
        <v>367</v>
      </c>
      <c r="B35" s="88">
        <v>0.31937713725695</v>
      </c>
      <c r="C35" s="88">
        <v>0.68062286274305</v>
      </c>
      <c r="D35" s="88">
        <v>0.27</v>
      </c>
      <c r="E35" s="87">
        <v>1.4015598501615</v>
      </c>
      <c r="F35" s="88">
        <v>0.54009105451664</v>
      </c>
      <c r="G35" s="650">
        <v>0.02068</v>
      </c>
      <c r="H35" s="88">
        <v>0.31937713725695</v>
      </c>
      <c r="I35" s="88">
        <v>0.68062286274305</v>
      </c>
      <c r="J35" s="88">
        <v>0.27</v>
      </c>
      <c r="K35" s="87">
        <v>1.4015598501615</v>
      </c>
      <c r="L35" s="88">
        <v>0.54009105451664</v>
      </c>
      <c r="M35" s="650">
        <v>0.02068</v>
      </c>
      <c r="N35" s="88">
        <v>0.3158017052233</v>
      </c>
      <c r="O35" s="88">
        <v>0.6841982947767</v>
      </c>
      <c r="P35" s="88">
        <v>0.25</v>
      </c>
      <c r="Q35" s="87">
        <v>1.1237058272854</v>
      </c>
      <c r="R35" s="88">
        <v>0.32418308733551</v>
      </c>
      <c r="S35" s="650">
        <v>0.0162</v>
      </c>
      <c r="T35" s="87">
        <v>0.30860321409511</v>
      </c>
      <c r="U35" s="87">
        <v>0.69139678590489</v>
      </c>
      <c r="V35" s="87">
        <v>0.25</v>
      </c>
      <c r="W35" s="87">
        <v>0.96571097077284</v>
      </c>
      <c r="X35" s="87">
        <v>0.27303412055805</v>
      </c>
      <c r="Y35" s="650">
        <v>0.012055</v>
      </c>
      <c r="Z35" s="648">
        <v>0.30206832360013</v>
      </c>
      <c r="AA35" s="655">
        <v>0.69793167639987</v>
      </c>
      <c r="AB35" s="650">
        <v>0.25</v>
      </c>
      <c r="AC35" s="662">
        <v>0.724632235</v>
      </c>
      <c r="AD35" s="655">
        <v>0.391670258</v>
      </c>
      <c r="AE35" s="650">
        <v>0.0095</v>
      </c>
    </row>
    <row r="36" spans="1:32">
      <c r="A36" s="89" t="s">
        <v>368</v>
      </c>
      <c r="B36" s="88">
        <v>0.22270411092002</v>
      </c>
      <c r="C36" s="88">
        <v>0.77729588907998</v>
      </c>
      <c r="D36" s="88">
        <v>0.27</v>
      </c>
      <c r="E36" s="87">
        <v>1.1088014488748</v>
      </c>
      <c r="F36" s="88">
        <v>0.44770374234315</v>
      </c>
      <c r="G36" s="651">
        <v>0.02068</v>
      </c>
      <c r="H36" s="88">
        <v>0.22270411092002</v>
      </c>
      <c r="I36" s="88">
        <v>0.77729588907998</v>
      </c>
      <c r="J36" s="88">
        <v>0.27</v>
      </c>
      <c r="K36" s="87">
        <v>1.1088014488748</v>
      </c>
      <c r="L36" s="88">
        <v>0.44770374234315</v>
      </c>
      <c r="M36" s="651">
        <v>0.02068</v>
      </c>
      <c r="N36" s="88">
        <v>0.35871209353758</v>
      </c>
      <c r="O36" s="88">
        <v>0.64128790646242</v>
      </c>
      <c r="P36" s="88">
        <v>0.25</v>
      </c>
      <c r="Q36" s="87">
        <v>1.2708955631991</v>
      </c>
      <c r="R36" s="88">
        <v>0.41911842205906</v>
      </c>
      <c r="S36" s="651">
        <v>0.0162</v>
      </c>
      <c r="T36" s="87">
        <v>0.32226061623577</v>
      </c>
      <c r="U36" s="87">
        <v>0.67773938376423</v>
      </c>
      <c r="V36" s="87">
        <v>0.25</v>
      </c>
      <c r="W36" s="87">
        <v>1.1071062452097</v>
      </c>
      <c r="X36" s="87">
        <v>0.46652480430215</v>
      </c>
      <c r="Y36" s="651">
        <v>0.012055</v>
      </c>
      <c r="Z36" s="659">
        <v>0.29543892347146</v>
      </c>
      <c r="AA36" s="656">
        <v>0.70456107652854</v>
      </c>
      <c r="AB36" s="651">
        <v>0.25</v>
      </c>
      <c r="AC36" s="663">
        <v>0.866242693</v>
      </c>
      <c r="AD36" s="656">
        <v>0.54801472</v>
      </c>
      <c r="AE36" s="651">
        <v>0.012</v>
      </c>
    </row>
    <row r="37" spans="1:32">
      <c r="A37" s="379" t="s">
        <v>369</v>
      </c>
      <c r="B37" s="88">
        <v>0.39985626780352</v>
      </c>
      <c r="C37" s="88">
        <v>0.60014373219648</v>
      </c>
      <c r="D37" s="88">
        <v>0.27</v>
      </c>
      <c r="E37" s="87">
        <v>1.5881139269244</v>
      </c>
      <c r="F37" s="88">
        <v>0.81755861287212</v>
      </c>
      <c r="G37" s="650">
        <v>0.02068</v>
      </c>
      <c r="H37" s="88">
        <v>0.39985626780352</v>
      </c>
      <c r="I37" s="88">
        <v>0.60014373219648</v>
      </c>
      <c r="J37" s="88">
        <v>0.27</v>
      </c>
      <c r="K37" s="87">
        <v>1.5881139269244</v>
      </c>
      <c r="L37" s="88">
        <v>0.81755861287212</v>
      </c>
      <c r="M37" s="650">
        <v>0.066125</v>
      </c>
      <c r="N37" s="88">
        <v>0.5477495182318</v>
      </c>
      <c r="O37" s="88">
        <v>0.4522504817682</v>
      </c>
      <c r="P37" s="88">
        <v>0.25</v>
      </c>
      <c r="Q37" s="87">
        <v>1.6007011109184</v>
      </c>
      <c r="R37" s="88">
        <v>0.67598359199996</v>
      </c>
      <c r="S37" s="650">
        <v>0.0313</v>
      </c>
      <c r="T37" s="87">
        <v>0.58576061978789</v>
      </c>
      <c r="U37" s="87">
        <v>0.41423938021211</v>
      </c>
      <c r="V37" s="87">
        <v>0.25</v>
      </c>
      <c r="W37" s="87">
        <v>1.1067077196296</v>
      </c>
      <c r="X37" s="87">
        <v>0.57336205202508</v>
      </c>
      <c r="Y37" s="650">
        <v>0.014724</v>
      </c>
      <c r="Z37" s="648">
        <v>0.63791864194314</v>
      </c>
      <c r="AA37" s="655">
        <v>0.36208135805686</v>
      </c>
      <c r="AB37" s="650">
        <v>0.25</v>
      </c>
      <c r="AC37" s="662">
        <v>1.130425266</v>
      </c>
      <c r="AD37" s="655">
        <v>0.719302568</v>
      </c>
      <c r="AE37" s="650">
        <v>0.0183</v>
      </c>
    </row>
    <row r="38" spans="1:32">
      <c r="A38" s="89" t="s">
        <v>370</v>
      </c>
      <c r="B38" s="88">
        <v>0.079316313918664</v>
      </c>
      <c r="C38" s="88">
        <v>0.92068368608134</v>
      </c>
      <c r="D38" s="88">
        <v>0.27</v>
      </c>
      <c r="E38" s="87">
        <v>0.93812811740251</v>
      </c>
      <c r="F38" s="88">
        <v>0.43812192128294</v>
      </c>
      <c r="G38" s="651">
        <v>0.02068</v>
      </c>
      <c r="H38" s="88">
        <v>0.079316313918664</v>
      </c>
      <c r="I38" s="88">
        <v>0.92068368608134</v>
      </c>
      <c r="J38" s="88">
        <v>0.27</v>
      </c>
      <c r="K38" s="87">
        <v>0.93812811740251</v>
      </c>
      <c r="L38" s="88">
        <v>0.43812192128294</v>
      </c>
      <c r="M38" s="651">
        <v>0.02068</v>
      </c>
      <c r="N38" s="88">
        <v>0.11192266952102</v>
      </c>
      <c r="O38" s="88">
        <v>0.88807733047898</v>
      </c>
      <c r="P38" s="88">
        <v>0.25</v>
      </c>
      <c r="Q38" s="87">
        <v>1.1623831948691</v>
      </c>
      <c r="R38" s="88">
        <v>0.5094012253761</v>
      </c>
      <c r="S38" s="651">
        <v>0.02</v>
      </c>
      <c r="T38" s="87">
        <v>0.1123972975056</v>
      </c>
      <c r="U38" s="87">
        <v>0.8876027024944</v>
      </c>
      <c r="V38" s="87">
        <v>0.25</v>
      </c>
      <c r="W38" s="87">
        <v>1.0620798954428</v>
      </c>
      <c r="X38" s="87">
        <v>0.52205534504315</v>
      </c>
      <c r="Y38" s="651">
        <v>0.014724</v>
      </c>
      <c r="Z38" s="659">
        <v>0.11340902578773</v>
      </c>
      <c r="AA38" s="656">
        <v>0.88659097421227</v>
      </c>
      <c r="AB38" s="651">
        <v>0.25</v>
      </c>
      <c r="AC38" s="663">
        <v>1.0145167</v>
      </c>
      <c r="AD38" s="656">
        <v>0.674052859</v>
      </c>
      <c r="AE38" s="651">
        <v>0.0183</v>
      </c>
    </row>
    <row r="39" spans="1:32">
      <c r="A39" s="86" t="s">
        <v>371</v>
      </c>
      <c r="B39" s="88">
        <v>0.19711553235888</v>
      </c>
      <c r="C39" s="88">
        <v>0.80288446764112</v>
      </c>
      <c r="D39" s="88">
        <v>0.27</v>
      </c>
      <c r="E39" s="87">
        <v>1.057838047111</v>
      </c>
      <c r="F39" s="88">
        <v>0.46857189884224</v>
      </c>
      <c r="G39" s="650">
        <v>0.02068</v>
      </c>
      <c r="H39" s="88">
        <v>0.19711553235888</v>
      </c>
      <c r="I39" s="88">
        <v>0.80288446764112</v>
      </c>
      <c r="J39" s="88">
        <v>0.27</v>
      </c>
      <c r="K39" s="87">
        <v>1.057838047111</v>
      </c>
      <c r="L39" s="88">
        <v>0.46857189884224</v>
      </c>
      <c r="M39" s="650">
        <v>0.02068</v>
      </c>
      <c r="N39" s="88">
        <v>0.19097410805</v>
      </c>
      <c r="O39" s="88">
        <v>0.80902589195</v>
      </c>
      <c r="P39" s="88">
        <v>0.25</v>
      </c>
      <c r="Q39" s="87">
        <v>1.1603652760593</v>
      </c>
      <c r="R39" s="88">
        <v>0.47792508451312</v>
      </c>
      <c r="S39" s="650">
        <v>0.0162</v>
      </c>
      <c r="T39" s="87">
        <v>0.21175230518405</v>
      </c>
      <c r="U39" s="87">
        <v>0.78824769481595</v>
      </c>
      <c r="V39" s="87">
        <v>0.25</v>
      </c>
      <c r="W39" s="87">
        <v>1.0326229061406</v>
      </c>
      <c r="X39" s="87">
        <v>0.49525733448964</v>
      </c>
      <c r="Y39" s="650">
        <v>0.012055</v>
      </c>
      <c r="Z39" s="648">
        <v>0.24357689307996</v>
      </c>
      <c r="AA39" s="655">
        <v>0.75642310692004</v>
      </c>
      <c r="AB39" s="650">
        <v>0.25</v>
      </c>
      <c r="AC39" s="662">
        <v>0.941212934</v>
      </c>
      <c r="AD39" s="655">
        <v>0.539967819</v>
      </c>
      <c r="AE39" s="650">
        <v>0.012</v>
      </c>
    </row>
    <row r="40" spans="1:32">
      <c r="A40" s="89" t="s">
        <v>372</v>
      </c>
      <c r="B40" s="88">
        <v>0.088640903338601</v>
      </c>
      <c r="C40" s="88">
        <v>0.9113590966614</v>
      </c>
      <c r="D40" s="88">
        <v>0.27</v>
      </c>
      <c r="E40" s="87">
        <v>0.94168209233745</v>
      </c>
      <c r="F40" s="88">
        <v>0.46284328241581</v>
      </c>
      <c r="G40" s="651">
        <v>0.02068</v>
      </c>
      <c r="H40" s="88">
        <v>0.088640903338601</v>
      </c>
      <c r="I40" s="88">
        <v>0.9113590966614</v>
      </c>
      <c r="J40" s="88">
        <v>0.27</v>
      </c>
      <c r="K40" s="87">
        <v>0.94168209233745</v>
      </c>
      <c r="L40" s="88">
        <v>0.46284328241581</v>
      </c>
      <c r="M40" s="651">
        <v>0.02068</v>
      </c>
      <c r="N40" s="88">
        <v>0.12440570020083</v>
      </c>
      <c r="O40" s="88">
        <v>0.87559429979917</v>
      </c>
      <c r="P40" s="88">
        <v>0.25</v>
      </c>
      <c r="Q40" s="87">
        <v>1.4715094541215</v>
      </c>
      <c r="R40" s="88">
        <v>0.53871737622491</v>
      </c>
      <c r="S40" s="651">
        <v>0.02</v>
      </c>
      <c r="T40" s="87">
        <v>0.13845034763184</v>
      </c>
      <c r="U40" s="87">
        <v>0.86154965236816</v>
      </c>
      <c r="V40" s="87">
        <v>0.25</v>
      </c>
      <c r="W40" s="87">
        <v>1.2747542568246</v>
      </c>
      <c r="X40" s="87">
        <v>0.54153165246922</v>
      </c>
      <c r="Y40" s="651">
        <v>0.014724</v>
      </c>
      <c r="Z40" s="659">
        <v>0.13938045676348</v>
      </c>
      <c r="AA40" s="656">
        <v>0.86061954323652</v>
      </c>
      <c r="AB40" s="651">
        <v>0.25</v>
      </c>
      <c r="AC40" s="663">
        <v>1.222923714</v>
      </c>
      <c r="AD40" s="656">
        <v>0.645438121</v>
      </c>
      <c r="AE40" s="651">
        <v>0.012</v>
      </c>
    </row>
    <row r="41" spans="1:32">
      <c r="A41" s="86" t="s">
        <v>373</v>
      </c>
      <c r="B41" s="88">
        <v>0.18013285999416</v>
      </c>
      <c r="C41" s="88">
        <v>0.81986714000584</v>
      </c>
      <c r="D41" s="88">
        <v>0.27</v>
      </c>
      <c r="E41" s="87">
        <v>1.6852126723825</v>
      </c>
      <c r="F41" s="88">
        <v>0.39474914713112</v>
      </c>
      <c r="G41" s="650">
        <v>0.0165</v>
      </c>
      <c r="H41" s="88">
        <v>0.18013285999416</v>
      </c>
      <c r="I41" s="88">
        <v>0.81986714000584</v>
      </c>
      <c r="J41" s="88">
        <v>0.27</v>
      </c>
      <c r="K41" s="87">
        <v>1.6852126723825</v>
      </c>
      <c r="L41" s="88">
        <v>0.39474914713112</v>
      </c>
      <c r="M41" s="650">
        <v>0.0165</v>
      </c>
      <c r="N41" s="88">
        <v>0.24434620786731</v>
      </c>
      <c r="O41" s="88">
        <v>0.75565379213269</v>
      </c>
      <c r="P41" s="88">
        <v>0.25</v>
      </c>
      <c r="Q41" s="87">
        <v>1.5022071383659</v>
      </c>
      <c r="R41" s="88">
        <v>0.3333038712963</v>
      </c>
      <c r="S41" s="650">
        <v>0.0162</v>
      </c>
      <c r="T41" s="87">
        <v>0.14104057563335</v>
      </c>
      <c r="U41" s="87">
        <v>0.85895942436665</v>
      </c>
      <c r="V41" s="87">
        <v>0.25</v>
      </c>
      <c r="W41" s="87">
        <v>1.3695349346618</v>
      </c>
      <c r="X41" s="87">
        <v>0.32313883781179</v>
      </c>
      <c r="Y41" s="650">
        <v>0.012055</v>
      </c>
      <c r="Z41" s="648">
        <v>0.14894590395276</v>
      </c>
      <c r="AA41" s="655">
        <v>0.85105409604724</v>
      </c>
      <c r="AB41" s="650">
        <v>0.25</v>
      </c>
      <c r="AC41" s="662">
        <v>1.42748671</v>
      </c>
      <c r="AD41" s="655">
        <v>0.414320248</v>
      </c>
      <c r="AE41" s="650">
        <v>0.0095</v>
      </c>
    </row>
    <row r="42" spans="1:32">
      <c r="A42" s="89" t="s">
        <v>374</v>
      </c>
      <c r="B42" s="88">
        <v>0.41512055177382</v>
      </c>
      <c r="C42" s="88">
        <v>0.58487944822618</v>
      </c>
      <c r="D42" s="88">
        <v>0.27</v>
      </c>
      <c r="E42" s="87">
        <v>1.4135234232505</v>
      </c>
      <c r="F42" s="88">
        <v>0.52313497710543</v>
      </c>
      <c r="G42" s="651">
        <v>0.02068</v>
      </c>
      <c r="H42" s="88">
        <v>0.41512055177382</v>
      </c>
      <c r="I42" s="88">
        <v>0.58487944822618</v>
      </c>
      <c r="J42" s="88">
        <v>0.27</v>
      </c>
      <c r="K42" s="87">
        <v>1.4135234232505</v>
      </c>
      <c r="L42" s="88">
        <v>0.52313497710543</v>
      </c>
      <c r="M42" s="651">
        <v>0.02068</v>
      </c>
      <c r="N42" s="88">
        <v>0.46591874206509</v>
      </c>
      <c r="O42" s="88">
        <v>0.53408125793491</v>
      </c>
      <c r="P42" s="88">
        <v>0.25</v>
      </c>
      <c r="Q42" s="87">
        <v>1.1740014449538</v>
      </c>
      <c r="R42" s="88">
        <v>0.51194423265025</v>
      </c>
      <c r="S42" s="651">
        <v>0.02</v>
      </c>
      <c r="T42" s="87">
        <v>0.44365037194402</v>
      </c>
      <c r="U42" s="87">
        <v>0.55634962805598</v>
      </c>
      <c r="V42" s="87">
        <v>0.25</v>
      </c>
      <c r="W42" s="87">
        <v>0.87957632490356</v>
      </c>
      <c r="X42" s="87">
        <v>0.46328064944318</v>
      </c>
      <c r="Y42" s="651">
        <v>0.012055</v>
      </c>
      <c r="Z42" s="659">
        <v>0.43551540447635</v>
      </c>
      <c r="AA42" s="656">
        <v>0.56448459552365</v>
      </c>
      <c r="AB42" s="651">
        <v>0.25</v>
      </c>
      <c r="AC42" s="663">
        <v>0.857081614</v>
      </c>
      <c r="AD42" s="656">
        <v>0.508099059</v>
      </c>
      <c r="AE42" s="651">
        <v>0.012</v>
      </c>
    </row>
    <row r="43" spans="1:32">
      <c r="A43" s="86" t="s">
        <v>375</v>
      </c>
      <c r="B43" s="88">
        <v>0.31511884465713</v>
      </c>
      <c r="C43" s="88">
        <v>0.68488115534287</v>
      </c>
      <c r="D43" s="88">
        <v>0.27</v>
      </c>
      <c r="E43" s="87">
        <v>1.7944070682596</v>
      </c>
      <c r="F43" s="88">
        <v>0.43867344000025</v>
      </c>
      <c r="G43" s="650">
        <v>0.02068</v>
      </c>
      <c r="H43" s="88">
        <v>0.31511884465713</v>
      </c>
      <c r="I43" s="88">
        <v>0.68488115534287</v>
      </c>
      <c r="J43" s="88">
        <v>0.27</v>
      </c>
      <c r="K43" s="87">
        <v>1.7944070682596</v>
      </c>
      <c r="L43" s="88">
        <v>0.43867344000025</v>
      </c>
      <c r="M43" s="650">
        <v>0.02068</v>
      </c>
      <c r="N43" s="88">
        <v>0.39967778031637</v>
      </c>
      <c r="O43" s="88">
        <v>0.60032221968363</v>
      </c>
      <c r="P43" s="88">
        <v>0.25</v>
      </c>
      <c r="Q43" s="87">
        <v>1.4599765370157</v>
      </c>
      <c r="R43" s="88">
        <v>0.38051359185436</v>
      </c>
      <c r="S43" s="650">
        <v>0.0162</v>
      </c>
      <c r="T43" s="87">
        <v>0.32736720549246</v>
      </c>
      <c r="U43" s="87">
        <v>0.67263279450754</v>
      </c>
      <c r="V43" s="87">
        <v>0.25</v>
      </c>
      <c r="W43" s="87">
        <v>1.3434280675322</v>
      </c>
      <c r="X43" s="87">
        <v>0.40799721064073</v>
      </c>
      <c r="Y43" s="650">
        <v>0.012055</v>
      </c>
      <c r="Z43" s="648">
        <v>0.30173037284463</v>
      </c>
      <c r="AA43" s="655">
        <v>0.69826962715537</v>
      </c>
      <c r="AB43" s="650">
        <v>0.25</v>
      </c>
      <c r="AC43" s="662">
        <v>1.193760779</v>
      </c>
      <c r="AD43" s="655">
        <v>0.450953288</v>
      </c>
      <c r="AE43" s="650">
        <v>0.012</v>
      </c>
    </row>
    <row r="44" spans="1:32">
      <c r="A44" s="89" t="s">
        <v>376</v>
      </c>
      <c r="B44" s="88">
        <v>0.11175604882707</v>
      </c>
      <c r="C44" s="88">
        <v>0.88824395117293</v>
      </c>
      <c r="D44" s="88">
        <v>0.27</v>
      </c>
      <c r="E44" s="87">
        <v>0.97963374895906</v>
      </c>
      <c r="F44" s="88">
        <v>0.58567665870758</v>
      </c>
      <c r="G44" s="651">
        <v>0.02068</v>
      </c>
      <c r="H44" s="88">
        <v>0.11175604882707</v>
      </c>
      <c r="I44" s="88">
        <v>0.88824395117293</v>
      </c>
      <c r="J44" s="88">
        <v>0.27</v>
      </c>
      <c r="K44" s="87">
        <v>0.97963374895906</v>
      </c>
      <c r="L44" s="88">
        <v>0.58567665870758</v>
      </c>
      <c r="M44" s="651">
        <v>0.02068</v>
      </c>
      <c r="N44" s="88">
        <v>0.134378823319</v>
      </c>
      <c r="O44" s="88">
        <v>0.865621176681</v>
      </c>
      <c r="P44" s="88">
        <v>0.25</v>
      </c>
      <c r="Q44" s="87">
        <v>1.1550009836175</v>
      </c>
      <c r="R44" s="88">
        <v>0.56827524943111</v>
      </c>
      <c r="S44" s="651">
        <v>0.02</v>
      </c>
      <c r="T44" s="87">
        <v>0.14203959666979</v>
      </c>
      <c r="U44" s="87">
        <v>0.85796040333021</v>
      </c>
      <c r="V44" s="87">
        <v>0.25</v>
      </c>
      <c r="W44" s="87">
        <v>0.84344417808246</v>
      </c>
      <c r="X44" s="87">
        <v>0.51118105127415</v>
      </c>
      <c r="Y44" s="651">
        <v>0.014724</v>
      </c>
      <c r="Z44" s="659">
        <v>0.1321202007982</v>
      </c>
      <c r="AA44" s="656">
        <v>0.8678797992018</v>
      </c>
      <c r="AB44" s="651">
        <v>0.25</v>
      </c>
      <c r="AC44" s="663">
        <v>0.895264979</v>
      </c>
      <c r="AD44" s="656">
        <v>0.566703537</v>
      </c>
      <c r="AE44" s="651">
        <v>0.012</v>
      </c>
    </row>
    <row r="45" spans="1:32">
      <c r="A45" s="86" t="s">
        <v>377</v>
      </c>
      <c r="B45" s="88">
        <v>0.093956508268332</v>
      </c>
      <c r="C45" s="88">
        <v>0.90604349173167</v>
      </c>
      <c r="D45" s="88">
        <v>0.27</v>
      </c>
      <c r="E45" s="87">
        <v>1.2505092401143</v>
      </c>
      <c r="F45" s="88">
        <v>0.46440838960205</v>
      </c>
      <c r="G45" s="650">
        <v>0.02068</v>
      </c>
      <c r="H45" s="88">
        <v>0.093956508268332</v>
      </c>
      <c r="I45" s="88">
        <v>0.90604349173167</v>
      </c>
      <c r="J45" s="88">
        <v>0.27</v>
      </c>
      <c r="K45" s="87">
        <v>1.2505092401143</v>
      </c>
      <c r="L45" s="88">
        <v>0.46440838960205</v>
      </c>
      <c r="M45" s="650">
        <v>0.02068</v>
      </c>
      <c r="N45" s="88">
        <v>0.11550414899233</v>
      </c>
      <c r="O45" s="88">
        <v>0.88449585100767</v>
      </c>
      <c r="P45" s="88">
        <v>0.25</v>
      </c>
      <c r="Q45" s="87">
        <v>1.4047128789333</v>
      </c>
      <c r="R45" s="88">
        <v>0.45109370580495</v>
      </c>
      <c r="S45" s="650">
        <v>0.0162</v>
      </c>
      <c r="T45" s="87">
        <v>0.26289829475514</v>
      </c>
      <c r="U45" s="87">
        <v>0.73710170524486</v>
      </c>
      <c r="V45" s="87">
        <v>0.25</v>
      </c>
      <c r="W45" s="87">
        <v>0.93074336988493</v>
      </c>
      <c r="X45" s="87">
        <v>0.3382873796266</v>
      </c>
      <c r="Y45" s="650">
        <v>0.012055</v>
      </c>
      <c r="Z45" s="648">
        <v>0.26126941661307</v>
      </c>
      <c r="AA45" s="655">
        <v>0.73873058338693</v>
      </c>
      <c r="AB45" s="650">
        <v>0.25</v>
      </c>
      <c r="AC45" s="662">
        <v>0.984489325</v>
      </c>
      <c r="AD45" s="655">
        <v>0.396580654</v>
      </c>
      <c r="AE45" s="650">
        <v>0.0095</v>
      </c>
    </row>
    <row r="46" spans="1:32">
      <c r="A46" s="89" t="s">
        <v>378</v>
      </c>
      <c r="B46" s="88">
        <v>0.21036918588769</v>
      </c>
      <c r="C46" s="88">
        <v>0.78963081411231</v>
      </c>
      <c r="D46" s="88">
        <v>0.27</v>
      </c>
      <c r="E46" s="87">
        <v>0.92216356074929</v>
      </c>
      <c r="F46" s="88">
        <v>0.3715071202026</v>
      </c>
      <c r="G46" s="651">
        <v>0.0165</v>
      </c>
      <c r="H46" s="88">
        <v>0.21036918588769</v>
      </c>
      <c r="I46" s="88">
        <v>0.78963081411231</v>
      </c>
      <c r="J46" s="88">
        <v>0.27</v>
      </c>
      <c r="K46" s="87">
        <v>0.92216356074929</v>
      </c>
      <c r="L46" s="88">
        <v>0.3715071202026</v>
      </c>
      <c r="M46" s="651">
        <v>0.0165</v>
      </c>
      <c r="N46" s="88">
        <v>0.23365171072446</v>
      </c>
      <c r="O46" s="88">
        <v>0.76634828927554</v>
      </c>
      <c r="P46" s="88">
        <v>0.25</v>
      </c>
      <c r="Q46" s="87">
        <v>1.2277613538599</v>
      </c>
      <c r="R46" s="88">
        <v>0.4376102850667</v>
      </c>
      <c r="S46" s="651">
        <v>0.0162</v>
      </c>
      <c r="T46" s="87">
        <v>0.20592429100407</v>
      </c>
      <c r="U46" s="87">
        <v>0.79407570899593</v>
      </c>
      <c r="V46" s="87">
        <v>0.25</v>
      </c>
      <c r="W46" s="87">
        <v>1.0331486323511</v>
      </c>
      <c r="X46" s="87">
        <v>0.4038170360217</v>
      </c>
      <c r="Y46" s="651">
        <v>0.012055</v>
      </c>
      <c r="Z46" s="659">
        <v>0.14787928662977</v>
      </c>
      <c r="AA46" s="656">
        <v>0.85212071337023</v>
      </c>
      <c r="AB46" s="651">
        <v>0.25</v>
      </c>
      <c r="AC46" s="663">
        <v>0.760364469</v>
      </c>
      <c r="AD46" s="656">
        <v>0.510071782</v>
      </c>
      <c r="AE46" s="651">
        <v>0.012</v>
      </c>
    </row>
    <row r="47" spans="1:32">
      <c r="A47" s="86" t="s">
        <v>379</v>
      </c>
      <c r="B47" s="88">
        <v>0.48078762867661</v>
      </c>
      <c r="C47" s="88">
        <v>0.51921237132339</v>
      </c>
      <c r="D47" s="88">
        <v>0.27</v>
      </c>
      <c r="E47" s="87">
        <v>1.2243328098225</v>
      </c>
      <c r="F47" s="88">
        <v>0.31813183698382</v>
      </c>
      <c r="G47" s="650">
        <v>0.0165</v>
      </c>
      <c r="H47" s="88">
        <v>0.48078762867661</v>
      </c>
      <c r="I47" s="88">
        <v>0.51921237132339</v>
      </c>
      <c r="J47" s="88">
        <v>0.27</v>
      </c>
      <c r="K47" s="87">
        <v>1.2243328098225</v>
      </c>
      <c r="L47" s="88">
        <v>0.31813183698382</v>
      </c>
      <c r="M47" s="650">
        <v>0.0165</v>
      </c>
      <c r="N47" s="88">
        <v>0.48025814281218</v>
      </c>
      <c r="O47" s="88">
        <v>0.51974185718782</v>
      </c>
      <c r="P47" s="88">
        <v>0.25</v>
      </c>
      <c r="Q47" s="87">
        <v>0.93935366031438</v>
      </c>
      <c r="R47" s="88">
        <v>0.28891454530535</v>
      </c>
      <c r="S47" s="650">
        <v>0.0162</v>
      </c>
      <c r="T47" s="87">
        <v>0.47983380623416</v>
      </c>
      <c r="U47" s="87">
        <v>0.52016619376584</v>
      </c>
      <c r="V47" s="87">
        <v>0.25</v>
      </c>
      <c r="W47" s="87">
        <v>0.76576086532749</v>
      </c>
      <c r="X47" s="87">
        <v>0.3084968492504</v>
      </c>
      <c r="Y47" s="650">
        <v>0.012055</v>
      </c>
      <c r="Z47" s="648">
        <v>0.3854771760113</v>
      </c>
      <c r="AA47" s="655">
        <v>0.6145228239887</v>
      </c>
      <c r="AB47" s="650">
        <v>0.25</v>
      </c>
      <c r="AC47" s="662">
        <v>0.731672262</v>
      </c>
      <c r="AD47" s="655">
        <v>0.343126708</v>
      </c>
      <c r="AE47" s="650">
        <v>0.0095</v>
      </c>
    </row>
    <row r="48" spans="1:32">
      <c r="A48" s="89" t="s">
        <v>380</v>
      </c>
      <c r="B48" s="88">
        <v>0.19012875767898</v>
      </c>
      <c r="C48" s="88">
        <v>0.80987124232102</v>
      </c>
      <c r="D48" s="88">
        <v>0.27</v>
      </c>
      <c r="E48" s="87">
        <v>0.86141825429816</v>
      </c>
      <c r="F48" s="88">
        <v>0.29244271412933</v>
      </c>
      <c r="G48" s="651">
        <v>0.0099</v>
      </c>
      <c r="H48" s="88">
        <v>0.19012875767898</v>
      </c>
      <c r="I48" s="88">
        <v>0.80987124232102</v>
      </c>
      <c r="J48" s="88">
        <v>0.27</v>
      </c>
      <c r="K48" s="87">
        <v>0.86141825429816</v>
      </c>
      <c r="L48" s="88">
        <v>0.29244271412933</v>
      </c>
      <c r="M48" s="651">
        <v>0.0165</v>
      </c>
      <c r="N48" s="88">
        <v>0.17672400294711</v>
      </c>
      <c r="O48" s="88">
        <v>0.82327599705289</v>
      </c>
      <c r="P48" s="88">
        <v>0.25</v>
      </c>
      <c r="Q48" s="87">
        <v>0.8033013628247</v>
      </c>
      <c r="R48" s="88">
        <v>0.27667183307262</v>
      </c>
      <c r="S48" s="651">
        <v>0.0162</v>
      </c>
      <c r="T48" s="87">
        <v>0.16235416986823</v>
      </c>
      <c r="U48" s="87">
        <v>0.83764583013177</v>
      </c>
      <c r="V48" s="87">
        <v>0.25</v>
      </c>
      <c r="W48" s="87">
        <v>0.73875776033737</v>
      </c>
      <c r="X48" s="87">
        <v>0.27404177841999</v>
      </c>
      <c r="Y48" s="651">
        <v>0.012055</v>
      </c>
      <c r="Z48" s="659">
        <v>0.13391402267011</v>
      </c>
      <c r="AA48" s="656">
        <v>0.86608597732989</v>
      </c>
      <c r="AB48" s="651">
        <v>0.25</v>
      </c>
      <c r="AC48" s="663">
        <v>0.605663581</v>
      </c>
      <c r="AD48" s="656">
        <v>0.336883546</v>
      </c>
      <c r="AE48" s="651">
        <v>0.0095</v>
      </c>
    </row>
    <row r="49" spans="1:32">
      <c r="A49" s="86" t="s">
        <v>381</v>
      </c>
      <c r="B49" s="88">
        <v>0.21833708673165</v>
      </c>
      <c r="C49" s="88">
        <v>0.78166291326835</v>
      </c>
      <c r="D49" s="88">
        <v>0.27</v>
      </c>
      <c r="E49" s="87">
        <v>1.0483314155937</v>
      </c>
      <c r="F49" s="88">
        <v>0.31969935251351</v>
      </c>
      <c r="G49" s="650">
        <v>0.0165</v>
      </c>
      <c r="H49" s="88">
        <v>0.21833708673165</v>
      </c>
      <c r="I49" s="88">
        <v>0.78166291326835</v>
      </c>
      <c r="J49" s="88">
        <v>0.27</v>
      </c>
      <c r="K49" s="87">
        <v>1.0483314155937</v>
      </c>
      <c r="L49" s="88">
        <v>0.31969935251351</v>
      </c>
      <c r="M49" s="650">
        <v>0.0165</v>
      </c>
      <c r="N49" s="88">
        <v>0.27717935374212</v>
      </c>
      <c r="O49" s="88">
        <v>0.72282064625788</v>
      </c>
      <c r="P49" s="88">
        <v>0.25</v>
      </c>
      <c r="Q49" s="87">
        <v>0.6236129544791</v>
      </c>
      <c r="R49" s="88">
        <v>0.099064267399826</v>
      </c>
      <c r="S49" s="650">
        <v>0.0085</v>
      </c>
      <c r="T49" s="87">
        <v>0.28742573556683</v>
      </c>
      <c r="U49" s="87">
        <v>0.71257426443317</v>
      </c>
      <c r="V49" s="87">
        <v>0.25</v>
      </c>
      <c r="W49" s="87">
        <v>0.4570054694827</v>
      </c>
      <c r="X49" s="87">
        <v>0.15150889761068</v>
      </c>
      <c r="Y49" s="650">
        <v>0.006243</v>
      </c>
      <c r="Z49" s="648">
        <v>0.25950157646333</v>
      </c>
      <c r="AA49" s="655">
        <v>0.74049842353667</v>
      </c>
      <c r="AB49" s="650">
        <v>0.25</v>
      </c>
      <c r="AC49" s="662">
        <v>0.567136155</v>
      </c>
      <c r="AD49" s="655">
        <v>0.229410333</v>
      </c>
      <c r="AE49" s="650">
        <v>0.005</v>
      </c>
    </row>
    <row r="50" spans="1:32">
      <c r="A50" s="89" t="s">
        <v>382</v>
      </c>
      <c r="B50" s="88">
        <v>0.12368913053394</v>
      </c>
      <c r="C50" s="88">
        <v>0.87631086946606</v>
      </c>
      <c r="D50" s="88">
        <v>0.27</v>
      </c>
      <c r="E50" s="87">
        <v>1.247125400866</v>
      </c>
      <c r="F50" s="88">
        <v>0.34753389659061</v>
      </c>
      <c r="G50" s="651">
        <v>0.0165</v>
      </c>
      <c r="H50" s="88">
        <v>0.12368913053394</v>
      </c>
      <c r="I50" s="88">
        <v>0.87631086946606</v>
      </c>
      <c r="J50" s="88">
        <v>0.27</v>
      </c>
      <c r="K50" s="87">
        <v>1.247125400866</v>
      </c>
      <c r="L50" s="88">
        <v>0.34753389659061</v>
      </c>
      <c r="M50" s="651">
        <v>0.0165</v>
      </c>
      <c r="N50" s="88">
        <v>0.17247652623442</v>
      </c>
      <c r="O50" s="88">
        <v>0.82752347376558</v>
      </c>
      <c r="P50" s="88">
        <v>0.25</v>
      </c>
      <c r="Q50" s="87">
        <v>1.224816899432</v>
      </c>
      <c r="R50" s="88">
        <v>0.32362033573649</v>
      </c>
      <c r="S50" s="651">
        <v>0.0162</v>
      </c>
      <c r="T50" s="87">
        <v>0.14430985657051</v>
      </c>
      <c r="U50" s="87">
        <v>0.85569014342949</v>
      </c>
      <c r="V50" s="87">
        <v>0.25</v>
      </c>
      <c r="W50" s="87">
        <v>1.0260564286029</v>
      </c>
      <c r="X50" s="87">
        <v>0.33444214078623</v>
      </c>
      <c r="Y50" s="651">
        <v>0.012055</v>
      </c>
      <c r="Z50" s="659">
        <v>0.13568778466035</v>
      </c>
      <c r="AA50" s="656">
        <v>0.86431221533965</v>
      </c>
      <c r="AB50" s="651">
        <v>0.25</v>
      </c>
      <c r="AC50" s="663">
        <v>1.067242281</v>
      </c>
      <c r="AD50" s="656">
        <v>0.460733301</v>
      </c>
      <c r="AE50" s="651">
        <v>0.012</v>
      </c>
    </row>
    <row r="51" spans="1:32">
      <c r="A51" s="86" t="s">
        <v>383</v>
      </c>
      <c r="B51" s="88">
        <v>0.15377622800964</v>
      </c>
      <c r="C51" s="88">
        <v>0.84622377199036</v>
      </c>
      <c r="D51" s="88">
        <v>0.27</v>
      </c>
      <c r="E51" s="87">
        <v>1.1729282199963</v>
      </c>
      <c r="F51" s="88">
        <v>0.68076293704459</v>
      </c>
      <c r="G51" s="650">
        <v>0.031625</v>
      </c>
      <c r="H51" s="88">
        <v>0.15377622800964</v>
      </c>
      <c r="I51" s="88">
        <v>0.84622377199036</v>
      </c>
      <c r="J51" s="88">
        <v>0.27</v>
      </c>
      <c r="K51" s="87">
        <v>1.1729282199963</v>
      </c>
      <c r="L51" s="88">
        <v>0.68076293704459</v>
      </c>
      <c r="M51" s="650">
        <v>0.031625</v>
      </c>
      <c r="N51" s="88">
        <v>0.17725898477476</v>
      </c>
      <c r="O51" s="88">
        <v>0.82274101522524</v>
      </c>
      <c r="P51" s="88">
        <v>0.25</v>
      </c>
      <c r="Q51" s="87">
        <v>1.2900534643159</v>
      </c>
      <c r="R51" s="88">
        <v>0.70056239501194</v>
      </c>
      <c r="S51" s="650">
        <v>0.0313</v>
      </c>
      <c r="T51" s="87">
        <v>0.13659352614227</v>
      </c>
      <c r="U51" s="87">
        <v>0.86340647385773</v>
      </c>
      <c r="V51" s="87">
        <v>0.25</v>
      </c>
      <c r="W51" s="87">
        <v>0.96247840953992</v>
      </c>
      <c r="X51" s="87">
        <v>0.60559365279027</v>
      </c>
      <c r="Y51" s="650">
        <v>0.014724</v>
      </c>
      <c r="Z51" s="648">
        <v>0.14354306825231</v>
      </c>
      <c r="AA51" s="655">
        <v>0.85645693174769</v>
      </c>
      <c r="AB51" s="650">
        <v>0.25</v>
      </c>
      <c r="AC51" s="662">
        <v>1.022250551</v>
      </c>
      <c r="AD51" s="655">
        <v>0.723723464</v>
      </c>
      <c r="AE51" s="650">
        <v>0.0183</v>
      </c>
    </row>
    <row r="52" spans="1:32">
      <c r="A52" s="89" t="s">
        <v>384</v>
      </c>
      <c r="B52" s="88">
        <v>0.32549289286882</v>
      </c>
      <c r="C52" s="88">
        <v>0.67450710713118</v>
      </c>
      <c r="D52" s="88">
        <v>0.27</v>
      </c>
      <c r="E52" s="87">
        <v>1.3833133311474</v>
      </c>
      <c r="F52" s="88">
        <v>0.31005686583587</v>
      </c>
      <c r="G52" s="651">
        <v>0.0165</v>
      </c>
      <c r="H52" s="88">
        <v>0.32549289286882</v>
      </c>
      <c r="I52" s="88">
        <v>0.67450710713118</v>
      </c>
      <c r="J52" s="88">
        <v>0.27</v>
      </c>
      <c r="K52" s="87">
        <v>1.3833133311474</v>
      </c>
      <c r="L52" s="88">
        <v>0.31005686583587</v>
      </c>
      <c r="M52" s="651">
        <v>0.0165</v>
      </c>
      <c r="N52" s="88">
        <v>0.40048472944004</v>
      </c>
      <c r="O52" s="88">
        <v>0.59951527055996</v>
      </c>
      <c r="P52" s="88">
        <v>0.25</v>
      </c>
      <c r="Q52" s="87">
        <v>1.1770946700329</v>
      </c>
      <c r="R52" s="88">
        <v>0.3522093455384</v>
      </c>
      <c r="S52" s="651">
        <v>0.0162</v>
      </c>
      <c r="T52" s="87">
        <v>0.34456840647254</v>
      </c>
      <c r="U52" s="87">
        <v>0.65543159352746</v>
      </c>
      <c r="V52" s="87">
        <v>0.25</v>
      </c>
      <c r="W52" s="87">
        <v>1.1394185236914</v>
      </c>
      <c r="X52" s="87">
        <v>0.30280062793939</v>
      </c>
      <c r="Y52" s="651">
        <v>0.012055</v>
      </c>
      <c r="Z52" s="659">
        <v>0.31743720141193</v>
      </c>
      <c r="AA52" s="656">
        <v>0.68256279858807</v>
      </c>
      <c r="AB52" s="651">
        <v>0.25</v>
      </c>
      <c r="AC52" s="663">
        <v>1.200495591</v>
      </c>
      <c r="AD52" s="656">
        <v>0.498920038</v>
      </c>
      <c r="AE52" s="651">
        <v>0.012</v>
      </c>
    </row>
    <row r="53" spans="1:32">
      <c r="A53" s="86" t="s">
        <v>385</v>
      </c>
      <c r="B53" s="88">
        <v>0.21092384609364</v>
      </c>
      <c r="C53" s="88">
        <v>0.78907615390636</v>
      </c>
      <c r="D53" s="88">
        <v>0.27</v>
      </c>
      <c r="E53" s="87">
        <v>1.465397473979</v>
      </c>
      <c r="F53" s="88">
        <v>0.2871316995503</v>
      </c>
      <c r="G53" s="650">
        <v>0.0165</v>
      </c>
      <c r="H53" s="88">
        <v>0.21092384609364</v>
      </c>
      <c r="I53" s="88">
        <v>0.78907615390636</v>
      </c>
      <c r="J53" s="88">
        <v>0.27</v>
      </c>
      <c r="K53" s="87">
        <v>1.465397473979</v>
      </c>
      <c r="L53" s="88">
        <v>0.2871316995503</v>
      </c>
      <c r="M53" s="650">
        <v>0.0165</v>
      </c>
      <c r="N53" s="88">
        <v>0.10316970884561</v>
      </c>
      <c r="O53" s="88">
        <v>0.89683029115439</v>
      </c>
      <c r="P53" s="88">
        <v>0.25</v>
      </c>
      <c r="Q53" s="87">
        <v>0.97748589274907</v>
      </c>
      <c r="R53" s="88">
        <v>0.30548944434643</v>
      </c>
      <c r="S53" s="650">
        <v>0.0162</v>
      </c>
      <c r="T53" s="87">
        <v>0.11113222576378</v>
      </c>
      <c r="U53" s="87">
        <v>0.88886777423622</v>
      </c>
      <c r="V53" s="87">
        <v>0.25</v>
      </c>
      <c r="W53" s="87">
        <v>0.67065158444685</v>
      </c>
      <c r="X53" s="87">
        <v>0.26444809223182</v>
      </c>
      <c r="Y53" s="650">
        <v>0.012055</v>
      </c>
      <c r="Z53" s="648">
        <v>0.12058731670496</v>
      </c>
      <c r="AA53" s="655">
        <v>0.87941268329504</v>
      </c>
      <c r="AB53" s="650">
        <v>0.25</v>
      </c>
      <c r="AC53" s="662">
        <v>0.483682004</v>
      </c>
      <c r="AD53" s="655">
        <v>0.255595298</v>
      </c>
      <c r="AE53" s="650">
        <v>0.005</v>
      </c>
    </row>
    <row r="54" spans="1:32">
      <c r="A54" s="89" t="s">
        <v>386</v>
      </c>
      <c r="B54" s="88">
        <v>0.23737743300073</v>
      </c>
      <c r="C54" s="88">
        <v>0.76262256699927</v>
      </c>
      <c r="D54" s="88">
        <v>0.27</v>
      </c>
      <c r="E54" s="87">
        <v>1.3197265447114</v>
      </c>
      <c r="F54" s="88">
        <v>0.55475619593509</v>
      </c>
      <c r="G54" s="651">
        <v>0.02068</v>
      </c>
      <c r="H54" s="88">
        <v>0.23737743300073</v>
      </c>
      <c r="I54" s="88">
        <v>0.76262256699927</v>
      </c>
      <c r="J54" s="88">
        <v>0.27</v>
      </c>
      <c r="K54" s="87">
        <v>1.3197265447114</v>
      </c>
      <c r="L54" s="88">
        <v>0.55475619593509</v>
      </c>
      <c r="M54" s="651">
        <v>0.02068</v>
      </c>
      <c r="N54" s="88">
        <v>0.16724493485833</v>
      </c>
      <c r="O54" s="88">
        <v>0.83275506514167</v>
      </c>
      <c r="P54" s="88">
        <v>0.25</v>
      </c>
      <c r="Q54" s="87">
        <v>1.2574315521618</v>
      </c>
      <c r="R54" s="88">
        <v>0.56976877370014</v>
      </c>
      <c r="S54" s="651">
        <v>0.02</v>
      </c>
      <c r="T54" s="87">
        <v>0.18884246603997</v>
      </c>
      <c r="U54" s="87">
        <v>0.81115753396003</v>
      </c>
      <c r="V54" s="87">
        <v>0.25</v>
      </c>
      <c r="W54" s="87">
        <v>0.92989873869596</v>
      </c>
      <c r="X54" s="87">
        <v>0.46310335310672</v>
      </c>
      <c r="Y54" s="651">
        <v>0.012055</v>
      </c>
      <c r="Z54" s="659">
        <v>0.21040224261825</v>
      </c>
      <c r="AA54" s="656">
        <v>0.78959775738175</v>
      </c>
      <c r="AB54" s="651">
        <v>0.25</v>
      </c>
      <c r="AC54" s="663">
        <v>0.875929343</v>
      </c>
      <c r="AD54" s="656">
        <v>0.476588509</v>
      </c>
      <c r="AE54" s="651">
        <v>0.012</v>
      </c>
    </row>
    <row r="55" spans="1:32">
      <c r="A55" s="86" t="s">
        <v>387</v>
      </c>
      <c r="B55" s="88">
        <v>0.46568676212319</v>
      </c>
      <c r="C55" s="88">
        <v>0.53431323787681</v>
      </c>
      <c r="D55" s="88">
        <v>0.27</v>
      </c>
      <c r="E55" s="87">
        <v>1.3956242779823</v>
      </c>
      <c r="F55" s="88">
        <v>0.44980453975923</v>
      </c>
      <c r="G55" s="650">
        <v>0.02068</v>
      </c>
      <c r="H55" s="88">
        <v>0.46568676212319</v>
      </c>
      <c r="I55" s="88">
        <v>0.53431323787681</v>
      </c>
      <c r="J55" s="88">
        <v>0.27</v>
      </c>
      <c r="K55" s="87">
        <v>1.3956242779823</v>
      </c>
      <c r="L55" s="88">
        <v>0.44980453975923</v>
      </c>
      <c r="M55" s="650">
        <v>0.02068</v>
      </c>
      <c r="N55" s="88">
        <v>0.41660661946754</v>
      </c>
      <c r="O55" s="88">
        <v>0.58339338053246</v>
      </c>
      <c r="P55" s="88">
        <v>0.25</v>
      </c>
      <c r="Q55" s="87">
        <v>0.99125533132717</v>
      </c>
      <c r="R55" s="88">
        <v>0.33549336269636</v>
      </c>
      <c r="S55" s="650">
        <v>0.0162</v>
      </c>
      <c r="T55" s="87">
        <v>0.41252097055499</v>
      </c>
      <c r="U55" s="87">
        <v>0.58747902944501</v>
      </c>
      <c r="V55" s="87">
        <v>0.25</v>
      </c>
      <c r="W55" s="87">
        <v>0.79075215100879</v>
      </c>
      <c r="X55" s="87">
        <v>0.32547547332498</v>
      </c>
      <c r="Y55" s="650">
        <v>0.012055</v>
      </c>
      <c r="Z55" s="648">
        <v>0.34010076148659</v>
      </c>
      <c r="AA55" s="655">
        <v>0.65989923851341</v>
      </c>
      <c r="AB55" s="650">
        <v>0.25</v>
      </c>
      <c r="AC55" s="662">
        <v>0.754707504</v>
      </c>
      <c r="AD55" s="655">
        <v>0.381741501</v>
      </c>
      <c r="AE55" s="650">
        <v>0.0095</v>
      </c>
    </row>
    <row r="56" spans="1:32">
      <c r="A56" s="89" t="s">
        <v>388</v>
      </c>
      <c r="B56" s="88">
        <v>0.35118371206682</v>
      </c>
      <c r="C56" s="88">
        <v>0.64881628793318</v>
      </c>
      <c r="D56" s="88">
        <v>0.27</v>
      </c>
      <c r="E56" s="87">
        <v>1.4958005288966</v>
      </c>
      <c r="F56" s="88">
        <v>0.49634640471939</v>
      </c>
      <c r="G56" s="651">
        <v>0.02068</v>
      </c>
      <c r="H56" s="88">
        <v>0.35118371206682</v>
      </c>
      <c r="I56" s="88">
        <v>0.64881628793318</v>
      </c>
      <c r="J56" s="88">
        <v>0.27</v>
      </c>
      <c r="K56" s="87">
        <v>1.4958005288966</v>
      </c>
      <c r="L56" s="88">
        <v>0.49634640471939</v>
      </c>
      <c r="M56" s="651">
        <v>0.02068</v>
      </c>
      <c r="N56" s="88">
        <v>0.24587596268608</v>
      </c>
      <c r="O56" s="88">
        <v>0.75412403731392</v>
      </c>
      <c r="P56" s="88">
        <v>0.25</v>
      </c>
      <c r="Q56" s="87">
        <v>1.3751593545688</v>
      </c>
      <c r="R56" s="88">
        <v>0.46898107338785</v>
      </c>
      <c r="S56" s="651">
        <v>0.0162</v>
      </c>
      <c r="T56" s="87">
        <v>0.24322695079309</v>
      </c>
      <c r="U56" s="87">
        <v>0.75677304920691</v>
      </c>
      <c r="V56" s="87">
        <v>0.25</v>
      </c>
      <c r="W56" s="87">
        <v>0.9795500315746</v>
      </c>
      <c r="X56" s="87">
        <v>0.43728736432048</v>
      </c>
      <c r="Y56" s="651">
        <v>0.012055</v>
      </c>
      <c r="Z56" s="659">
        <v>0.27810053473827</v>
      </c>
      <c r="AA56" s="656">
        <v>0.72189946526173</v>
      </c>
      <c r="AB56" s="651">
        <v>0.25</v>
      </c>
      <c r="AC56" s="663">
        <v>0.937600524</v>
      </c>
      <c r="AD56" s="656">
        <v>0.494883871</v>
      </c>
      <c r="AE56" s="651">
        <v>0.012</v>
      </c>
    </row>
    <row r="57" spans="1:32">
      <c r="A57" s="86" t="s">
        <v>389</v>
      </c>
      <c r="B57" s="88">
        <v>0.33193002325535</v>
      </c>
      <c r="C57" s="88">
        <v>0.66806997674465</v>
      </c>
      <c r="D57" s="88">
        <v>0.27</v>
      </c>
      <c r="E57" s="87">
        <v>1.0097052308922</v>
      </c>
      <c r="F57" s="88">
        <v>0.26384174426917</v>
      </c>
      <c r="G57" s="650">
        <v>0.0165</v>
      </c>
      <c r="H57" s="88">
        <v>0.33193002325535</v>
      </c>
      <c r="I57" s="88">
        <v>0.66806997674465</v>
      </c>
      <c r="J57" s="88">
        <v>0.27</v>
      </c>
      <c r="K57" s="87">
        <v>1.0097052308922</v>
      </c>
      <c r="L57" s="88">
        <v>0.26384174426917</v>
      </c>
      <c r="M57" s="650">
        <v>0.0165</v>
      </c>
      <c r="N57" s="88">
        <v>0.38258512094774</v>
      </c>
      <c r="O57" s="88">
        <v>0.61741487905226</v>
      </c>
      <c r="P57" s="88">
        <v>0.25</v>
      </c>
      <c r="Q57" s="87">
        <v>0.95242199691205</v>
      </c>
      <c r="R57" s="88">
        <v>0.24431384085324</v>
      </c>
      <c r="S57" s="650">
        <v>0.0085</v>
      </c>
      <c r="T57" s="87">
        <v>0.3798841042851</v>
      </c>
      <c r="U57" s="87">
        <v>0.6201158957149</v>
      </c>
      <c r="V57" s="87">
        <v>0.25</v>
      </c>
      <c r="W57" s="87">
        <v>1.1327220379605</v>
      </c>
      <c r="X57" s="87">
        <v>0.26242708965747</v>
      </c>
      <c r="Y57" s="650">
        <v>0.012055</v>
      </c>
      <c r="Z57" s="648">
        <v>0.346035813007</v>
      </c>
      <c r="AA57" s="655">
        <v>0.653964186993</v>
      </c>
      <c r="AB57" s="650">
        <v>0.25</v>
      </c>
      <c r="AC57" s="662">
        <v>0.97636341</v>
      </c>
      <c r="AD57" s="655">
        <v>0.339754281</v>
      </c>
      <c r="AE57" s="650">
        <v>0.0095</v>
      </c>
    </row>
    <row r="58" spans="1:32">
      <c r="A58" s="89" t="s">
        <v>390</v>
      </c>
      <c r="B58" s="88">
        <v>0.29240120683917</v>
      </c>
      <c r="C58" s="88">
        <v>0.70759879316083</v>
      </c>
      <c r="D58" s="88">
        <v>0.27</v>
      </c>
      <c r="E58" s="87">
        <v>1.213515684012</v>
      </c>
      <c r="F58" s="88">
        <v>0.30607503082604</v>
      </c>
      <c r="G58" s="651">
        <v>0.0165</v>
      </c>
      <c r="H58" s="88">
        <v>0.29240120683917</v>
      </c>
      <c r="I58" s="88">
        <v>0.70759879316083</v>
      </c>
      <c r="J58" s="88">
        <v>0.27</v>
      </c>
      <c r="K58" s="87">
        <v>1.213515684012</v>
      </c>
      <c r="L58" s="88">
        <v>0.30607503082604</v>
      </c>
      <c r="M58" s="651">
        <v>0.0165</v>
      </c>
      <c r="N58" s="88">
        <v>0.30490399792922</v>
      </c>
      <c r="O58" s="88">
        <v>0.69509600207078</v>
      </c>
      <c r="P58" s="88">
        <v>0.25</v>
      </c>
      <c r="Q58" s="87">
        <v>1.3830066711394</v>
      </c>
      <c r="R58" s="88">
        <v>0.4284359713092</v>
      </c>
      <c r="S58" s="651">
        <v>0.0162</v>
      </c>
      <c r="T58" s="87">
        <v>0.27203680189154</v>
      </c>
      <c r="U58" s="87">
        <v>0.72796319810846</v>
      </c>
      <c r="V58" s="87">
        <v>0.25</v>
      </c>
      <c r="W58" s="87">
        <v>1.9382231536191</v>
      </c>
      <c r="X58" s="87">
        <v>0.43036486711913</v>
      </c>
      <c r="Y58" s="651">
        <v>0.012055</v>
      </c>
      <c r="Z58" s="659">
        <v>0.1841132985197</v>
      </c>
      <c r="AA58" s="656">
        <v>0.8158867014803</v>
      </c>
      <c r="AB58" s="651">
        <v>0.25</v>
      </c>
      <c r="AC58" s="663">
        <v>1.07174103</v>
      </c>
      <c r="AD58" s="656">
        <v>0.606574576</v>
      </c>
      <c r="AE58" s="651">
        <v>0.012</v>
      </c>
    </row>
    <row r="59" spans="1:32">
      <c r="A59" s="379" t="s">
        <v>391</v>
      </c>
      <c r="B59" s="88">
        <v>0.41703172422012</v>
      </c>
      <c r="C59" s="88">
        <v>0.58296827577988</v>
      </c>
      <c r="D59" s="88">
        <v>0.27</v>
      </c>
      <c r="E59" s="87">
        <v>0.8330725194489</v>
      </c>
      <c r="F59" s="88">
        <v>0.19494311438549</v>
      </c>
      <c r="G59" s="650">
        <v>0.0099</v>
      </c>
      <c r="H59" s="88">
        <v>0.41703172422012</v>
      </c>
      <c r="I59" s="88">
        <v>0.58296827577988</v>
      </c>
      <c r="J59" s="88">
        <v>0.27</v>
      </c>
      <c r="K59" s="87">
        <v>0.8330725194489</v>
      </c>
      <c r="L59" s="88">
        <v>0.19494311438549</v>
      </c>
      <c r="M59" s="650">
        <v>0.0099</v>
      </c>
      <c r="N59" s="88">
        <v>0.43552496662165</v>
      </c>
      <c r="O59" s="88">
        <v>0.56447503337835</v>
      </c>
      <c r="P59" s="88">
        <v>0.25</v>
      </c>
      <c r="Q59" s="87">
        <v>0.72500097471024</v>
      </c>
      <c r="R59" s="88">
        <v>0.17178123503293</v>
      </c>
      <c r="S59" s="650">
        <v>0.0085</v>
      </c>
      <c r="T59" s="87">
        <v>0.48166097793208</v>
      </c>
      <c r="U59" s="87">
        <v>0.51833902206792</v>
      </c>
      <c r="V59" s="87">
        <v>0.25</v>
      </c>
      <c r="W59" s="87">
        <v>0.65062741829818</v>
      </c>
      <c r="X59" s="87">
        <v>0.20394370124554</v>
      </c>
      <c r="Y59" s="650">
        <v>0.006243</v>
      </c>
      <c r="Z59" s="648">
        <v>0.44547961779881</v>
      </c>
      <c r="AA59" s="655">
        <v>0.55452038220119</v>
      </c>
      <c r="AB59" s="650">
        <v>0.25</v>
      </c>
      <c r="AC59" s="662">
        <v>0.542348627</v>
      </c>
      <c r="AD59" s="655">
        <v>0.273142734</v>
      </c>
      <c r="AE59" s="650">
        <v>0.005</v>
      </c>
    </row>
    <row r="60" spans="1:32">
      <c r="A60" s="89" t="s">
        <v>392</v>
      </c>
      <c r="B60" s="88">
        <v>0.1072042471692</v>
      </c>
      <c r="C60" s="88">
        <v>0.8927957528308</v>
      </c>
      <c r="D60" s="88">
        <v>0.27</v>
      </c>
      <c r="E60" s="87">
        <v>0.98945219191733</v>
      </c>
      <c r="F60" s="88">
        <v>0.56288380171732</v>
      </c>
      <c r="G60" s="651">
        <v>0.031625</v>
      </c>
      <c r="H60" s="88">
        <v>0.1072042471692</v>
      </c>
      <c r="I60" s="88">
        <v>0.8927957528308</v>
      </c>
      <c r="J60" s="88">
        <v>0.27</v>
      </c>
      <c r="K60" s="87">
        <v>0.98945219191733</v>
      </c>
      <c r="L60" s="88">
        <v>0.56288380171732</v>
      </c>
      <c r="M60" s="651">
        <v>0.02068</v>
      </c>
      <c r="N60" s="88">
        <v>0.14034933783923</v>
      </c>
      <c r="O60" s="88">
        <v>0.85965066216077</v>
      </c>
      <c r="P60" s="88">
        <v>0.25</v>
      </c>
      <c r="Q60" s="87">
        <v>1.2336190389709</v>
      </c>
      <c r="R60" s="88">
        <v>0.72543314545869</v>
      </c>
      <c r="S60" s="651">
        <v>0.0313</v>
      </c>
      <c r="T60" s="87">
        <v>0.1319898894018</v>
      </c>
      <c r="U60" s="87">
        <v>0.8680101105982</v>
      </c>
      <c r="V60" s="87">
        <v>0.25</v>
      </c>
      <c r="W60" s="87">
        <v>0.86895093981506</v>
      </c>
      <c r="X60" s="87">
        <v>0.6360947392799</v>
      </c>
      <c r="Y60" s="651">
        <v>0.014724</v>
      </c>
      <c r="Z60" s="659">
        <v>0.15894994616948</v>
      </c>
      <c r="AA60" s="656">
        <v>0.84105005383052</v>
      </c>
      <c r="AB60" s="651">
        <v>0.25</v>
      </c>
      <c r="AC60" s="663">
        <v>1.228314776</v>
      </c>
      <c r="AD60" s="656">
        <v>0.709719516</v>
      </c>
      <c r="AE60" s="651">
        <v>0.0183</v>
      </c>
    </row>
    <row r="61" spans="1:32">
      <c r="A61" s="86" t="s">
        <v>393</v>
      </c>
      <c r="B61" s="88">
        <v>0.26904107653896</v>
      </c>
      <c r="C61" s="88">
        <v>0.73095892346104</v>
      </c>
      <c r="D61" s="88">
        <v>0.27</v>
      </c>
      <c r="E61" s="87">
        <v>1.6937211681264</v>
      </c>
      <c r="F61" s="88">
        <v>0.30800241644332</v>
      </c>
      <c r="G61" s="650">
        <v>0.0165</v>
      </c>
      <c r="H61" s="88">
        <v>0.26904107653896</v>
      </c>
      <c r="I61" s="88">
        <v>0.73095892346104</v>
      </c>
      <c r="J61" s="88">
        <v>0.27</v>
      </c>
      <c r="K61" s="87">
        <v>1.6937211681264</v>
      </c>
      <c r="L61" s="88">
        <v>0.30800241644332</v>
      </c>
      <c r="M61" s="650">
        <v>0.0165</v>
      </c>
      <c r="N61" s="88">
        <v>0.2966482754835</v>
      </c>
      <c r="O61" s="88">
        <v>0.7033517245165</v>
      </c>
      <c r="P61" s="88">
        <v>0.25</v>
      </c>
      <c r="Q61" s="87">
        <v>1.1148957766882</v>
      </c>
      <c r="R61" s="88">
        <v>0.30919744401282</v>
      </c>
      <c r="S61" s="650">
        <v>0.0162</v>
      </c>
      <c r="T61" s="87">
        <v>0.24514393589381</v>
      </c>
      <c r="U61" s="87">
        <v>0.75485606410619</v>
      </c>
      <c r="V61" s="87">
        <v>0.25</v>
      </c>
      <c r="W61" s="87">
        <v>0.96111364761823</v>
      </c>
      <c r="X61" s="87">
        <v>0.38203317252748</v>
      </c>
      <c r="Y61" s="650">
        <v>0.012055</v>
      </c>
      <c r="Z61" s="648">
        <v>0.22296848382655</v>
      </c>
      <c r="AA61" s="655">
        <v>0.77703151617345</v>
      </c>
      <c r="AB61" s="650">
        <v>0.25</v>
      </c>
      <c r="AC61" s="662">
        <v>0.637353091</v>
      </c>
      <c r="AD61" s="655">
        <v>0.410004918</v>
      </c>
      <c r="AE61" s="650">
        <v>0.0095</v>
      </c>
    </row>
    <row r="62" spans="1:32">
      <c r="A62" s="89" t="s">
        <v>394</v>
      </c>
      <c r="B62" s="88">
        <v>0.34980305924054</v>
      </c>
      <c r="C62" s="88">
        <v>0.65019694075946</v>
      </c>
      <c r="D62" s="88">
        <v>0.27</v>
      </c>
      <c r="E62" s="87">
        <v>1.3487431776038</v>
      </c>
      <c r="F62" s="88">
        <v>0.32647305333091</v>
      </c>
      <c r="G62" s="651">
        <v>0.0165</v>
      </c>
      <c r="H62" s="88">
        <v>0.34980305924054</v>
      </c>
      <c r="I62" s="88">
        <v>0.65019694075946</v>
      </c>
      <c r="J62" s="88">
        <v>0.27</v>
      </c>
      <c r="K62" s="87">
        <v>1.3487431776038</v>
      </c>
      <c r="L62" s="88">
        <v>0.32647305333091</v>
      </c>
      <c r="M62" s="651">
        <v>0.0165</v>
      </c>
      <c r="N62" s="88">
        <v>0.436073052581</v>
      </c>
      <c r="O62" s="88">
        <v>0.563926947419</v>
      </c>
      <c r="P62" s="88">
        <v>0.25</v>
      </c>
      <c r="Q62" s="87">
        <v>1.0633760430055</v>
      </c>
      <c r="R62" s="88">
        <v>0.21541532639567</v>
      </c>
      <c r="S62" s="651">
        <v>0.0085</v>
      </c>
      <c r="T62" s="87">
        <v>0.44146512350526</v>
      </c>
      <c r="U62" s="87">
        <v>0.55853487649474</v>
      </c>
      <c r="V62" s="87">
        <v>0.25</v>
      </c>
      <c r="W62" s="87">
        <v>1.0315825268098</v>
      </c>
      <c r="X62" s="87">
        <v>0.23718238142542</v>
      </c>
      <c r="Y62" s="651">
        <v>0.006243</v>
      </c>
      <c r="Z62" s="659">
        <v>0.45500220616438</v>
      </c>
      <c r="AA62" s="656">
        <v>0.54499779383562</v>
      </c>
      <c r="AB62" s="651">
        <v>0.25</v>
      </c>
      <c r="AC62" s="663">
        <v>0.947227237</v>
      </c>
      <c r="AD62" s="656">
        <v>0.320770821</v>
      </c>
      <c r="AE62" s="651">
        <v>0.0095</v>
      </c>
    </row>
    <row r="63" spans="1:32">
      <c r="A63" s="86" t="s">
        <v>395</v>
      </c>
      <c r="B63" s="88">
        <v>0.44425391464557</v>
      </c>
      <c r="C63" s="88">
        <v>0.55574608535443</v>
      </c>
      <c r="D63" s="88">
        <v>0.27</v>
      </c>
      <c r="E63" s="87">
        <v>1.062542774617</v>
      </c>
      <c r="F63" s="88">
        <v>0.51322331834298</v>
      </c>
      <c r="G63" s="650">
        <v>0.02068</v>
      </c>
      <c r="H63" s="88">
        <v>0.44425391464557</v>
      </c>
      <c r="I63" s="88">
        <v>0.55574608535443</v>
      </c>
      <c r="J63" s="88">
        <v>0.27</v>
      </c>
      <c r="K63" s="87">
        <v>1.062542774617</v>
      </c>
      <c r="L63" s="88">
        <v>0.51322331834298</v>
      </c>
      <c r="M63" s="650">
        <v>0.02068</v>
      </c>
      <c r="N63" s="88">
        <v>0.52953698868574</v>
      </c>
      <c r="O63" s="88">
        <v>0.47046301131426</v>
      </c>
      <c r="P63" s="88">
        <v>0.25</v>
      </c>
      <c r="Q63" s="87">
        <v>1.5166924498761</v>
      </c>
      <c r="R63" s="88">
        <v>0.51250635002105</v>
      </c>
      <c r="S63" s="650">
        <v>0.02</v>
      </c>
      <c r="T63" s="87">
        <v>0.48479507760579</v>
      </c>
      <c r="U63" s="87">
        <v>0.51520492239421</v>
      </c>
      <c r="V63" s="87">
        <v>0.25</v>
      </c>
      <c r="W63" s="87">
        <v>0.668594061408</v>
      </c>
      <c r="X63" s="87">
        <v>0.34240037014717</v>
      </c>
      <c r="Y63" s="650">
        <v>0.012055</v>
      </c>
      <c r="Z63" s="648">
        <v>0.52086520461082</v>
      </c>
      <c r="AA63" s="655">
        <v>0.47913479538918</v>
      </c>
      <c r="AB63" s="650">
        <v>0.25</v>
      </c>
      <c r="AC63" s="662">
        <v>1.02618833</v>
      </c>
      <c r="AD63" s="655">
        <v>0.49682192</v>
      </c>
      <c r="AE63" s="650">
        <v>0.012</v>
      </c>
    </row>
    <row r="64" spans="1:32">
      <c r="A64" s="89" t="s">
        <v>396</v>
      </c>
      <c r="B64" s="88">
        <v>0.20890330406052</v>
      </c>
      <c r="C64" s="88">
        <v>0.79109669593948</v>
      </c>
      <c r="D64" s="88">
        <v>0.27</v>
      </c>
      <c r="E64" s="87">
        <v>0.90643693715531</v>
      </c>
      <c r="F64" s="88">
        <v>0.30698705855208</v>
      </c>
      <c r="G64" s="651">
        <v>0.0099</v>
      </c>
      <c r="H64" s="88">
        <v>0.20890330406052</v>
      </c>
      <c r="I64" s="88">
        <v>0.79109669593948</v>
      </c>
      <c r="J64" s="88">
        <v>0.27</v>
      </c>
      <c r="K64" s="87">
        <v>0.90643693715531</v>
      </c>
      <c r="L64" s="88">
        <v>0.30698705855208</v>
      </c>
      <c r="M64" s="651">
        <v>0.0165</v>
      </c>
      <c r="N64" s="88">
        <v>0.28478860416133</v>
      </c>
      <c r="O64" s="88">
        <v>0.71521139583867</v>
      </c>
      <c r="P64" s="88">
        <v>0.25</v>
      </c>
      <c r="Q64" s="87">
        <v>0.78980297684165</v>
      </c>
      <c r="R64" s="88">
        <v>0.28661749273613</v>
      </c>
      <c r="S64" s="651">
        <v>0.0162</v>
      </c>
      <c r="T64" s="87">
        <v>0.24171470192446</v>
      </c>
      <c r="U64" s="87">
        <v>0.75828529807554</v>
      </c>
      <c r="V64" s="87">
        <v>0.25</v>
      </c>
      <c r="W64" s="87">
        <v>0.56357223766364</v>
      </c>
      <c r="X64" s="87">
        <v>0.35907096541479</v>
      </c>
      <c r="Y64" s="651">
        <v>0.012055</v>
      </c>
      <c r="Z64" s="659">
        <v>0.29547222155262</v>
      </c>
      <c r="AA64" s="656">
        <v>0.70452777844738</v>
      </c>
      <c r="AB64" s="651">
        <v>0.25</v>
      </c>
      <c r="AC64" s="663">
        <v>0.864194343</v>
      </c>
      <c r="AD64" s="656">
        <v>0.26527845</v>
      </c>
      <c r="AE64" s="651">
        <v>0.005</v>
      </c>
    </row>
    <row r="65" spans="1:32">
      <c r="A65" s="86" t="s">
        <v>397</v>
      </c>
      <c r="B65" s="88">
        <v>0.36046924354524</v>
      </c>
      <c r="C65" s="88">
        <v>0.63953075645476</v>
      </c>
      <c r="D65" s="88">
        <v>0.27</v>
      </c>
      <c r="E65" s="87">
        <v>1.1453386880065</v>
      </c>
      <c r="F65" s="88">
        <v>0.41428632688431</v>
      </c>
      <c r="G65" s="650">
        <v>0.0165</v>
      </c>
      <c r="H65" s="88">
        <v>0.36046924354524</v>
      </c>
      <c r="I65" s="88">
        <v>0.63953075645476</v>
      </c>
      <c r="J65" s="88">
        <v>0.27</v>
      </c>
      <c r="K65" s="87">
        <v>1.1453386880065</v>
      </c>
      <c r="L65" s="88">
        <v>0.41428632688431</v>
      </c>
      <c r="M65" s="650">
        <v>0.02068</v>
      </c>
      <c r="N65" s="88">
        <v>0.52211966504295</v>
      </c>
      <c r="O65" s="88">
        <v>0.47788033495705</v>
      </c>
      <c r="P65" s="88">
        <v>0.25</v>
      </c>
      <c r="Q65" s="87">
        <v>1.3454843302113</v>
      </c>
      <c r="R65" s="88">
        <v>0.44434220453064</v>
      </c>
      <c r="S65" s="650">
        <v>0.0162</v>
      </c>
      <c r="T65" s="87">
        <v>0.30827148132425</v>
      </c>
      <c r="U65" s="87">
        <v>0.69172851867575</v>
      </c>
      <c r="V65" s="87">
        <v>0.25</v>
      </c>
      <c r="W65" s="87">
        <v>1.0801188936163</v>
      </c>
      <c r="X65" s="87">
        <v>0.44192228893496</v>
      </c>
      <c r="Y65" s="650">
        <v>0.012055</v>
      </c>
      <c r="Z65" s="648">
        <v>0.22351647971068</v>
      </c>
      <c r="AA65" s="655">
        <v>0.77648352028932</v>
      </c>
      <c r="AB65" s="650">
        <v>0.25</v>
      </c>
      <c r="AC65" s="662">
        <v>1.075216812</v>
      </c>
      <c r="AD65" s="655">
        <v>0.565339353</v>
      </c>
      <c r="AE65" s="650">
        <v>0.012</v>
      </c>
    </row>
    <row r="66" spans="1:32">
      <c r="A66" s="89" t="s">
        <v>398</v>
      </c>
      <c r="B66" s="88">
        <v>0.22826841628445</v>
      </c>
      <c r="C66" s="88">
        <v>0.77173158371555</v>
      </c>
      <c r="D66" s="88">
        <v>0.27</v>
      </c>
      <c r="E66" s="87">
        <v>1.2275901387349</v>
      </c>
      <c r="F66" s="88">
        <v>0.50354590966111</v>
      </c>
      <c r="G66" s="651">
        <v>0.02068</v>
      </c>
      <c r="H66" s="88">
        <v>0.22826841628445</v>
      </c>
      <c r="I66" s="88">
        <v>0.77173158371555</v>
      </c>
      <c r="J66" s="88">
        <v>0.27</v>
      </c>
      <c r="K66" s="87">
        <v>1.2275901387349</v>
      </c>
      <c r="L66" s="88">
        <v>0.50354590966111</v>
      </c>
      <c r="M66" s="651">
        <v>0.02068</v>
      </c>
      <c r="N66" s="88">
        <v>0.34236718555089</v>
      </c>
      <c r="O66" s="88">
        <v>0.65763281444911</v>
      </c>
      <c r="P66" s="88">
        <v>0.25</v>
      </c>
      <c r="Q66" s="87">
        <v>1.4179809441636</v>
      </c>
      <c r="R66" s="88">
        <v>0.4213115392323</v>
      </c>
      <c r="S66" s="651">
        <v>0.0162</v>
      </c>
      <c r="T66" s="87">
        <v>0.36938218119031</v>
      </c>
      <c r="U66" s="87">
        <v>0.63061781880969</v>
      </c>
      <c r="V66" s="87">
        <v>0.25</v>
      </c>
      <c r="W66" s="87">
        <v>1.1712869300982</v>
      </c>
      <c r="X66" s="87">
        <v>0.44295221149391</v>
      </c>
      <c r="Y66" s="651">
        <v>0.012055</v>
      </c>
      <c r="Z66" s="659">
        <v>0.39430310405643</v>
      </c>
      <c r="AA66" s="656">
        <v>0.60569689594357</v>
      </c>
      <c r="AB66" s="651">
        <v>0.25</v>
      </c>
      <c r="AC66" s="663">
        <v>1.327897225</v>
      </c>
      <c r="AD66" s="656">
        <v>0.53062303</v>
      </c>
      <c r="AE66" s="651">
        <v>0.012</v>
      </c>
    </row>
    <row r="67" spans="1:32">
      <c r="A67" s="86" t="s">
        <v>399</v>
      </c>
      <c r="B67" s="88">
        <v>0.27979723885064</v>
      </c>
      <c r="C67" s="88">
        <v>0.72020276114936</v>
      </c>
      <c r="D67" s="88">
        <v>0.27</v>
      </c>
      <c r="E67" s="87">
        <v>1.371266880041</v>
      </c>
      <c r="F67" s="88">
        <v>0.25945507184239</v>
      </c>
      <c r="G67" s="650">
        <v>0.0165</v>
      </c>
      <c r="H67" s="88">
        <v>0.27979723885064</v>
      </c>
      <c r="I67" s="88">
        <v>0.72020276114936</v>
      </c>
      <c r="J67" s="88">
        <v>0.27</v>
      </c>
      <c r="K67" s="87">
        <v>1.371266880041</v>
      </c>
      <c r="L67" s="88">
        <v>0.25945507184239</v>
      </c>
      <c r="M67" s="650">
        <v>0.0165</v>
      </c>
      <c r="N67" s="88">
        <v>0.31081382917102</v>
      </c>
      <c r="O67" s="88">
        <v>0.68918617082898</v>
      </c>
      <c r="P67" s="88">
        <v>0.25</v>
      </c>
      <c r="Q67" s="87">
        <v>0.82924820341635</v>
      </c>
      <c r="R67" s="88">
        <v>0.19367615674438</v>
      </c>
      <c r="S67" s="650">
        <v>0.0085</v>
      </c>
      <c r="T67" s="87">
        <v>0.29842458571274</v>
      </c>
      <c r="U67" s="87">
        <v>0.70157541428726</v>
      </c>
      <c r="V67" s="87">
        <v>0.25</v>
      </c>
      <c r="W67" s="87">
        <v>0.65514402605202</v>
      </c>
      <c r="X67" s="87">
        <v>0.17094029032719</v>
      </c>
      <c r="Y67" s="650">
        <v>0.006243</v>
      </c>
      <c r="Z67" s="648">
        <v>0.26780363487796</v>
      </c>
      <c r="AA67" s="655">
        <v>0.73219636512204</v>
      </c>
      <c r="AB67" s="650">
        <v>0.25</v>
      </c>
      <c r="AC67" s="662">
        <v>0.537329871</v>
      </c>
      <c r="AD67" s="655">
        <v>0.198658127</v>
      </c>
      <c r="AE67" s="650">
        <v>0.005</v>
      </c>
    </row>
    <row r="68" spans="1:32">
      <c r="A68" s="89" t="s">
        <v>400</v>
      </c>
      <c r="B68" s="88">
        <v>0.21474187869399</v>
      </c>
      <c r="C68" s="88">
        <v>0.78525812130601</v>
      </c>
      <c r="D68" s="88">
        <v>0.27</v>
      </c>
      <c r="E68" s="87">
        <v>1.5573890728699</v>
      </c>
      <c r="F68" s="88">
        <v>0.42757651363003</v>
      </c>
      <c r="G68" s="651">
        <v>0.02068</v>
      </c>
      <c r="H68" s="88">
        <v>0.21474187869399</v>
      </c>
      <c r="I68" s="88">
        <v>0.78525812130601</v>
      </c>
      <c r="J68" s="88">
        <v>0.27</v>
      </c>
      <c r="K68" s="87">
        <v>1.5573890728699</v>
      </c>
      <c r="L68" s="88">
        <v>0.42757651363003</v>
      </c>
      <c r="M68" s="651">
        <v>0.02068</v>
      </c>
      <c r="N68" s="88">
        <v>0.23533040964915</v>
      </c>
      <c r="O68" s="88">
        <v>0.76466959035085</v>
      </c>
      <c r="P68" s="88">
        <v>0.25</v>
      </c>
      <c r="Q68" s="87">
        <v>1.410397868818</v>
      </c>
      <c r="R68" s="88">
        <v>0.4114705339161</v>
      </c>
      <c r="S68" s="651">
        <v>0.0162</v>
      </c>
      <c r="T68" s="87">
        <v>0.2046260851651</v>
      </c>
      <c r="U68" s="87">
        <v>0.7953739148349</v>
      </c>
      <c r="V68" s="87">
        <v>0.25</v>
      </c>
      <c r="W68" s="87">
        <v>1.1945773204242</v>
      </c>
      <c r="X68" s="87">
        <v>0.35372310643077</v>
      </c>
      <c r="Y68" s="651">
        <v>0.012055</v>
      </c>
      <c r="Z68" s="659">
        <v>0.18789372628014</v>
      </c>
      <c r="AA68" s="656">
        <v>0.81210627371986</v>
      </c>
      <c r="AB68" s="651">
        <v>0.25</v>
      </c>
      <c r="AC68" s="663">
        <v>1.009040065</v>
      </c>
      <c r="AD68" s="656">
        <v>0.415043245</v>
      </c>
      <c r="AE68" s="651">
        <v>0.0095</v>
      </c>
    </row>
    <row r="69" spans="1:32">
      <c r="A69" s="86" t="s">
        <v>401</v>
      </c>
      <c r="B69" s="88">
        <v>0.27851142678762</v>
      </c>
      <c r="C69" s="88">
        <v>0.72148857321238</v>
      </c>
      <c r="D69" s="88">
        <v>0.27</v>
      </c>
      <c r="E69" s="87">
        <v>1.3980328627999</v>
      </c>
      <c r="F69" s="88">
        <v>0.44491963485056</v>
      </c>
      <c r="G69" s="650">
        <v>0.02068</v>
      </c>
      <c r="H69" s="88">
        <v>0.27851142678762</v>
      </c>
      <c r="I69" s="88">
        <v>0.72148857321238</v>
      </c>
      <c r="J69" s="88">
        <v>0.27</v>
      </c>
      <c r="K69" s="87">
        <v>1.3980328627999</v>
      </c>
      <c r="L69" s="88">
        <v>0.44491963485056</v>
      </c>
      <c r="M69" s="650">
        <v>0.02068</v>
      </c>
      <c r="N69" s="88">
        <v>0.3650261649895</v>
      </c>
      <c r="O69" s="88">
        <v>0.6349738350105</v>
      </c>
      <c r="P69" s="88">
        <v>0.25</v>
      </c>
      <c r="Q69" s="87">
        <v>1.5201925121769</v>
      </c>
      <c r="R69" s="88">
        <v>0.35710895966485</v>
      </c>
      <c r="S69" s="650">
        <v>0.0162</v>
      </c>
      <c r="T69" s="87">
        <v>0.36513247499984</v>
      </c>
      <c r="U69" s="87">
        <v>0.63486752500016</v>
      </c>
      <c r="V69" s="87">
        <v>0.25</v>
      </c>
      <c r="W69" s="87">
        <v>1.4944959500824</v>
      </c>
      <c r="X69" s="87">
        <v>0.46787574959814</v>
      </c>
      <c r="Y69" s="650">
        <v>0.012055</v>
      </c>
      <c r="Z69" s="648">
        <v>0.33510223813957</v>
      </c>
      <c r="AA69" s="655">
        <v>0.66489776186043</v>
      </c>
      <c r="AB69" s="650">
        <v>0.25</v>
      </c>
      <c r="AC69" s="662">
        <v>1.353074414</v>
      </c>
      <c r="AD69" s="655">
        <v>0.473945116</v>
      </c>
      <c r="AE69" s="650">
        <v>0.012</v>
      </c>
    </row>
    <row r="70" spans="1:32">
      <c r="A70" s="89" t="s">
        <v>402</v>
      </c>
      <c r="B70" s="88">
        <v>0.11850650006364</v>
      </c>
      <c r="C70" s="88">
        <v>0.88149349993636</v>
      </c>
      <c r="D70" s="88">
        <v>0.27</v>
      </c>
      <c r="E70" s="87">
        <v>1.5246316572138</v>
      </c>
      <c r="F70" s="88">
        <v>0.4473461854624</v>
      </c>
      <c r="G70" s="651">
        <v>0.02068</v>
      </c>
      <c r="H70" s="88">
        <v>0.11850650006364</v>
      </c>
      <c r="I70" s="88">
        <v>0.88149349993636</v>
      </c>
      <c r="J70" s="88">
        <v>0.27</v>
      </c>
      <c r="K70" s="87">
        <v>1.5246316572138</v>
      </c>
      <c r="L70" s="88">
        <v>0.4473461854624</v>
      </c>
      <c r="M70" s="651">
        <v>0.02068</v>
      </c>
      <c r="N70" s="88">
        <v>0.17500957285413</v>
      </c>
      <c r="O70" s="88">
        <v>0.82499042714587</v>
      </c>
      <c r="P70" s="88">
        <v>0.25</v>
      </c>
      <c r="Q70" s="87">
        <v>1.7891723510223</v>
      </c>
      <c r="R70" s="88">
        <v>0.37546183716654</v>
      </c>
      <c r="S70" s="651">
        <v>0.0162</v>
      </c>
      <c r="T70" s="87">
        <v>0.16613035370376</v>
      </c>
      <c r="U70" s="87">
        <v>0.83386964629624</v>
      </c>
      <c r="V70" s="87">
        <v>0.25</v>
      </c>
      <c r="W70" s="87">
        <v>1.9381785697071</v>
      </c>
      <c r="X70" s="87">
        <v>0.45210582664646</v>
      </c>
      <c r="Y70" s="651">
        <v>0.012055</v>
      </c>
      <c r="Z70" s="659">
        <v>0.16797788462083</v>
      </c>
      <c r="AA70" s="656">
        <v>0.83202211537917</v>
      </c>
      <c r="AB70" s="651">
        <v>0.25</v>
      </c>
      <c r="AC70" s="663">
        <v>1.792774397</v>
      </c>
      <c r="AD70" s="656">
        <v>0.521259821</v>
      </c>
      <c r="AE70" s="651">
        <v>0.012</v>
      </c>
    </row>
    <row r="71" spans="1:32">
      <c r="A71" s="86" t="s">
        <v>403</v>
      </c>
      <c r="B71" s="88">
        <v>0.24460220569262</v>
      </c>
      <c r="C71" s="88">
        <v>0.75539779430738</v>
      </c>
      <c r="D71" s="88">
        <v>0.27</v>
      </c>
      <c r="E71" s="87">
        <v>1.2810765889685</v>
      </c>
      <c r="F71" s="88">
        <v>0.43101350078054</v>
      </c>
      <c r="G71" s="650">
        <v>0.02068</v>
      </c>
      <c r="H71" s="88">
        <v>0.24460220569262</v>
      </c>
      <c r="I71" s="88">
        <v>0.75539779430738</v>
      </c>
      <c r="J71" s="88">
        <v>0.27</v>
      </c>
      <c r="K71" s="87">
        <v>1.2810765889685</v>
      </c>
      <c r="L71" s="88">
        <v>0.43101350078054</v>
      </c>
      <c r="M71" s="650">
        <v>0.02068</v>
      </c>
      <c r="N71" s="88">
        <v>0.28349976717458</v>
      </c>
      <c r="O71" s="88">
        <v>0.71650023282542</v>
      </c>
      <c r="P71" s="88">
        <v>0.25</v>
      </c>
      <c r="Q71" s="87">
        <v>1.2752456934389</v>
      </c>
      <c r="R71" s="88">
        <v>0.3708301077624</v>
      </c>
      <c r="S71" s="650">
        <v>0.0162</v>
      </c>
      <c r="T71" s="87">
        <v>0.24408909195893</v>
      </c>
      <c r="U71" s="87">
        <v>0.75591090804107</v>
      </c>
      <c r="V71" s="87">
        <v>0.25</v>
      </c>
      <c r="W71" s="87">
        <v>1.1060426930376</v>
      </c>
      <c r="X71" s="87">
        <v>0.37735750438184</v>
      </c>
      <c r="Y71" s="650">
        <v>0.012055</v>
      </c>
      <c r="Z71" s="648">
        <v>0.23820734397612</v>
      </c>
      <c r="AA71" s="655">
        <v>0.76179265602388</v>
      </c>
      <c r="AB71" s="650">
        <v>0.25</v>
      </c>
      <c r="AC71" s="662">
        <v>1.117155906</v>
      </c>
      <c r="AD71" s="655">
        <v>0.438886042</v>
      </c>
      <c r="AE71" s="650">
        <v>0.0095</v>
      </c>
    </row>
    <row r="72" spans="1:32">
      <c r="A72" s="89" t="s">
        <v>404</v>
      </c>
      <c r="B72" s="88">
        <v>0.13827058850844</v>
      </c>
      <c r="C72" s="88">
        <v>0.86172941149156</v>
      </c>
      <c r="D72" s="88">
        <v>0.27</v>
      </c>
      <c r="E72" s="87">
        <v>1.1155492841734</v>
      </c>
      <c r="F72" s="88">
        <v>0.33881707698287</v>
      </c>
      <c r="G72" s="651">
        <v>0.0165</v>
      </c>
      <c r="H72" s="88">
        <v>0.13827058850844</v>
      </c>
      <c r="I72" s="88">
        <v>0.86172941149156</v>
      </c>
      <c r="J72" s="88">
        <v>0.27</v>
      </c>
      <c r="K72" s="87">
        <v>1.1155492841734</v>
      </c>
      <c r="L72" s="88">
        <v>0.33881707698287</v>
      </c>
      <c r="M72" s="651">
        <v>0.0165</v>
      </c>
      <c r="N72" s="88">
        <v>0.16645578370845</v>
      </c>
      <c r="O72" s="88">
        <v>0.83354421629155</v>
      </c>
      <c r="P72" s="88">
        <v>0.25</v>
      </c>
      <c r="Q72" s="87">
        <v>1.3632136186936</v>
      </c>
      <c r="R72" s="88">
        <v>0.31528080319313</v>
      </c>
      <c r="S72" s="651">
        <v>0.0162</v>
      </c>
      <c r="T72" s="87">
        <v>0.11835251857474</v>
      </c>
      <c r="U72" s="87">
        <v>0.88164748142526</v>
      </c>
      <c r="V72" s="87">
        <v>0.25</v>
      </c>
      <c r="W72" s="87">
        <v>1.2466770513434</v>
      </c>
      <c r="X72" s="87">
        <v>0.38283198873816</v>
      </c>
      <c r="Y72" s="651">
        <v>0.012055</v>
      </c>
      <c r="Z72" s="659">
        <v>0.080275354081261</v>
      </c>
      <c r="AA72" s="656">
        <v>0.91972464591874</v>
      </c>
      <c r="AB72" s="651">
        <v>0.25</v>
      </c>
      <c r="AC72" s="663">
        <v>1.061771934</v>
      </c>
      <c r="AD72" s="656">
        <v>0.466898824</v>
      </c>
      <c r="AE72" s="651">
        <v>0.012</v>
      </c>
    </row>
    <row r="73" spans="1:32">
      <c r="A73" s="86" t="s">
        <v>405</v>
      </c>
      <c r="B73" s="88">
        <v>0.40562526116964</v>
      </c>
      <c r="C73" s="88">
        <v>0.59437473883036</v>
      </c>
      <c r="D73" s="88">
        <v>0.27</v>
      </c>
      <c r="E73" s="87">
        <v>0.29967567113248</v>
      </c>
      <c r="F73" s="88">
        <v>0.34269086272022</v>
      </c>
      <c r="G73" s="650">
        <v>0.0165</v>
      </c>
      <c r="H73" s="88">
        <v>0.40562526116964</v>
      </c>
      <c r="I73" s="88">
        <v>0.59437473883036</v>
      </c>
      <c r="J73" s="88">
        <v>0.27</v>
      </c>
      <c r="K73" s="87">
        <v>0.29967567113248</v>
      </c>
      <c r="L73" s="88">
        <v>0.34269086272022</v>
      </c>
      <c r="M73" s="650">
        <v>0.0165</v>
      </c>
      <c r="N73" s="88">
        <v>0.39692761226146</v>
      </c>
      <c r="O73" s="88">
        <v>0.60307238773854</v>
      </c>
      <c r="P73" s="88">
        <v>0.25</v>
      </c>
      <c r="Q73" s="87">
        <v>0.66756973306314</v>
      </c>
      <c r="R73" s="88">
        <v>0.28264661461127</v>
      </c>
      <c r="S73" s="650">
        <v>0.0162</v>
      </c>
      <c r="T73" s="87">
        <v>0.35831710070912</v>
      </c>
      <c r="U73" s="87">
        <v>0.64168289929088</v>
      </c>
      <c r="V73" s="87">
        <v>0.25</v>
      </c>
      <c r="W73" s="87">
        <v>0.4936080595618</v>
      </c>
      <c r="X73" s="87">
        <v>0.25647926947713</v>
      </c>
      <c r="Y73" s="650">
        <v>0.012055</v>
      </c>
      <c r="Z73" s="648">
        <v>0.34321552519275</v>
      </c>
      <c r="AA73" s="655">
        <v>0.65678447480725</v>
      </c>
      <c r="AB73" s="650">
        <v>0.25</v>
      </c>
      <c r="AC73" s="662">
        <v>0.579407306</v>
      </c>
      <c r="AD73" s="655">
        <v>0.271282461</v>
      </c>
      <c r="AE73" s="650">
        <v>0.005</v>
      </c>
    </row>
    <row r="74" spans="1:32">
      <c r="A74" s="89" t="s">
        <v>406</v>
      </c>
      <c r="B74" s="88">
        <v>0.075434217844956</v>
      </c>
      <c r="C74" s="88">
        <v>0.92456578215504</v>
      </c>
      <c r="D74" s="88">
        <v>0.27</v>
      </c>
      <c r="E74" s="87">
        <v>1.1038085146754</v>
      </c>
      <c r="F74" s="88">
        <v>0.58817664787562</v>
      </c>
      <c r="G74" s="651">
        <v>0.02068</v>
      </c>
      <c r="H74" s="88">
        <v>0.075434217844956</v>
      </c>
      <c r="I74" s="88">
        <v>0.92456578215504</v>
      </c>
      <c r="J74" s="88">
        <v>0.27</v>
      </c>
      <c r="K74" s="87">
        <v>1.1038085146754</v>
      </c>
      <c r="L74" s="88">
        <v>0.58817664787562</v>
      </c>
      <c r="M74" s="651">
        <v>0.02068</v>
      </c>
      <c r="N74" s="88">
        <v>0.16089394698681</v>
      </c>
      <c r="O74" s="88">
        <v>0.83910605301319</v>
      </c>
      <c r="P74" s="88">
        <v>0.25</v>
      </c>
      <c r="Q74" s="87">
        <v>1.4871300694613</v>
      </c>
      <c r="R74" s="88">
        <v>0.59410388760759</v>
      </c>
      <c r="S74" s="651">
        <v>0.02</v>
      </c>
      <c r="T74" s="87">
        <v>0.37042376508861</v>
      </c>
      <c r="U74" s="87">
        <v>0.62957623491139</v>
      </c>
      <c r="V74" s="87">
        <v>0.25</v>
      </c>
      <c r="W74" s="87">
        <v>1.1208677660314</v>
      </c>
      <c r="X74" s="87">
        <v>0.20718002005434</v>
      </c>
      <c r="Y74" s="651">
        <v>0.006243</v>
      </c>
      <c r="Z74" s="659">
        <v>0.35390072696862</v>
      </c>
      <c r="AA74" s="656">
        <v>0.64609927303138</v>
      </c>
      <c r="AB74" s="651">
        <v>0.25</v>
      </c>
      <c r="AC74" s="663">
        <v>0.94758859</v>
      </c>
      <c r="AD74" s="656">
        <v>0.235572061</v>
      </c>
      <c r="AE74" s="651">
        <v>0.005</v>
      </c>
    </row>
    <row r="75" spans="1:32">
      <c r="A75" s="86" t="s">
        <v>407</v>
      </c>
      <c r="B75" s="88">
        <v>0.25791058811371</v>
      </c>
      <c r="C75" s="88">
        <v>0.74208941188629</v>
      </c>
      <c r="D75" s="88">
        <v>0.27</v>
      </c>
      <c r="E75" s="87">
        <v>1.4433927807361</v>
      </c>
      <c r="F75" s="88">
        <v>0.4557234610639</v>
      </c>
      <c r="G75" s="650">
        <v>0.02068</v>
      </c>
      <c r="H75" s="88">
        <v>0.25791058811371</v>
      </c>
      <c r="I75" s="88">
        <v>0.74208941188629</v>
      </c>
      <c r="J75" s="88">
        <v>0.27</v>
      </c>
      <c r="K75" s="87">
        <v>1.4433927807361</v>
      </c>
      <c r="L75" s="88">
        <v>0.4557234610639</v>
      </c>
      <c r="M75" s="650">
        <v>0.02068</v>
      </c>
      <c r="N75" s="88">
        <v>0.28139429989154</v>
      </c>
      <c r="O75" s="88">
        <v>0.71860570010846</v>
      </c>
      <c r="P75" s="88">
        <v>0.25</v>
      </c>
      <c r="Q75" s="87">
        <v>1.475207382545</v>
      </c>
      <c r="R75" s="88">
        <v>0.3858590522579</v>
      </c>
      <c r="S75" s="650">
        <v>0.0162</v>
      </c>
      <c r="T75" s="87">
        <v>0.26552004840017</v>
      </c>
      <c r="U75" s="87">
        <v>0.73447995159983</v>
      </c>
      <c r="V75" s="87">
        <v>0.25</v>
      </c>
      <c r="W75" s="87">
        <v>1.1814057462279</v>
      </c>
      <c r="X75" s="87">
        <v>0.44007853687551</v>
      </c>
      <c r="Y75" s="650">
        <v>0.012055</v>
      </c>
      <c r="Z75" s="648">
        <v>0.22440271815045</v>
      </c>
      <c r="AA75" s="655">
        <v>0.77559728184955</v>
      </c>
      <c r="AB75" s="650">
        <v>0.25</v>
      </c>
      <c r="AC75" s="662">
        <v>1.223962594</v>
      </c>
      <c r="AD75" s="655">
        <v>0.569960812</v>
      </c>
      <c r="AE75" s="650">
        <v>0.012</v>
      </c>
    </row>
    <row r="76" spans="1:32">
      <c r="A76" s="89" t="s">
        <v>408</v>
      </c>
      <c r="B76" s="88">
        <v>0.60715603353142</v>
      </c>
      <c r="C76" s="88">
        <v>0.39284396646858</v>
      </c>
      <c r="D76" s="88">
        <v>0.27</v>
      </c>
      <c r="E76" s="87">
        <v>1.1565055181846</v>
      </c>
      <c r="F76" s="88">
        <v>0.47055042286878</v>
      </c>
      <c r="G76" s="651">
        <v>0.02068</v>
      </c>
      <c r="H76" s="88">
        <v>0.60715603353142</v>
      </c>
      <c r="I76" s="88">
        <v>0.39284396646858</v>
      </c>
      <c r="J76" s="88">
        <v>0.27</v>
      </c>
      <c r="K76" s="87">
        <v>1.1565055181846</v>
      </c>
      <c r="L76" s="88">
        <v>0.47055042286878</v>
      </c>
      <c r="M76" s="651">
        <v>0.02068</v>
      </c>
      <c r="N76" s="88">
        <v>0.76762233709685</v>
      </c>
      <c r="O76" s="88">
        <v>0.23237766290315</v>
      </c>
      <c r="P76" s="88">
        <v>0.25</v>
      </c>
      <c r="Q76" s="87">
        <v>0.83801497962971</v>
      </c>
      <c r="R76" s="88">
        <v>0.39785998397496</v>
      </c>
      <c r="S76" s="651">
        <v>0.0162</v>
      </c>
      <c r="T76" s="87">
        <v>0.70174055335879</v>
      </c>
      <c r="U76" s="87">
        <v>0.29825944664121</v>
      </c>
      <c r="V76" s="87">
        <v>0.25</v>
      </c>
      <c r="W76" s="87">
        <v>0.67451976956751</v>
      </c>
      <c r="X76" s="87">
        <v>0.4077252655256</v>
      </c>
      <c r="Y76" s="651">
        <v>0.012055</v>
      </c>
      <c r="Z76" s="659">
        <v>0.79471602338817</v>
      </c>
      <c r="AA76" s="656">
        <v>0.20528397661183</v>
      </c>
      <c r="AB76" s="651">
        <v>0.25</v>
      </c>
      <c r="AC76" s="663">
        <v>0.645345391</v>
      </c>
      <c r="AD76" s="656">
        <v>0.720368676</v>
      </c>
      <c r="AE76" s="651">
        <v>0.0183</v>
      </c>
    </row>
    <row r="77" spans="1:32">
      <c r="A77" s="86" t="s">
        <v>409</v>
      </c>
      <c r="B77" s="88">
        <v>0.063466331073444</v>
      </c>
      <c r="C77" s="88">
        <v>0.93653366892656</v>
      </c>
      <c r="D77" s="88">
        <v>0.27</v>
      </c>
      <c r="E77" s="87">
        <v>1.1624544797887</v>
      </c>
      <c r="F77" s="88">
        <v>0.3745636208982</v>
      </c>
      <c r="G77" s="650">
        <v>0.0165</v>
      </c>
      <c r="H77" s="88">
        <v>0.063466331073444</v>
      </c>
      <c r="I77" s="88">
        <v>0.93653366892656</v>
      </c>
      <c r="J77" s="88">
        <v>0.27</v>
      </c>
      <c r="K77" s="87">
        <v>1.1624544797887</v>
      </c>
      <c r="L77" s="88">
        <v>0.3745636208982</v>
      </c>
      <c r="M77" s="650">
        <v>0.0165</v>
      </c>
      <c r="N77" s="88">
        <v>0.10124985178257</v>
      </c>
      <c r="O77" s="88">
        <v>0.89875014821743</v>
      </c>
      <c r="P77" s="88">
        <v>0.25</v>
      </c>
      <c r="Q77" s="87">
        <v>1.6077462586341</v>
      </c>
      <c r="R77" s="88">
        <v>0.38404265117692</v>
      </c>
      <c r="S77" s="650">
        <v>0.0162</v>
      </c>
      <c r="T77" s="87">
        <v>0.057008102947212</v>
      </c>
      <c r="U77" s="87">
        <v>0.94299189705279</v>
      </c>
      <c r="V77" s="87">
        <v>0.25</v>
      </c>
      <c r="W77" s="87">
        <v>1.4952411850835</v>
      </c>
      <c r="X77" s="87">
        <v>0.41471434457005</v>
      </c>
      <c r="Y77" s="650">
        <v>0.012055</v>
      </c>
      <c r="Z77" s="648">
        <v>0.037478619559048</v>
      </c>
      <c r="AA77" s="655">
        <v>0.96252138044095</v>
      </c>
      <c r="AB77" s="650">
        <v>0.25</v>
      </c>
      <c r="AC77" s="662">
        <v>1.485871504</v>
      </c>
      <c r="AD77" s="655">
        <v>0.560486072</v>
      </c>
      <c r="AE77" s="650">
        <v>0.012</v>
      </c>
    </row>
    <row r="78" spans="1:32">
      <c r="A78" s="89" t="s">
        <v>410</v>
      </c>
      <c r="B78" s="88">
        <v>0.047978220640165</v>
      </c>
      <c r="C78" s="88">
        <v>0.95202177935983</v>
      </c>
      <c r="D78" s="88">
        <v>0.27</v>
      </c>
      <c r="E78" s="87">
        <v>1.3390383903587</v>
      </c>
      <c r="F78" s="88">
        <v>0.33222794123721</v>
      </c>
      <c r="G78" s="651">
        <v>0.0165</v>
      </c>
      <c r="H78" s="88">
        <v>0.047978220640165</v>
      </c>
      <c r="I78" s="88">
        <v>0.95202177935983</v>
      </c>
      <c r="J78" s="88">
        <v>0.27</v>
      </c>
      <c r="K78" s="87">
        <v>1.3390383903587</v>
      </c>
      <c r="L78" s="88">
        <v>0.33222794123721</v>
      </c>
      <c r="M78" s="651">
        <v>0.0165</v>
      </c>
      <c r="N78" s="88">
        <v>0.1054401964019</v>
      </c>
      <c r="O78" s="88">
        <v>0.8945598035981</v>
      </c>
      <c r="P78" s="88">
        <v>0.25</v>
      </c>
      <c r="Q78" s="87">
        <v>1.7571427217159</v>
      </c>
      <c r="R78" s="88">
        <v>0.41568723029677</v>
      </c>
      <c r="S78" s="651">
        <v>0.0162</v>
      </c>
      <c r="T78" s="87">
        <v>0.07216576392544</v>
      </c>
      <c r="U78" s="87">
        <v>0.92783423607456</v>
      </c>
      <c r="V78" s="87">
        <v>0.25</v>
      </c>
      <c r="W78" s="87">
        <v>1.5279822074255</v>
      </c>
      <c r="X78" s="87">
        <v>0.37040142988651</v>
      </c>
      <c r="Y78" s="651">
        <v>0.012055</v>
      </c>
      <c r="Z78" s="659">
        <v>0.075578010914103</v>
      </c>
      <c r="AA78" s="656">
        <v>0.9244219890859</v>
      </c>
      <c r="AB78" s="651">
        <v>0.25</v>
      </c>
      <c r="AC78" s="663">
        <v>1.484975954</v>
      </c>
      <c r="AD78" s="656">
        <v>0.510930714</v>
      </c>
      <c r="AE78" s="651">
        <v>0.012</v>
      </c>
    </row>
    <row r="79" spans="1:32">
      <c r="A79" s="86" t="s">
        <v>411</v>
      </c>
      <c r="B79" s="88">
        <v>0.27517286898884</v>
      </c>
      <c r="C79" s="88">
        <v>0.72482713101116</v>
      </c>
      <c r="D79" s="88">
        <v>0.27</v>
      </c>
      <c r="E79" s="87">
        <v>0.99109853928182</v>
      </c>
      <c r="F79" s="88">
        <v>0.51037332437898</v>
      </c>
      <c r="G79" s="650">
        <v>0.0165</v>
      </c>
      <c r="H79" s="88">
        <v>0.27517286898884</v>
      </c>
      <c r="I79" s="88">
        <v>0.72482713101116</v>
      </c>
      <c r="J79" s="88">
        <v>0.27</v>
      </c>
      <c r="K79" s="87">
        <v>0.99109853928182</v>
      </c>
      <c r="L79" s="88">
        <v>0.51037332437898</v>
      </c>
      <c r="M79" s="650">
        <v>0.02068</v>
      </c>
      <c r="N79" s="88">
        <v>0.28067166925935</v>
      </c>
      <c r="O79" s="88">
        <v>0.71932833074065</v>
      </c>
      <c r="P79" s="88">
        <v>0.25</v>
      </c>
      <c r="Q79" s="87">
        <v>0.9437386318476</v>
      </c>
      <c r="R79" s="88">
        <v>0.41160878613229</v>
      </c>
      <c r="S79" s="650">
        <v>0.0162</v>
      </c>
      <c r="T79" s="87">
        <v>0.22942151889414</v>
      </c>
      <c r="U79" s="87">
        <v>0.77057848110586</v>
      </c>
      <c r="V79" s="87">
        <v>0.25</v>
      </c>
      <c r="W79" s="87">
        <v>0.81083614181091</v>
      </c>
      <c r="X79" s="87">
        <v>0.4507472470693</v>
      </c>
      <c r="Y79" s="650">
        <v>0.012055</v>
      </c>
      <c r="Z79" s="648">
        <v>0.16046357987862</v>
      </c>
      <c r="AA79" s="655">
        <v>0.83953642012138</v>
      </c>
      <c r="AB79" s="650">
        <v>0.25</v>
      </c>
      <c r="AC79" s="662">
        <v>0.57844977</v>
      </c>
      <c r="AD79" s="655">
        <v>0.451893002</v>
      </c>
      <c r="AE79" s="650">
        <v>0.012</v>
      </c>
    </row>
    <row r="80" spans="1:32">
      <c r="A80" s="89" t="s">
        <v>412</v>
      </c>
      <c r="B80" s="88">
        <v>0.054612912812059</v>
      </c>
      <c r="C80" s="88">
        <v>0.94538708718794</v>
      </c>
      <c r="D80" s="88">
        <v>0.27</v>
      </c>
      <c r="E80" s="87">
        <v>1.1858211455149</v>
      </c>
      <c r="F80" s="88">
        <v>0.34714879795281</v>
      </c>
      <c r="G80" s="651">
        <v>0.0165</v>
      </c>
      <c r="H80" s="88">
        <v>0.054612912812059</v>
      </c>
      <c r="I80" s="88">
        <v>0.94538708718794</v>
      </c>
      <c r="J80" s="88">
        <v>0.27</v>
      </c>
      <c r="K80" s="87">
        <v>1.1858211455149</v>
      </c>
      <c r="L80" s="88">
        <v>0.34714879795281</v>
      </c>
      <c r="M80" s="651">
        <v>0.0165</v>
      </c>
      <c r="N80" s="88">
        <v>0.082687179007954</v>
      </c>
      <c r="O80" s="88">
        <v>0.91731282099205</v>
      </c>
      <c r="P80" s="88">
        <v>0.25</v>
      </c>
      <c r="Q80" s="87">
        <v>1.3276925338649</v>
      </c>
      <c r="R80" s="88">
        <v>0.3937418591898</v>
      </c>
      <c r="S80" s="651">
        <v>0.0162</v>
      </c>
      <c r="T80" s="87">
        <v>0.080114408003916</v>
      </c>
      <c r="U80" s="87">
        <v>0.91988559199608</v>
      </c>
      <c r="V80" s="87">
        <v>0.25</v>
      </c>
      <c r="W80" s="87">
        <v>1.2915789442241</v>
      </c>
      <c r="X80" s="87">
        <v>0.36279908890119</v>
      </c>
      <c r="Y80" s="651">
        <v>0.012055</v>
      </c>
      <c r="Z80" s="659">
        <v>0.092941879874355</v>
      </c>
      <c r="AA80" s="656">
        <v>0.90705812012564</v>
      </c>
      <c r="AB80" s="651">
        <v>0.25</v>
      </c>
      <c r="AC80" s="663">
        <v>1.424207891</v>
      </c>
      <c r="AD80" s="656">
        <v>0.517524117</v>
      </c>
      <c r="AE80" s="651">
        <v>0.012</v>
      </c>
    </row>
    <row r="81" spans="1:32">
      <c r="A81" s="86" t="s">
        <v>413</v>
      </c>
      <c r="B81" s="88">
        <v>0.019979459110468</v>
      </c>
      <c r="C81" s="88">
        <v>0.98002054088953</v>
      </c>
      <c r="D81" s="88">
        <v>0.27</v>
      </c>
      <c r="E81" s="87">
        <v>1.20401790866</v>
      </c>
      <c r="F81" s="88">
        <v>0.54605972958611</v>
      </c>
      <c r="G81" s="650">
        <v>0.02068</v>
      </c>
      <c r="H81" s="88">
        <v>0.019979459110468</v>
      </c>
      <c r="I81" s="88">
        <v>0.98002054088953</v>
      </c>
      <c r="J81" s="88">
        <v>0.27</v>
      </c>
      <c r="K81" s="87">
        <v>1.20401790866</v>
      </c>
      <c r="L81" s="88">
        <v>0.54605972958611</v>
      </c>
      <c r="M81" s="650">
        <v>0.02068</v>
      </c>
      <c r="N81" s="88">
        <v>0.045824628286419</v>
      </c>
      <c r="O81" s="88">
        <v>0.95417537171358</v>
      </c>
      <c r="P81" s="88">
        <v>0.25</v>
      </c>
      <c r="Q81" s="87">
        <v>1.3635757309644</v>
      </c>
      <c r="R81" s="88">
        <v>0.58709543871584</v>
      </c>
      <c r="S81" s="650">
        <v>0.02</v>
      </c>
      <c r="T81" s="87">
        <v>0.030561494934368</v>
      </c>
      <c r="U81" s="87">
        <v>0.96943850506563</v>
      </c>
      <c r="V81" s="87">
        <v>0.25</v>
      </c>
      <c r="W81" s="87">
        <v>1.1083305740238</v>
      </c>
      <c r="X81" s="87">
        <v>0.52789322078229</v>
      </c>
      <c r="Y81" s="650">
        <v>0.014724</v>
      </c>
      <c r="Z81" s="648">
        <v>0.024296047356735</v>
      </c>
      <c r="AA81" s="655">
        <v>0.97570395264326</v>
      </c>
      <c r="AB81" s="650">
        <v>0.25</v>
      </c>
      <c r="AC81" s="662">
        <v>1.182782103</v>
      </c>
      <c r="AD81" s="655">
        <v>0.66628958</v>
      </c>
      <c r="AE81" s="650">
        <v>0.0183</v>
      </c>
    </row>
    <row r="82" spans="1:32">
      <c r="A82" s="89" t="s">
        <v>414</v>
      </c>
      <c r="B82" s="88">
        <v>0.071276986280219</v>
      </c>
      <c r="C82" s="88">
        <v>0.92872301371978</v>
      </c>
      <c r="D82" s="88">
        <v>0.27</v>
      </c>
      <c r="E82" s="87">
        <v>1.0043796741355</v>
      </c>
      <c r="F82" s="88">
        <v>0.38093997694501</v>
      </c>
      <c r="G82" s="651">
        <v>0.0165</v>
      </c>
      <c r="H82" s="88">
        <v>0.071276986280219</v>
      </c>
      <c r="I82" s="88">
        <v>0.92872301371978</v>
      </c>
      <c r="J82" s="88">
        <v>0.27</v>
      </c>
      <c r="K82" s="87">
        <v>1.0043796741355</v>
      </c>
      <c r="L82" s="88">
        <v>0.38093997694501</v>
      </c>
      <c r="M82" s="651">
        <v>0.0165</v>
      </c>
      <c r="N82" s="88">
        <v>0.15006072569661</v>
      </c>
      <c r="O82" s="88">
        <v>0.84993927430339</v>
      </c>
      <c r="P82" s="88">
        <v>0.25</v>
      </c>
      <c r="Q82" s="87">
        <v>1.5513058877107</v>
      </c>
      <c r="R82" s="88">
        <v>0.55243837546789</v>
      </c>
      <c r="S82" s="651">
        <v>0.02</v>
      </c>
      <c r="T82" s="87">
        <v>0.10698653549796</v>
      </c>
      <c r="U82" s="87">
        <v>0.89301346450204</v>
      </c>
      <c r="V82" s="87">
        <v>0.25</v>
      </c>
      <c r="W82" s="87">
        <v>1.6160843271746</v>
      </c>
      <c r="X82" s="87">
        <v>0.65221602599035</v>
      </c>
      <c r="Y82" s="651">
        <v>0.022079</v>
      </c>
      <c r="Z82" s="659">
        <v>0.1034821722403</v>
      </c>
      <c r="AA82" s="656">
        <v>0.8965178277597</v>
      </c>
      <c r="AB82" s="651">
        <v>0.25</v>
      </c>
      <c r="AC82" s="663">
        <v>1.687026441</v>
      </c>
      <c r="AD82" s="656">
        <v>0.556166978</v>
      </c>
      <c r="AE82" s="651">
        <v>0.012</v>
      </c>
    </row>
    <row r="83" spans="1:32">
      <c r="A83" s="86" t="s">
        <v>415</v>
      </c>
      <c r="B83" s="88">
        <v>0.053731482889603</v>
      </c>
      <c r="C83" s="88">
        <v>0.9462685171104</v>
      </c>
      <c r="D83" s="88">
        <v>0.27</v>
      </c>
      <c r="E83" s="87">
        <v>1.1414617043013</v>
      </c>
      <c r="F83" s="88">
        <v>0.45739896259793</v>
      </c>
      <c r="G83" s="650">
        <v>0.02068</v>
      </c>
      <c r="H83" s="88">
        <v>0.053731482889603</v>
      </c>
      <c r="I83" s="88">
        <v>0.9462685171104</v>
      </c>
      <c r="J83" s="88">
        <v>0.27</v>
      </c>
      <c r="K83" s="87">
        <v>1.1414617043013</v>
      </c>
      <c r="L83" s="88">
        <v>0.45739896259793</v>
      </c>
      <c r="M83" s="650">
        <v>0.02068</v>
      </c>
      <c r="N83" s="88">
        <v>0.085629614328853</v>
      </c>
      <c r="O83" s="88">
        <v>0.91437038567115</v>
      </c>
      <c r="P83" s="88">
        <v>0.25</v>
      </c>
      <c r="Q83" s="87">
        <v>1.4697712402478</v>
      </c>
      <c r="R83" s="88">
        <v>0.52111210183577</v>
      </c>
      <c r="S83" s="650">
        <v>0.02</v>
      </c>
      <c r="T83" s="87">
        <v>0.058413380196434</v>
      </c>
      <c r="U83" s="87">
        <v>0.94158661980357</v>
      </c>
      <c r="V83" s="87">
        <v>0.25</v>
      </c>
      <c r="W83" s="87">
        <v>1.2939647291543</v>
      </c>
      <c r="X83" s="87">
        <v>0.52086489824807</v>
      </c>
      <c r="Y83" s="650">
        <v>0.014724</v>
      </c>
      <c r="Z83" s="648">
        <v>0.04667109757936</v>
      </c>
      <c r="AA83" s="655">
        <v>0.95332890242064</v>
      </c>
      <c r="AB83" s="650">
        <v>0.25</v>
      </c>
      <c r="AC83" s="662">
        <v>1.241760834</v>
      </c>
      <c r="AD83" s="655">
        <v>0.636284864</v>
      </c>
      <c r="AE83" s="650">
        <v>0.012</v>
      </c>
    </row>
    <row r="84" spans="1:32">
      <c r="A84" s="89" t="s">
        <v>416</v>
      </c>
      <c r="B84" s="88">
        <v>0.24738970410466</v>
      </c>
      <c r="C84" s="88">
        <v>0.75261029589534</v>
      </c>
      <c r="D84" s="88">
        <v>0.27</v>
      </c>
      <c r="E84" s="87">
        <v>1.1331694544359</v>
      </c>
      <c r="F84" s="88">
        <v>0.33128196982891</v>
      </c>
      <c r="G84" s="651">
        <v>0.0165</v>
      </c>
      <c r="H84" s="88">
        <v>0.24738970410466</v>
      </c>
      <c r="I84" s="88">
        <v>0.75261029589534</v>
      </c>
      <c r="J84" s="88">
        <v>0.27</v>
      </c>
      <c r="K84" s="87">
        <v>1.1331694544359</v>
      </c>
      <c r="L84" s="88">
        <v>0.33128196982891</v>
      </c>
      <c r="M84" s="651">
        <v>0.0165</v>
      </c>
      <c r="N84" s="88">
        <v>0.22236540864885</v>
      </c>
      <c r="O84" s="88">
        <v>0.77763459135115</v>
      </c>
      <c r="P84" s="88">
        <v>0.25</v>
      </c>
      <c r="Q84" s="87">
        <v>1.3424843767996</v>
      </c>
      <c r="R84" s="88">
        <v>0.38298957011173</v>
      </c>
      <c r="S84" s="651">
        <v>0.0162</v>
      </c>
      <c r="T84" s="87">
        <v>0.1679434941874</v>
      </c>
      <c r="U84" s="87">
        <v>0.8320565058126</v>
      </c>
      <c r="V84" s="87">
        <v>0.25</v>
      </c>
      <c r="W84" s="87">
        <v>1.1263717252635</v>
      </c>
      <c r="X84" s="87">
        <v>0.38102205031992</v>
      </c>
      <c r="Y84" s="651">
        <v>0.012055</v>
      </c>
      <c r="Z84" s="659">
        <v>0.20569820385899</v>
      </c>
      <c r="AA84" s="656">
        <v>0.79430179614101</v>
      </c>
      <c r="AB84" s="651">
        <v>0.25</v>
      </c>
      <c r="AC84" s="663">
        <v>1.05977921</v>
      </c>
      <c r="AD84" s="656">
        <v>0.467902736</v>
      </c>
      <c r="AE84" s="651">
        <v>0.012</v>
      </c>
    </row>
    <row r="85" spans="1:32">
      <c r="A85" s="86" t="s">
        <v>417</v>
      </c>
      <c r="B85" s="88">
        <v>0.43917141176791</v>
      </c>
      <c r="C85" s="88">
        <v>0.56082858823209</v>
      </c>
      <c r="D85" s="88">
        <v>0.27</v>
      </c>
      <c r="E85" s="87">
        <v>0.96476122265455</v>
      </c>
      <c r="F85" s="88">
        <v>0.48157678673096</v>
      </c>
      <c r="G85" s="650">
        <v>0.0165</v>
      </c>
      <c r="H85" s="88">
        <v>0.43917141176791</v>
      </c>
      <c r="I85" s="88">
        <v>0.56082858823209</v>
      </c>
      <c r="J85" s="88">
        <v>0.27</v>
      </c>
      <c r="K85" s="87">
        <v>0.96476122265455</v>
      </c>
      <c r="L85" s="88">
        <v>0.48157678673096</v>
      </c>
      <c r="M85" s="650">
        <v>0.02068</v>
      </c>
      <c r="N85" s="88">
        <v>0.39450630773069</v>
      </c>
      <c r="O85" s="88">
        <v>0.60549369226931</v>
      </c>
      <c r="P85" s="88">
        <v>0.25</v>
      </c>
      <c r="Q85" s="87">
        <v>1.0309737102653</v>
      </c>
      <c r="R85" s="88">
        <v>0.51921047689</v>
      </c>
      <c r="S85" s="650">
        <v>0.02</v>
      </c>
      <c r="T85" s="87">
        <v>0.39084318118199</v>
      </c>
      <c r="U85" s="87">
        <v>0.60915681881801</v>
      </c>
      <c r="V85" s="87">
        <v>0.25</v>
      </c>
      <c r="W85" s="87">
        <v>1.0873613590352</v>
      </c>
      <c r="X85" s="87">
        <v>0.60305869412684</v>
      </c>
      <c r="Y85" s="650">
        <v>0.014724</v>
      </c>
      <c r="Z85" s="648">
        <v>0.32254087570055</v>
      </c>
      <c r="AA85" s="655">
        <v>0.67745912429945</v>
      </c>
      <c r="AB85" s="650">
        <v>0.25</v>
      </c>
      <c r="AC85" s="662">
        <v>0.772539146</v>
      </c>
      <c r="AD85" s="655">
        <v>0.667326915</v>
      </c>
      <c r="AE85" s="650">
        <v>0.0183</v>
      </c>
    </row>
    <row r="86" spans="1:32">
      <c r="A86" s="89" t="s">
        <v>418</v>
      </c>
      <c r="B86" s="88">
        <v>0.080308145729124</v>
      </c>
      <c r="C86" s="88">
        <v>0.91969185427088</v>
      </c>
      <c r="D86" s="88">
        <v>0.27</v>
      </c>
      <c r="E86" s="87">
        <v>1.0831449818023</v>
      </c>
      <c r="F86" s="88">
        <v>0.40529263124805</v>
      </c>
      <c r="G86" s="651">
        <v>0.02068</v>
      </c>
      <c r="H86" s="88">
        <v>0.080308145729124</v>
      </c>
      <c r="I86" s="88">
        <v>0.91969185427088</v>
      </c>
      <c r="J86" s="88">
        <v>0.27</v>
      </c>
      <c r="K86" s="87">
        <v>1.0831449818023</v>
      </c>
      <c r="L86" s="88">
        <v>0.40529263124805</v>
      </c>
      <c r="M86" s="651">
        <v>0.02068</v>
      </c>
      <c r="N86" s="88">
        <v>0.1045710734856</v>
      </c>
      <c r="O86" s="88">
        <v>0.8954289265144</v>
      </c>
      <c r="P86" s="88">
        <v>0.25</v>
      </c>
      <c r="Q86" s="87">
        <v>1.2331194872073</v>
      </c>
      <c r="R86" s="88">
        <v>0.41348753948301</v>
      </c>
      <c r="S86" s="651">
        <v>0.0162</v>
      </c>
      <c r="T86" s="87">
        <v>0.10245104955941</v>
      </c>
      <c r="U86" s="87">
        <v>0.89754895044059</v>
      </c>
      <c r="V86" s="87">
        <v>0.25</v>
      </c>
      <c r="W86" s="87">
        <v>1.0805072059156</v>
      </c>
      <c r="X86" s="87">
        <v>0.46622145090065</v>
      </c>
      <c r="Y86" s="651">
        <v>0.012055</v>
      </c>
      <c r="Z86" s="659">
        <v>0.11350800707772</v>
      </c>
      <c r="AA86" s="656">
        <v>0.88649199292228</v>
      </c>
      <c r="AB86" s="651">
        <v>0.25</v>
      </c>
      <c r="AC86" s="663">
        <v>0.999614648</v>
      </c>
      <c r="AD86" s="656">
        <v>0.560934426</v>
      </c>
      <c r="AE86" s="651">
        <v>0.012</v>
      </c>
    </row>
    <row r="87" spans="1:32">
      <c r="A87" s="86" t="s">
        <v>419</v>
      </c>
      <c r="B87" s="88">
        <v>0.50120497711288</v>
      </c>
      <c r="C87" s="88">
        <v>0.49879502288712</v>
      </c>
      <c r="D87" s="88">
        <v>0.27</v>
      </c>
      <c r="E87" s="87">
        <v>0.84601845269967</v>
      </c>
      <c r="F87" s="88">
        <v>0.386723242433</v>
      </c>
      <c r="G87" s="650">
        <v>0.02068</v>
      </c>
      <c r="H87" s="88">
        <v>0.50120497711288</v>
      </c>
      <c r="I87" s="88">
        <v>0.49879502288712</v>
      </c>
      <c r="J87" s="88">
        <v>0.27</v>
      </c>
      <c r="K87" s="87">
        <v>0.84601845269967</v>
      </c>
      <c r="L87" s="88">
        <v>0.386723242433</v>
      </c>
      <c r="M87" s="650">
        <v>0.0165</v>
      </c>
      <c r="N87" s="88">
        <v>0.54068940512511</v>
      </c>
      <c r="O87" s="88">
        <v>0.45931059487489</v>
      </c>
      <c r="P87" s="88">
        <v>0.25</v>
      </c>
      <c r="Q87" s="87">
        <v>0.88226816528566</v>
      </c>
      <c r="R87" s="88">
        <v>0.55371695621592</v>
      </c>
      <c r="S87" s="650">
        <v>0.02</v>
      </c>
      <c r="T87" s="87">
        <v>0.55538379015989</v>
      </c>
      <c r="U87" s="87">
        <v>0.44461620984011</v>
      </c>
      <c r="V87" s="87">
        <v>0.25</v>
      </c>
      <c r="W87" s="87">
        <v>0.78450471128722</v>
      </c>
      <c r="X87" s="87">
        <v>0.50416714350221</v>
      </c>
      <c r="Y87" s="650">
        <v>0.014724</v>
      </c>
      <c r="Z87" s="648">
        <v>0.50041697696437</v>
      </c>
      <c r="AA87" s="655">
        <v>0.49958302303563</v>
      </c>
      <c r="AB87" s="650">
        <v>0.25</v>
      </c>
      <c r="AC87" s="662">
        <v>0.886038614</v>
      </c>
      <c r="AD87" s="655">
        <v>0.637091179</v>
      </c>
      <c r="AE87" s="650">
        <v>0.012</v>
      </c>
    </row>
    <row r="88" spans="1:32">
      <c r="A88" s="89" t="s">
        <v>420</v>
      </c>
      <c r="B88" s="88">
        <v>0.2062317331476</v>
      </c>
      <c r="C88" s="88">
        <v>0.7937682668524</v>
      </c>
      <c r="D88" s="88">
        <v>0.27</v>
      </c>
      <c r="E88" s="87">
        <v>0.99735259995367</v>
      </c>
      <c r="F88" s="88">
        <v>0.24882834398025</v>
      </c>
      <c r="G88" s="651">
        <v>0.0099</v>
      </c>
      <c r="H88" s="88">
        <v>0.2062317331476</v>
      </c>
      <c r="I88" s="88">
        <v>0.7937682668524</v>
      </c>
      <c r="J88" s="88">
        <v>0.27</v>
      </c>
      <c r="K88" s="87">
        <v>0.99735259995367</v>
      </c>
      <c r="L88" s="88">
        <v>0.24882834398025</v>
      </c>
      <c r="M88" s="651">
        <v>0.0099</v>
      </c>
      <c r="N88" s="88">
        <v>0.19390853485149</v>
      </c>
      <c r="O88" s="88">
        <v>0.80609146514851</v>
      </c>
      <c r="P88" s="88">
        <v>0.25</v>
      </c>
      <c r="Q88" s="87">
        <v>2.0004565028386</v>
      </c>
      <c r="R88" s="88">
        <v>0.4405923565826</v>
      </c>
      <c r="S88" s="651">
        <v>0.0162</v>
      </c>
      <c r="T88" s="87">
        <v>0.25873063108248</v>
      </c>
      <c r="U88" s="87">
        <v>0.74126936891752</v>
      </c>
      <c r="V88" s="87">
        <v>0.25</v>
      </c>
      <c r="W88" s="87">
        <v>1.2232908278447</v>
      </c>
      <c r="X88" s="87">
        <v>0.48000267803893</v>
      </c>
      <c r="Y88" s="651">
        <v>0.012055</v>
      </c>
      <c r="Z88" s="659">
        <v>0.21850684001661</v>
      </c>
      <c r="AA88" s="656">
        <v>0.78149315998339</v>
      </c>
      <c r="AB88" s="651">
        <v>0.25</v>
      </c>
      <c r="AC88" s="663">
        <v>0.979968253</v>
      </c>
      <c r="AD88" s="656">
        <v>0.683432507</v>
      </c>
      <c r="AE88" s="651">
        <v>0.0183</v>
      </c>
    </row>
    <row r="89" spans="1:32">
      <c r="A89" s="86" t="s">
        <v>421</v>
      </c>
      <c r="B89" s="88">
        <v>0.18631435914692</v>
      </c>
      <c r="C89" s="88">
        <v>0.81368564085308</v>
      </c>
      <c r="D89" s="88">
        <v>0.27</v>
      </c>
      <c r="E89" s="87">
        <v>0.79107781492951</v>
      </c>
      <c r="F89" s="88">
        <v>0.28335325438194</v>
      </c>
      <c r="G89" s="650">
        <v>0.0165</v>
      </c>
      <c r="H89" s="88">
        <v>0.18631435914692</v>
      </c>
      <c r="I89" s="88">
        <v>0.81368564085308</v>
      </c>
      <c r="J89" s="88">
        <v>0.27</v>
      </c>
      <c r="K89" s="87">
        <v>0.79107781492951</v>
      </c>
      <c r="L89" s="88">
        <v>0.28335325438194</v>
      </c>
      <c r="M89" s="650">
        <v>0.0165</v>
      </c>
      <c r="N89" s="88">
        <v>0.22785975576836</v>
      </c>
      <c r="O89" s="88">
        <v>0.77214024423164</v>
      </c>
      <c r="P89" s="88">
        <v>0.25</v>
      </c>
      <c r="Q89" s="87">
        <v>1.0582657494304</v>
      </c>
      <c r="R89" s="88">
        <v>0.28046286808958</v>
      </c>
      <c r="S89" s="650">
        <v>0.0162</v>
      </c>
      <c r="T89" s="87">
        <v>0.2513952299191</v>
      </c>
      <c r="U89" s="87">
        <v>0.7486047700809</v>
      </c>
      <c r="V89" s="87">
        <v>0.25</v>
      </c>
      <c r="W89" s="87">
        <v>1.258531450452</v>
      </c>
      <c r="X89" s="87">
        <v>0.53119137456433</v>
      </c>
      <c r="Y89" s="650">
        <v>0.014724</v>
      </c>
      <c r="Z89" s="648">
        <v>0.27905061935741</v>
      </c>
      <c r="AA89" s="655">
        <v>0.72094938064259</v>
      </c>
      <c r="AB89" s="650">
        <v>0.25</v>
      </c>
      <c r="AC89" s="662">
        <v>1.026899078</v>
      </c>
      <c r="AD89" s="655">
        <v>0.516753402</v>
      </c>
      <c r="AE89" s="650">
        <v>0.012</v>
      </c>
    </row>
    <row r="90" spans="1:32">
      <c r="A90" s="89" t="s">
        <v>422</v>
      </c>
      <c r="B90" s="88">
        <v>0.16623185079376</v>
      </c>
      <c r="C90" s="88">
        <v>0.83376814920624</v>
      </c>
      <c r="D90" s="88">
        <v>0.27</v>
      </c>
      <c r="E90" s="87">
        <v>0.73244696143395</v>
      </c>
      <c r="F90" s="88">
        <v>0.16394179419083</v>
      </c>
      <c r="G90" s="651">
        <v>0.0099</v>
      </c>
      <c r="H90" s="88">
        <v>0.16623185079376</v>
      </c>
      <c r="I90" s="88">
        <v>0.83376814920624</v>
      </c>
      <c r="J90" s="88">
        <v>0.27</v>
      </c>
      <c r="K90" s="87">
        <v>0.73244696143395</v>
      </c>
      <c r="L90" s="88">
        <v>0.16394179419083</v>
      </c>
      <c r="M90" s="651">
        <v>0.0099</v>
      </c>
      <c r="N90" s="88">
        <v>0.21538599902573</v>
      </c>
      <c r="O90" s="88">
        <v>0.78461400097427</v>
      </c>
      <c r="P90" s="88">
        <v>0.25</v>
      </c>
      <c r="Q90" s="87">
        <v>1.1078308621714</v>
      </c>
      <c r="R90" s="88">
        <v>0.16341269092106</v>
      </c>
      <c r="S90" s="651">
        <v>0.0085</v>
      </c>
      <c r="T90" s="87">
        <v>0.2114246731004</v>
      </c>
      <c r="U90" s="87">
        <v>0.7885753268996</v>
      </c>
      <c r="V90" s="87">
        <v>0.25</v>
      </c>
      <c r="W90" s="87">
        <v>1.0172723923009</v>
      </c>
      <c r="X90" s="87">
        <v>0.22277358204162</v>
      </c>
      <c r="Y90" s="651">
        <v>0.006243</v>
      </c>
      <c r="Z90" s="659">
        <v>0.22113827756661</v>
      </c>
      <c r="AA90" s="656">
        <v>0.77886172243339</v>
      </c>
      <c r="AB90" s="651">
        <v>0.25</v>
      </c>
      <c r="AC90" s="663">
        <v>0.991856107</v>
      </c>
      <c r="AD90" s="656">
        <v>0.265599529</v>
      </c>
      <c r="AE90" s="651">
        <v>0.005</v>
      </c>
    </row>
    <row r="91" spans="1:32">
      <c r="A91" s="86" t="s">
        <v>423</v>
      </c>
      <c r="B91" s="88">
        <v>0.20796912367853</v>
      </c>
      <c r="C91" s="88">
        <v>0.79203087632147</v>
      </c>
      <c r="D91" s="88">
        <v>0.27</v>
      </c>
      <c r="E91" s="87">
        <v>1.4387162765613</v>
      </c>
      <c r="F91" s="88">
        <v>0.32991773770474</v>
      </c>
      <c r="G91" s="650">
        <v>0.0165</v>
      </c>
      <c r="H91" s="88">
        <v>0.20796912367853</v>
      </c>
      <c r="I91" s="88">
        <v>0.79203087632147</v>
      </c>
      <c r="J91" s="88">
        <v>0.27</v>
      </c>
      <c r="K91" s="87">
        <v>1.4387162765613</v>
      </c>
      <c r="L91" s="88">
        <v>0.32991773770474</v>
      </c>
      <c r="M91" s="650">
        <v>0.0165</v>
      </c>
      <c r="N91" s="88">
        <v>0.30513857374629</v>
      </c>
      <c r="O91" s="88">
        <v>0.69486142625371</v>
      </c>
      <c r="P91" s="88">
        <v>0.25</v>
      </c>
      <c r="Q91" s="87">
        <v>1.5451244708853</v>
      </c>
      <c r="R91" s="88">
        <v>0.41171324567019</v>
      </c>
      <c r="S91" s="650">
        <v>0.0162</v>
      </c>
      <c r="T91" s="87">
        <v>0.16632304812804</v>
      </c>
      <c r="U91" s="87">
        <v>0.83367695187196</v>
      </c>
      <c r="V91" s="87">
        <v>0.25</v>
      </c>
      <c r="W91" s="87">
        <v>1.1484074577647</v>
      </c>
      <c r="X91" s="87">
        <v>0.28328548955432</v>
      </c>
      <c r="Y91" s="650">
        <v>0.012055</v>
      </c>
      <c r="Z91" s="648">
        <v>0.18643277958512</v>
      </c>
      <c r="AA91" s="655">
        <v>0.81356722041488</v>
      </c>
      <c r="AB91" s="650">
        <v>0.25</v>
      </c>
      <c r="AC91" s="662">
        <v>1.104813204</v>
      </c>
      <c r="AD91" s="655">
        <v>0.321800942</v>
      </c>
      <c r="AE91" s="650">
        <v>0.0095</v>
      </c>
    </row>
    <row r="92" spans="1:32" customHeight="1" ht="15.6">
      <c r="A92" s="89" t="s">
        <v>424</v>
      </c>
      <c r="B92" s="88">
        <v>0.40904182570174</v>
      </c>
      <c r="C92" s="88">
        <v>0.59095817429826</v>
      </c>
      <c r="D92" s="88">
        <v>0.27</v>
      </c>
      <c r="E92" s="87">
        <v>0.89179459508359</v>
      </c>
      <c r="F92" s="88">
        <v>0.18828200758701</v>
      </c>
      <c r="G92" s="651">
        <v>0.0099</v>
      </c>
      <c r="H92" s="88">
        <v>0.40904182570174</v>
      </c>
      <c r="I92" s="88">
        <v>0.59095817429826</v>
      </c>
      <c r="J92" s="88">
        <v>0.27</v>
      </c>
      <c r="K92" s="87">
        <v>0.89179459508359</v>
      </c>
      <c r="L92" s="88">
        <v>0.18828200758701</v>
      </c>
      <c r="M92" s="651">
        <v>0.0099</v>
      </c>
      <c r="N92" s="88">
        <v>0.42586480270209</v>
      </c>
      <c r="O92" s="88">
        <v>0.57413519729791</v>
      </c>
      <c r="P92" s="88">
        <v>0.25</v>
      </c>
      <c r="Q92" s="87">
        <v>0.63513941960165</v>
      </c>
      <c r="R92" s="88">
        <v>0.14970762201017</v>
      </c>
      <c r="S92" s="651">
        <v>0.0085</v>
      </c>
      <c r="T92" s="601">
        <v>0.45897703320023</v>
      </c>
      <c r="U92" s="601">
        <v>0.54102296679977</v>
      </c>
      <c r="V92" s="603">
        <v>0.25</v>
      </c>
      <c r="W92" s="605">
        <v>0.58043230816874</v>
      </c>
      <c r="X92" s="601">
        <v>0.14927275095736</v>
      </c>
      <c r="Y92" s="651">
        <v>0.006243</v>
      </c>
      <c r="Z92" s="659">
        <v>0.43837816797526</v>
      </c>
      <c r="AA92" s="656">
        <v>0.56162183202474</v>
      </c>
      <c r="AB92" s="651">
        <v>0.25</v>
      </c>
      <c r="AC92" s="663">
        <v>0.393437747</v>
      </c>
      <c r="AD92" s="656">
        <v>0.182144764</v>
      </c>
      <c r="AE92" s="651">
        <v>0.005</v>
      </c>
    </row>
    <row r="93" spans="1:32" customHeight="1" ht="15.6">
      <c r="A93" s="86" t="s">
        <v>425</v>
      </c>
      <c r="B93" s="88">
        <v>0.25562813687376</v>
      </c>
      <c r="C93" s="88">
        <v>0.74437186312624</v>
      </c>
      <c r="D93" s="88">
        <v>0.27</v>
      </c>
      <c r="E93" s="87">
        <v>0.76530503730492</v>
      </c>
      <c r="F93" s="88">
        <v>0.27094461852848</v>
      </c>
      <c r="G93" s="650">
        <v>0.0165</v>
      </c>
      <c r="H93" s="88">
        <v>0.25562813687376</v>
      </c>
      <c r="I93" s="88">
        <v>0.74437186312624</v>
      </c>
      <c r="J93" s="88">
        <v>0.27</v>
      </c>
      <c r="K93" s="87">
        <v>0.76530503730492</v>
      </c>
      <c r="L93" s="88">
        <v>0.27094461852848</v>
      </c>
      <c r="M93" s="650">
        <v>0.0165</v>
      </c>
      <c r="N93" s="88">
        <v>0.30263279217508</v>
      </c>
      <c r="O93" s="88">
        <v>0.69736720782492</v>
      </c>
      <c r="P93" s="88">
        <v>0.25</v>
      </c>
      <c r="Q93" s="87">
        <v>1.1524153536245</v>
      </c>
      <c r="R93" s="88">
        <v>0.27961318235637</v>
      </c>
      <c r="S93" s="650">
        <v>0.0162</v>
      </c>
      <c r="T93" s="602">
        <v>0.33727313092902</v>
      </c>
      <c r="U93" s="602">
        <v>0.66272686907098</v>
      </c>
      <c r="V93" s="603">
        <v>0.25</v>
      </c>
      <c r="W93" s="606">
        <v>0.71396343407949</v>
      </c>
      <c r="X93" s="602">
        <v>0.28198719816416</v>
      </c>
      <c r="Y93" s="650">
        <v>0.012055</v>
      </c>
      <c r="Z93" s="648">
        <v>0.36963856764414</v>
      </c>
      <c r="AA93" s="655">
        <v>0.63036143235586</v>
      </c>
      <c r="AB93" s="650">
        <v>0.25</v>
      </c>
      <c r="AC93" s="662">
        <v>0.678567197</v>
      </c>
      <c r="AD93" s="655">
        <v>0.291677801</v>
      </c>
      <c r="AE93" s="650">
        <v>0.005</v>
      </c>
    </row>
    <row r="94" spans="1:32" customHeight="1" ht="15.6">
      <c r="A94" s="90" t="s">
        <v>426</v>
      </c>
      <c r="B94" s="88">
        <v>0.28615561076142</v>
      </c>
      <c r="C94" s="88">
        <v>0.71384438923858</v>
      </c>
      <c r="D94" s="88">
        <v>0.27</v>
      </c>
      <c r="E94" s="87">
        <v>1.0946791380881</v>
      </c>
      <c r="F94" s="88">
        <v>0.41013744101841</v>
      </c>
      <c r="G94" s="652">
        <v>0.02068</v>
      </c>
      <c r="H94" s="88">
        <v>0.28615561076142</v>
      </c>
      <c r="I94" s="88">
        <v>0.71384438923858</v>
      </c>
      <c r="J94" s="88">
        <v>0.27</v>
      </c>
      <c r="K94" s="87">
        <v>1.0946791380881</v>
      </c>
      <c r="L94" s="88">
        <v>0.41013744101841</v>
      </c>
      <c r="M94" s="652">
        <v>0.02068</v>
      </c>
      <c r="N94" s="88">
        <v>0.34862746786653</v>
      </c>
      <c r="O94" s="88">
        <v>0.65137253213347</v>
      </c>
      <c r="P94" s="88">
        <v>0.25</v>
      </c>
      <c r="Q94" s="87">
        <v>1.1572702941886</v>
      </c>
      <c r="R94" s="88">
        <v>0.41373294388583</v>
      </c>
      <c r="S94" s="652">
        <v>0.0162</v>
      </c>
      <c r="T94" s="602">
        <v>0.31703408820818</v>
      </c>
      <c r="U94" s="602">
        <v>0.68296591179182</v>
      </c>
      <c r="V94" s="603">
        <v>0.25</v>
      </c>
      <c r="W94" s="606">
        <v>1.0002231348562</v>
      </c>
      <c r="X94" s="602">
        <v>0.42031449597641</v>
      </c>
      <c r="Y94" s="652">
        <v>0.012055</v>
      </c>
      <c r="Z94" s="660">
        <v>0.28151279078231</v>
      </c>
      <c r="AA94" s="657">
        <v>0.71848720921769</v>
      </c>
      <c r="AB94" s="652">
        <v>0.25</v>
      </c>
      <c r="AC94" s="664">
        <v>1.002779668</v>
      </c>
      <c r="AD94" s="657">
        <v>0.525326392</v>
      </c>
      <c r="AE94" s="652">
        <v>0.012</v>
      </c>
    </row>
    <row r="95" spans="1:32" customHeight="1" ht="15.6">
      <c r="A95" s="91" t="s">
        <v>427</v>
      </c>
      <c r="B95" s="88">
        <v>0.16662687373859</v>
      </c>
      <c r="C95" s="88">
        <v>0.83337312626141</v>
      </c>
      <c r="D95" s="88">
        <v>0.27</v>
      </c>
      <c r="E95" s="87">
        <v>1.1485779483113</v>
      </c>
      <c r="F95" s="88">
        <v>0.44991555819828</v>
      </c>
      <c r="G95" s="653">
        <v>0.02068</v>
      </c>
      <c r="H95" s="88">
        <v>0.16662687373859</v>
      </c>
      <c r="I95" s="88">
        <v>0.83337312626141</v>
      </c>
      <c r="J95" s="88">
        <v>0.27</v>
      </c>
      <c r="K95" s="87">
        <v>1.1485779483113</v>
      </c>
      <c r="L95" s="88">
        <v>0.44991555819828</v>
      </c>
      <c r="M95" s="653">
        <v>0.02068</v>
      </c>
      <c r="N95" s="88">
        <v>0.20885367322501</v>
      </c>
      <c r="O95" s="88">
        <v>0.79114632677499</v>
      </c>
      <c r="P95" s="88">
        <v>0.25</v>
      </c>
      <c r="Q95" s="87">
        <v>1.2928170257439</v>
      </c>
      <c r="R95" s="88">
        <v>0.47976813197581</v>
      </c>
      <c r="S95" s="653">
        <v>0.0162</v>
      </c>
      <c r="T95" s="602">
        <v>0.1843385916296</v>
      </c>
      <c r="U95" s="602">
        <v>0.8156614083704</v>
      </c>
      <c r="V95" s="603">
        <v>0.25</v>
      </c>
      <c r="W95" s="606">
        <v>1.0975226422472</v>
      </c>
      <c r="X95" s="602">
        <v>0.4700345950095</v>
      </c>
      <c r="Y95" s="654">
        <v>0.012055</v>
      </c>
      <c r="Z95" s="661">
        <v>0.16170905004468</v>
      </c>
      <c r="AA95" s="658">
        <v>0.83829094995532</v>
      </c>
      <c r="AB95" s="653">
        <v>0.25</v>
      </c>
      <c r="AC95" s="665">
        <v>1.0857816776985</v>
      </c>
      <c r="AD95" s="658">
        <v>0.57396285471895</v>
      </c>
      <c r="AE95" s="653">
        <v>0.012</v>
      </c>
    </row>
    <row r="130" spans="1:32">
      <c r="A130" s="106"/>
      <c r="B130" s="106" t="s">
        <v>428</v>
      </c>
      <c r="C130" s="106"/>
      <c r="D130" s="106"/>
      <c r="H130" s="106"/>
      <c r="I130" s="106" t="s">
        <v>428</v>
      </c>
      <c r="J130" s="106"/>
      <c r="K130" s="106"/>
      <c r="O130" s="106"/>
      <c r="P130" s="106" t="s">
        <v>428</v>
      </c>
      <c r="Q130" s="106"/>
      <c r="R130" s="106"/>
      <c r="V130" s="106"/>
      <c r="W130" s="106" t="s">
        <v>428</v>
      </c>
      <c r="X130" s="106"/>
      <c r="Z130" s="106"/>
      <c r="AC130" s="106"/>
      <c r="AD130" s="106" t="s">
        <v>428</v>
      </c>
      <c r="AF130" s="106"/>
    </row>
    <row r="131" spans="1:32">
      <c r="A131" s="106">
        <v>2021</v>
      </c>
      <c r="B131" s="107" t="s">
        <v>429</v>
      </c>
      <c r="C131" s="107"/>
      <c r="D131" s="107" t="s">
        <v>430</v>
      </c>
      <c r="H131" s="106">
        <v>2022</v>
      </c>
      <c r="I131" s="107" t="s">
        <v>429</v>
      </c>
      <c r="J131" s="107"/>
      <c r="K131" s="107" t="s">
        <v>430</v>
      </c>
      <c r="O131" s="106">
        <v>2023</v>
      </c>
      <c r="P131" s="640" t="s">
        <v>429</v>
      </c>
      <c r="Q131" s="640"/>
      <c r="R131" s="640" t="s">
        <v>430</v>
      </c>
      <c r="V131" s="106">
        <v>2024</v>
      </c>
      <c r="W131" s="640" t="s">
        <v>429</v>
      </c>
      <c r="X131" s="640"/>
      <c r="Z131" s="640" t="s">
        <v>430</v>
      </c>
      <c r="AC131" s="106">
        <v>2025</v>
      </c>
      <c r="AD131" s="640" t="s">
        <v>429</v>
      </c>
      <c r="AF131" s="640" t="s">
        <v>430</v>
      </c>
    </row>
    <row r="132" spans="1:32" customHeight="1" ht="15.6">
      <c r="A132" s="106"/>
      <c r="B132" s="108">
        <v>0</v>
      </c>
      <c r="C132" s="109">
        <v>0.25</v>
      </c>
      <c r="D132" s="110">
        <v>0.0099</v>
      </c>
      <c r="H132" s="106"/>
      <c r="I132" s="108">
        <v>0</v>
      </c>
      <c r="J132" s="109">
        <v>0.25</v>
      </c>
      <c r="K132" s="110">
        <v>0.0099</v>
      </c>
      <c r="O132" s="106"/>
      <c r="P132" s="641">
        <v>0</v>
      </c>
      <c r="Q132" s="642">
        <v>0.25</v>
      </c>
      <c r="R132" s="643">
        <v>0.0085</v>
      </c>
      <c r="V132" s="106"/>
      <c r="W132" s="644">
        <v>0</v>
      </c>
      <c r="X132" s="645">
        <v>0.25</v>
      </c>
      <c r="Z132" s="646">
        <v>0.006243</v>
      </c>
      <c r="AC132" s="106"/>
      <c r="AD132" s="644">
        <v>0</v>
      </c>
      <c r="AF132" s="646">
        <v>0.005</v>
      </c>
    </row>
    <row r="133" spans="1:32" customHeight="1" ht="15.6">
      <c r="A133" s="106"/>
      <c r="B133" s="108">
        <v>0.25</v>
      </c>
      <c r="C133" s="109">
        <v>0.4</v>
      </c>
      <c r="D133" s="110">
        <v>0.0165</v>
      </c>
      <c r="H133" s="106"/>
      <c r="I133" s="108">
        <v>0.25</v>
      </c>
      <c r="J133" s="109">
        <v>0.4</v>
      </c>
      <c r="K133" s="110">
        <v>0.0165</v>
      </c>
      <c r="O133" s="106"/>
      <c r="P133" s="641">
        <v>0.250001</v>
      </c>
      <c r="Q133" s="642">
        <v>0.5</v>
      </c>
      <c r="R133" s="643">
        <v>0.0162</v>
      </c>
      <c r="V133" s="106"/>
      <c r="W133" s="644">
        <v>0.250001</v>
      </c>
      <c r="X133" s="645">
        <v>0.5</v>
      </c>
      <c r="Z133" s="646">
        <v>0.012055</v>
      </c>
      <c r="AC133" s="106"/>
      <c r="AD133" s="644">
        <v>0.30001</v>
      </c>
      <c r="AF133" s="646">
        <v>0.0095</v>
      </c>
    </row>
    <row r="134" spans="1:32" customHeight="1" ht="15.6">
      <c r="A134" s="111" t="s">
        <v>431</v>
      </c>
      <c r="B134" s="108">
        <v>0.4</v>
      </c>
      <c r="C134" s="109">
        <v>0.65</v>
      </c>
      <c r="D134" s="110">
        <v>0.02068</v>
      </c>
      <c r="H134" s="111" t="s">
        <v>431</v>
      </c>
      <c r="I134" s="108">
        <v>0.4</v>
      </c>
      <c r="J134" s="109">
        <v>0.65</v>
      </c>
      <c r="K134" s="110">
        <v>0.02068</v>
      </c>
      <c r="O134" s="111" t="s">
        <v>431</v>
      </c>
      <c r="P134" s="641">
        <v>0.500001</v>
      </c>
      <c r="Q134" s="642">
        <v>0.65</v>
      </c>
      <c r="R134" s="643">
        <v>0.02</v>
      </c>
      <c r="V134" s="111" t="s">
        <v>431</v>
      </c>
      <c r="W134" s="644">
        <v>0.500001</v>
      </c>
      <c r="X134" s="645">
        <v>0.65</v>
      </c>
      <c r="Z134" s="646">
        <v>0.014724</v>
      </c>
      <c r="AC134" s="111" t="s">
        <v>431</v>
      </c>
      <c r="AD134" s="644">
        <v>0.45001</v>
      </c>
      <c r="AF134" s="646">
        <v>0.012</v>
      </c>
    </row>
    <row r="135" spans="1:32" customHeight="1" ht="15.6">
      <c r="A135" s="112">
        <v>0.27</v>
      </c>
      <c r="B135" s="108">
        <v>0.65</v>
      </c>
      <c r="C135" s="109">
        <v>0.75</v>
      </c>
      <c r="D135" s="110">
        <v>0.031625</v>
      </c>
      <c r="H135" s="112">
        <v>0.27</v>
      </c>
      <c r="I135" s="108">
        <v>0.65</v>
      </c>
      <c r="J135" s="109">
        <v>0.75</v>
      </c>
      <c r="K135" s="110">
        <v>0.031625</v>
      </c>
      <c r="O135" s="112">
        <v>0.25</v>
      </c>
      <c r="P135" s="641">
        <v>0.650001</v>
      </c>
      <c r="Q135" s="642">
        <v>0.8</v>
      </c>
      <c r="R135" s="643">
        <v>0.0313</v>
      </c>
      <c r="V135" s="112">
        <v>0.25</v>
      </c>
      <c r="W135" s="644">
        <v>0.650001</v>
      </c>
      <c r="X135" s="645">
        <v>0.8</v>
      </c>
      <c r="Z135" s="646">
        <v>0.022079</v>
      </c>
      <c r="AC135" s="112">
        <v>0.25</v>
      </c>
      <c r="AD135" s="644">
        <v>0.650001</v>
      </c>
      <c r="AF135" s="646">
        <v>0.0183</v>
      </c>
    </row>
    <row r="136" spans="1:32" customHeight="1" ht="15.6">
      <c r="A136" s="106"/>
      <c r="B136" s="108">
        <v>0.75</v>
      </c>
      <c r="C136" s="109">
        <v>0.9</v>
      </c>
      <c r="D136" s="110">
        <v>0.066125</v>
      </c>
      <c r="H136" s="106"/>
      <c r="I136" s="108">
        <v>0.75</v>
      </c>
      <c r="J136" s="109">
        <v>0.9</v>
      </c>
      <c r="K136" s="110">
        <v>0.066125</v>
      </c>
      <c r="O136" s="106"/>
      <c r="P136" s="641">
        <v>0.800001</v>
      </c>
      <c r="Q136" s="642">
        <v>0.9</v>
      </c>
      <c r="R136" s="643">
        <v>0.0526</v>
      </c>
      <c r="V136" s="106"/>
      <c r="W136" s="644">
        <v>0.800001</v>
      </c>
      <c r="X136" s="645">
        <v>0.9</v>
      </c>
      <c r="Z136" s="646">
        <v>0.036056</v>
      </c>
      <c r="AC136" s="106"/>
      <c r="AD136" s="644">
        <v>0.800001</v>
      </c>
      <c r="AF136" s="646">
        <v>0.03</v>
      </c>
    </row>
    <row r="137" spans="1:32" customHeight="1" ht="15.6">
      <c r="A137" s="106"/>
      <c r="B137" s="108">
        <v>0.9</v>
      </c>
      <c r="C137" s="109">
        <v>1</v>
      </c>
      <c r="D137" s="110">
        <v>0.083375</v>
      </c>
      <c r="H137" s="106"/>
      <c r="I137" s="108">
        <v>0.9</v>
      </c>
      <c r="J137" s="109">
        <v>1</v>
      </c>
      <c r="K137" s="110">
        <v>0.083375</v>
      </c>
      <c r="O137" s="106"/>
      <c r="P137" s="641">
        <v>0.900001</v>
      </c>
      <c r="Q137" s="642">
        <v>1</v>
      </c>
      <c r="R137" s="643">
        <v>0.0737</v>
      </c>
      <c r="V137" s="106"/>
      <c r="W137" s="644">
        <v>0.900001</v>
      </c>
      <c r="X137" s="645">
        <v>1</v>
      </c>
      <c r="Z137" s="646">
        <v>0.052404</v>
      </c>
      <c r="AC137" s="106"/>
      <c r="AD137" s="644">
        <v>0.900001</v>
      </c>
      <c r="AF137" s="646">
        <v>0.0442</v>
      </c>
    </row>
    <row r="138" spans="1:32" customHeight="1" ht="15.6">
      <c r="A138" s="106"/>
      <c r="B138" s="108">
        <v>1</v>
      </c>
      <c r="C138" s="109">
        <v>10</v>
      </c>
      <c r="D138" s="110">
        <v>0.100625</v>
      </c>
      <c r="H138" s="106"/>
      <c r="I138" s="108">
        <v>1</v>
      </c>
      <c r="J138" s="109">
        <v>10</v>
      </c>
      <c r="K138" s="110">
        <v>0.100625</v>
      </c>
      <c r="O138" s="106"/>
      <c r="P138" s="641">
        <v>1.000001</v>
      </c>
      <c r="Q138" s="642">
        <v>10</v>
      </c>
      <c r="R138" s="643">
        <v>0.1157</v>
      </c>
      <c r="V138" s="106"/>
      <c r="W138" s="644">
        <v>1.000001</v>
      </c>
      <c r="X138" s="645">
        <v>10</v>
      </c>
      <c r="Z138" s="646">
        <v>0.0851</v>
      </c>
      <c r="AC138" s="106"/>
      <c r="AD138" s="644">
        <v>1.000001</v>
      </c>
      <c r="AF138" s="646">
        <v>0.0728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Y206"/>
  <sheetViews>
    <sheetView tabSelected="0" workbookViewId="0" zoomScale="55" zoomScaleNormal="55" showGridLines="true" showRowColHeaders="1" topLeftCell="K105">
      <selection activeCell="C203" sqref="C203"/>
    </sheetView>
  </sheetViews>
  <sheetFormatPr defaultRowHeight="14.4" defaultColWidth="11.5546875" outlineLevelRow="0" outlineLevelCol="0"/>
  <cols>
    <col min="1" max="1" width="11.5546875" style="175"/>
    <col min="2" max="2" width="38.33203125" customWidth="true" style="175"/>
    <col min="3" max="3" width="11.5546875" style="175"/>
    <col min="4" max="4" width="13.6640625" customWidth="true" style="175"/>
    <col min="5" max="5" width="11.5546875" style="175"/>
    <col min="6" max="6" width="11.5546875" style="175"/>
    <col min="7" max="7" width="11.5546875" style="203"/>
    <col min="8" max="8" width="11.5546875" style="175"/>
    <col min="9" max="9" width="11.5546875" style="175"/>
    <col min="10" max="10" width="11.5546875" style="175"/>
    <col min="11" max="11" width="11.5546875" style="175"/>
    <col min="12" max="12" width="11.5546875" style="175"/>
    <col min="13" max="13" width="11.5546875" style="175"/>
    <col min="14" max="14" width="11.5546875" style="175"/>
    <col min="15" max="15" width="11.5546875" style="175"/>
    <col min="16" max="16" width="11.5546875" style="175"/>
    <col min="17" max="17" width="11.5546875" style="175"/>
    <col min="18" max="18" width="11.5546875" style="175"/>
    <col min="19" max="19" width="11.5546875" style="175"/>
    <col min="20" max="20" width="12.33203125" customWidth="true" style="175"/>
    <col min="21" max="21" width="11.5546875" style="175"/>
    <col min="22" max="22" width="11.5546875" style="175"/>
    <col min="23" max="23" width="11.5546875" style="175"/>
    <col min="24" max="24" width="14.88671875" customWidth="true" style="175"/>
    <col min="25" max="25" width="11.5546875" style="175"/>
  </cols>
  <sheetData>
    <row r="2" spans="1:25" s="166" customFormat="1">
      <c r="B2" s="166" t="s">
        <v>432</v>
      </c>
      <c r="G2" s="167"/>
    </row>
    <row r="4" spans="1:25" customHeight="1" ht="15.6" s="169" customFormat="1">
      <c r="B4" s="168" t="s">
        <v>433</v>
      </c>
      <c r="G4" s="170"/>
    </row>
    <row r="6" spans="1:25">
      <c r="D6" s="153">
        <f>+AVERAGE(C9:D9)</f>
        <v>7618983.5</v>
      </c>
    </row>
    <row r="7" spans="1:25">
      <c r="B7" s="775" t="s">
        <v>434</v>
      </c>
      <c r="C7" s="171">
        <f>IFERROR('EE.FF Económicos'!D2,"")</f>
        <v>2017</v>
      </c>
      <c r="D7" s="172">
        <f>IFERROR('EE.FF Económicos'!E2,"")</f>
        <v>2018</v>
      </c>
      <c r="E7" s="172">
        <f>IFERROR('EE.FF Económicos'!F2,"")</f>
        <v>2019</v>
      </c>
      <c r="F7" s="172">
        <f>IFERROR('EE.FF Económicos'!G2,"")</f>
        <v>2020</v>
      </c>
      <c r="G7" s="173">
        <f>IFERROR('EE.FF Económicos'!H2,"")</f>
        <v>2021</v>
      </c>
      <c r="H7" s="172">
        <f>G7+1</f>
        <v>2022</v>
      </c>
      <c r="I7" s="172">
        <f>H7+1</f>
        <v>2023</v>
      </c>
      <c r="J7" s="172">
        <f>I7+1</f>
        <v>2024</v>
      </c>
      <c r="K7" s="172">
        <f>J7+1</f>
        <v>2025</v>
      </c>
      <c r="L7" s="172">
        <f>K7+1</f>
        <v>2026</v>
      </c>
      <c r="M7" s="172">
        <f>L7+1</f>
        <v>2027</v>
      </c>
      <c r="N7" s="172">
        <f>M7+1</f>
        <v>2028</v>
      </c>
      <c r="O7" s="172">
        <f>N7+1</f>
        <v>2029</v>
      </c>
      <c r="P7" s="172">
        <f>O7+1</f>
        <v>2030</v>
      </c>
      <c r="Q7" s="172">
        <f>P7+1</f>
        <v>2031</v>
      </c>
      <c r="R7" s="172">
        <f>Q7+1</f>
        <v>2032</v>
      </c>
      <c r="S7" s="172">
        <f>R7+1</f>
        <v>2033</v>
      </c>
      <c r="T7" s="172">
        <f>S7+1</f>
        <v>2034</v>
      </c>
      <c r="U7" s="172">
        <f>T7+1</f>
        <v>2035</v>
      </c>
      <c r="V7" s="174">
        <f>U7+1</f>
        <v>2036</v>
      </c>
      <c r="X7" s="176"/>
    </row>
    <row r="8" spans="1:25">
      <c r="B8" s="776"/>
      <c r="C8" s="177">
        <f>IFERROR('EE.FF Económicos'!D3,"")</f>
        <v>1</v>
      </c>
      <c r="D8" s="178">
        <f>IFERROR('EE.FF Económicos'!E3,"")</f>
        <v>2</v>
      </c>
      <c r="E8" s="178">
        <f>IFERROR('EE.FF Económicos'!F3,"")</f>
        <v>3</v>
      </c>
      <c r="F8" s="178">
        <f>IFERROR('EE.FF Económicos'!G3,"")</f>
        <v>4</v>
      </c>
      <c r="G8" s="179">
        <f>IFERROR('EE.FF Económicos'!H3,"")</f>
        <v>5</v>
      </c>
      <c r="H8" s="178">
        <f>G8+1</f>
        <v>6</v>
      </c>
      <c r="I8" s="178">
        <f>H8+1</f>
        <v>7</v>
      </c>
      <c r="J8" s="178">
        <f>I8+1</f>
        <v>8</v>
      </c>
      <c r="K8" s="178">
        <f>J8+1</f>
        <v>9</v>
      </c>
      <c r="L8" s="178">
        <f>K8+1</f>
        <v>10</v>
      </c>
      <c r="M8" s="178">
        <f>L8+1</f>
        <v>11</v>
      </c>
      <c r="N8" s="178">
        <f>M8+1</f>
        <v>12</v>
      </c>
      <c r="O8" s="178">
        <f>N8+1</f>
        <v>13</v>
      </c>
      <c r="P8" s="178">
        <f>O8+1</f>
        <v>14</v>
      </c>
      <c r="Q8" s="178">
        <f>P8+1</f>
        <v>15</v>
      </c>
      <c r="R8" s="178">
        <f>Q8+1</f>
        <v>16</v>
      </c>
      <c r="S8" s="178">
        <f>R8+1</f>
        <v>17</v>
      </c>
      <c r="T8" s="178">
        <f>S8+1</f>
        <v>18</v>
      </c>
      <c r="U8" s="178">
        <f>T8+1</f>
        <v>19</v>
      </c>
      <c r="V8" s="180">
        <f>U8+1</f>
        <v>20</v>
      </c>
    </row>
    <row r="9" spans="1:25">
      <c r="B9" s="181" t="s">
        <v>435</v>
      </c>
      <c r="C9" s="622">
        <f>IF('EE.FF Económicos'!D35=0,"",'EE.FF Económicos'!D35)</f>
        <v>6949265</v>
      </c>
      <c r="D9" s="621">
        <f>IF('EE.FF Económicos'!E35=0,"",'EE.FF Económicos'!E35)</f>
        <v>8288702</v>
      </c>
      <c r="E9" s="183">
        <f>IF('EE.FF Económicos'!F35=0,"",'EE.FF Económicos'!F35)</f>
        <v>9872187</v>
      </c>
      <c r="F9" s="183">
        <f>IF('EE.FF Económicos'!G35=0,"",'EE.FF Económicos'!G35)</f>
        <v>10131767</v>
      </c>
      <c r="G9" s="184">
        <f>IF('EE.FF Económicos'!H35=0,"",'EE.FF Económicos'!H35)</f>
        <v>12227663</v>
      </c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5"/>
    </row>
    <row r="10" spans="1:25">
      <c r="B10" s="186" t="s">
        <v>436</v>
      </c>
      <c r="C10" s="187"/>
      <c r="D10" s="157">
        <f>IF(C9="","",AVERAGE(C9:D9))</f>
        <v>7618983.5</v>
      </c>
      <c r="E10" s="157">
        <f>IF(D9="","",AVERAGE(D9:E9))</f>
        <v>9080444.5</v>
      </c>
      <c r="F10" s="157">
        <f>IF(E9="","",AVERAGE(E9:F9))</f>
        <v>10001977</v>
      </c>
      <c r="G10" s="189">
        <f>IF(F9="","",AVERAGE(F9:G9))</f>
        <v>11179715</v>
      </c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1"/>
    </row>
    <row r="11" spans="1:25">
      <c r="B11" s="186" t="s">
        <v>437</v>
      </c>
      <c r="C11" s="187"/>
      <c r="D11" s="188"/>
      <c r="E11" s="188"/>
      <c r="F11" s="188"/>
      <c r="G11" s="189" t="e">
        <f>LN(F8)*$E$16+$F$21</f>
        <v>#REF!</v>
      </c>
      <c r="H11" s="157" t="e">
        <f>LN(G8)*$E$16+$F$21</f>
        <v>#REF!</v>
      </c>
      <c r="I11" s="157" t="e">
        <f>LN(H8)*$E$16+$F$21</f>
        <v>#REF!</v>
      </c>
      <c r="J11" s="157" t="e">
        <f>LN(I8)*$E$16+$F$21</f>
        <v>#REF!</v>
      </c>
      <c r="K11" s="157" t="e">
        <f>LN(J8)*$E$16+$F$21</f>
        <v>#REF!</v>
      </c>
      <c r="L11" s="157" t="e">
        <f>LN(K8)*$E$16+$F$21</f>
        <v>#REF!</v>
      </c>
      <c r="M11" s="157" t="e">
        <f>LN(L8)*$E$16+$F$21</f>
        <v>#REF!</v>
      </c>
      <c r="N11" s="157" t="e">
        <f>LN(M8)*$E$16+$F$21</f>
        <v>#REF!</v>
      </c>
      <c r="O11" s="157" t="e">
        <f>LN(N8)*$E$16+$F$21</f>
        <v>#REF!</v>
      </c>
      <c r="P11" s="157" t="e">
        <f>LN(O8)*$E$16+$F$21</f>
        <v>#REF!</v>
      </c>
      <c r="Q11" s="157" t="e">
        <f>LN(P8)*$E$16+$F$21</f>
        <v>#REF!</v>
      </c>
      <c r="R11" s="157" t="e">
        <f>LN(Q8)*$E$16+$F$21</f>
        <v>#REF!</v>
      </c>
      <c r="S11" s="157" t="e">
        <f>LN(R8)*$E$16+$F$21</f>
        <v>#REF!</v>
      </c>
      <c r="T11" s="157" t="e">
        <f>LN(S8)*$E$16+$F$21</f>
        <v>#REF!</v>
      </c>
      <c r="U11" s="157" t="e">
        <f>LN(T8)*$E$16+$F$21</f>
        <v>#REF!</v>
      </c>
      <c r="V11" s="192" t="e">
        <f>LN(U8)*$E$16+$F$21</f>
        <v>#REF!</v>
      </c>
      <c r="X11" s="188"/>
    </row>
    <row r="12" spans="1:25">
      <c r="B12" s="425" t="s">
        <v>438</v>
      </c>
      <c r="C12" s="193"/>
      <c r="D12" s="194"/>
      <c r="E12" s="194"/>
      <c r="F12" s="194"/>
      <c r="G12" s="195"/>
      <c r="H12" s="164">
        <f>IF(H11/G11-1&gt;'EE.FF Económicos'!$D$53,H11/G11-1,'EE.FF Económicos'!$D$53)</f>
        <v>0.015</v>
      </c>
      <c r="I12" s="164">
        <f>IF(I11/H11-1&gt;'EE.FF Económicos'!$D$53,I11/H11-1,'EE.FF Económicos'!$D$53)</f>
        <v>0.015</v>
      </c>
      <c r="J12" s="164">
        <f>IF(J11/I11-1&gt;'EE.FF Económicos'!$D$53,J11/I11-1,'EE.FF Económicos'!$D$53)</f>
        <v>0.015</v>
      </c>
      <c r="K12" s="164">
        <f>IF(K11/J11-1&gt;'EE.FF Económicos'!$D$53,K11/J11-1,'EE.FF Económicos'!$D$53)</f>
        <v>0.015</v>
      </c>
      <c r="L12" s="164">
        <f>IF(L11/K11-1&gt;'EE.FF Económicos'!$D$53,L11/K11-1,'EE.FF Económicos'!$D$53)</f>
        <v>0.015</v>
      </c>
      <c r="M12" s="164">
        <f>IF(M11/L11-1&gt;'EE.FF Económicos'!$D$53,M11/L11-1,'EE.FF Económicos'!$D$53)</f>
        <v>0.015</v>
      </c>
      <c r="N12" s="164">
        <f>IF(N11/M11-1&gt;'EE.FF Económicos'!$D$53,N11/M11-1,'EE.FF Económicos'!$D$53)</f>
        <v>0.015</v>
      </c>
      <c r="O12" s="164">
        <f>IF(O11/N11-1&gt;'EE.FF Económicos'!$D$53,O11/N11-1,'EE.FF Económicos'!$D$53)</f>
        <v>0.015</v>
      </c>
      <c r="P12" s="164">
        <f>IF(P11/O11-1&gt;'EE.FF Económicos'!$D$53,P11/O11-1,'EE.FF Económicos'!$D$53)</f>
        <v>0.015</v>
      </c>
      <c r="Q12" s="164">
        <f>IF(Q11/P11-1&gt;'EE.FF Económicos'!$D$53,Q11/P11-1,'EE.FF Económicos'!$D$53)</f>
        <v>0.015</v>
      </c>
      <c r="R12" s="164">
        <f>IF(R11/Q11-1&gt;'EE.FF Económicos'!$D$53,R11/Q11-1,'EE.FF Económicos'!$D$53)</f>
        <v>0.015</v>
      </c>
      <c r="S12" s="164">
        <f>IF(S11/R11-1&gt;'EE.FF Económicos'!$D$53,S11/R11-1,'EE.FF Económicos'!$D$53)</f>
        <v>0.015</v>
      </c>
      <c r="T12" s="164">
        <f>IF(T11/S11-1&gt;'EE.FF Económicos'!$D$53,T11/S11-1,'EE.FF Económicos'!$D$53)</f>
        <v>0.015</v>
      </c>
      <c r="U12" s="164">
        <f>IF(U11/T11-1&gt;'EE.FF Económicos'!$D$53,U11/T11-1,'EE.FF Económicos'!$D$53)</f>
        <v>0.015</v>
      </c>
      <c r="V12" s="164">
        <f>IF(V11/U11-1&gt;'EE.FF Económicos'!$D$53,V11/U11-1,'EE.FF Económicos'!$D$53)</f>
        <v>0.015</v>
      </c>
    </row>
    <row r="13" spans="1:25">
      <c r="B13" s="198" t="s">
        <v>439</v>
      </c>
      <c r="C13" s="227">
        <f>C9</f>
        <v>6949265</v>
      </c>
      <c r="D13" s="201">
        <f>D9</f>
        <v>8288702</v>
      </c>
      <c r="E13" s="201">
        <f>E9</f>
        <v>9872187</v>
      </c>
      <c r="F13" s="201">
        <f>F9</f>
        <v>10131767</v>
      </c>
      <c r="G13" s="228">
        <f>G9</f>
        <v>12227663</v>
      </c>
      <c r="H13" s="201" t="e">
        <f>G11*(1+H12)</f>
        <v>#REF!</v>
      </c>
      <c r="I13" s="201" t="e">
        <f>H13*(1+I12)</f>
        <v>#REF!</v>
      </c>
      <c r="J13" s="201" t="e">
        <f>I13*(1+J12)</f>
        <v>#REF!</v>
      </c>
      <c r="K13" s="201" t="e">
        <f>J13*(1+K12)</f>
        <v>#REF!</v>
      </c>
      <c r="L13" s="201" t="e">
        <f>K13*(1+L12)</f>
        <v>#REF!</v>
      </c>
      <c r="M13" s="201" t="e">
        <f>L13*(1+M12)</f>
        <v>#REF!</v>
      </c>
      <c r="N13" s="201" t="e">
        <f>M13*(1+N12)</f>
        <v>#REF!</v>
      </c>
      <c r="O13" s="201" t="e">
        <f>N13*(1+O12)</f>
        <v>#REF!</v>
      </c>
      <c r="P13" s="201" t="e">
        <f>O13*(1+P12)</f>
        <v>#REF!</v>
      </c>
      <c r="Q13" s="201" t="e">
        <f>P13*(1+Q12)</f>
        <v>#REF!</v>
      </c>
      <c r="R13" s="201" t="e">
        <f>Q13*(1+R12)</f>
        <v>#REF!</v>
      </c>
      <c r="S13" s="201" t="e">
        <f>R13*(1+S12)</f>
        <v>#REF!</v>
      </c>
      <c r="T13" s="201" t="e">
        <f>S13*(1+T12)</f>
        <v>#REF!</v>
      </c>
      <c r="U13" s="201" t="e">
        <f>T13*(1+U12)</f>
        <v>#REF!</v>
      </c>
      <c r="V13" s="202" t="e">
        <f>U13*(1+V12)</f>
        <v>#REF!</v>
      </c>
    </row>
    <row r="14" spans="1:25"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</row>
    <row r="15" spans="1:25">
      <c r="E15" s="205" t="s">
        <v>440</v>
      </c>
      <c r="F15" s="206" t="s">
        <v>441</v>
      </c>
      <c r="Q15" s="361"/>
    </row>
    <row r="16" spans="1:25">
      <c r="E16" s="207" t="e">
        <f>INDEX(LINEST(INDEX(C10:G10,COUNTBLANK(C10:G10)+1):G10,LN(INDEX(C8:G8,COUNTBLANK(C10:G10)):INDEX(C8:G8,4)),TRUE,),1)</f>
        <v>#REF!</v>
      </c>
      <c r="F16" s="208" t="e">
        <f>INDEX(LINEST(INDEX(C10:G10,COUNTBLANK(C10:G10)+1):G10,LN(INDEX(C8:G8,COUNTBLANK(C10:G10)):INDEX(C8:G8,4)),TRUE,),2)</f>
        <v>#REF!</v>
      </c>
    </row>
    <row r="17" spans="1:25" s="190" customFormat="1">
      <c r="G17" s="209"/>
    </row>
    <row r="18" spans="1:25" s="190" customFormat="1">
      <c r="E18" s="773" t="s">
        <v>442</v>
      </c>
      <c r="F18" s="774"/>
      <c r="G18" s="209"/>
    </row>
    <row r="19" spans="1:25" s="190" customFormat="1">
      <c r="E19" s="211" t="s">
        <v>443</v>
      </c>
      <c r="F19" s="212">
        <f>G10</f>
        <v>11179715</v>
      </c>
      <c r="G19" s="209"/>
      <c r="I19" s="175"/>
      <c r="J19" s="188"/>
    </row>
    <row r="20" spans="1:25">
      <c r="E20" s="213" t="s">
        <v>444</v>
      </c>
      <c r="F20" s="214" t="e">
        <f>LN(F8)*E16+F16</f>
        <v>#REF!</v>
      </c>
    </row>
    <row r="21" spans="1:25">
      <c r="E21" s="215" t="s">
        <v>445</v>
      </c>
      <c r="F21" s="207" t="e">
        <f>F19-F20+F16</f>
        <v>#REF!</v>
      </c>
    </row>
    <row r="22" spans="1:25">
      <c r="J22" s="194"/>
      <c r="K22" s="194"/>
      <c r="L22" s="194"/>
      <c r="M22" s="194"/>
      <c r="N22" s="194"/>
      <c r="O22" s="194"/>
    </row>
    <row r="24" spans="1:25">
      <c r="B24" s="777" t="s">
        <v>446</v>
      </c>
      <c r="C24" s="171">
        <f>C$7</f>
        <v>2017</v>
      </c>
      <c r="D24" s="172">
        <f>D$7</f>
        <v>2018</v>
      </c>
      <c r="E24" s="172">
        <f>E$7</f>
        <v>2019</v>
      </c>
      <c r="F24" s="172">
        <f>F$7</f>
        <v>2020</v>
      </c>
      <c r="G24" s="173">
        <f>G$7</f>
        <v>2021</v>
      </c>
      <c r="H24" s="172">
        <f>G24+1</f>
        <v>2022</v>
      </c>
      <c r="I24" s="172">
        <f>H24+1</f>
        <v>2023</v>
      </c>
      <c r="J24" s="172">
        <f>I24+1</f>
        <v>2024</v>
      </c>
      <c r="K24" s="172">
        <f>J24+1</f>
        <v>2025</v>
      </c>
      <c r="L24" s="172">
        <f>K24+1</f>
        <v>2026</v>
      </c>
      <c r="M24" s="172">
        <f>L24+1</f>
        <v>2027</v>
      </c>
      <c r="N24" s="172">
        <f>M24+1</f>
        <v>2028</v>
      </c>
      <c r="O24" s="172">
        <f>N24+1</f>
        <v>2029</v>
      </c>
      <c r="P24" s="172">
        <f>O24+1</f>
        <v>2030</v>
      </c>
      <c r="Q24" s="172">
        <f>P24+1</f>
        <v>2031</v>
      </c>
      <c r="R24" s="172">
        <f>Q24+1</f>
        <v>2032</v>
      </c>
      <c r="S24" s="172">
        <f>R24+1</f>
        <v>2033</v>
      </c>
      <c r="T24" s="172">
        <f>S24+1</f>
        <v>2034</v>
      </c>
      <c r="U24" s="172">
        <f>T24+1</f>
        <v>2035</v>
      </c>
      <c r="V24" s="174">
        <f>U24+1</f>
        <v>2036</v>
      </c>
    </row>
    <row r="25" spans="1:25">
      <c r="B25" s="778"/>
      <c r="C25" s="177">
        <f>C$8</f>
        <v>1</v>
      </c>
      <c r="D25" s="178">
        <f>D$8</f>
        <v>2</v>
      </c>
      <c r="E25" s="178">
        <f>E$8</f>
        <v>3</v>
      </c>
      <c r="F25" s="178">
        <f>F$8</f>
        <v>4</v>
      </c>
      <c r="G25" s="179">
        <f>G$8</f>
        <v>5</v>
      </c>
      <c r="H25" s="178">
        <f>G25+1</f>
        <v>6</v>
      </c>
      <c r="I25" s="178">
        <f>H25+1</f>
        <v>7</v>
      </c>
      <c r="J25" s="178">
        <f>I25+1</f>
        <v>8</v>
      </c>
      <c r="K25" s="178">
        <f>J25+1</f>
        <v>9</v>
      </c>
      <c r="L25" s="178">
        <f>K25+1</f>
        <v>10</v>
      </c>
      <c r="M25" s="178">
        <f>L25+1</f>
        <v>11</v>
      </c>
      <c r="N25" s="178">
        <f>M25+1</f>
        <v>12</v>
      </c>
      <c r="O25" s="178">
        <f>N25+1</f>
        <v>13</v>
      </c>
      <c r="P25" s="178">
        <f>O25+1</f>
        <v>14</v>
      </c>
      <c r="Q25" s="178">
        <f>P25+1</f>
        <v>15</v>
      </c>
      <c r="R25" s="178">
        <f>Q25+1</f>
        <v>16</v>
      </c>
      <c r="S25" s="178">
        <f>R25+1</f>
        <v>17</v>
      </c>
      <c r="T25" s="178">
        <f>S25+1</f>
        <v>18</v>
      </c>
      <c r="U25" s="178">
        <f>T25+1</f>
        <v>19</v>
      </c>
      <c r="V25" s="180">
        <f>U25+1</f>
        <v>20</v>
      </c>
    </row>
    <row r="26" spans="1:25">
      <c r="B26" s="216" t="s">
        <v>435</v>
      </c>
      <c r="C26" s="182">
        <f>IF('EE.FF Económicos'!D36=0,"",-'EE.FF Económicos'!D36)</f>
        <v>5042402</v>
      </c>
      <c r="D26" s="183">
        <f>IF('EE.FF Económicos'!E36=0,"",-'EE.FF Económicos'!E36)</f>
        <v>6244012</v>
      </c>
      <c r="E26" s="183">
        <f>IF('EE.FF Económicos'!F36=0,"",-'EE.FF Económicos'!F36)</f>
        <v>7420013</v>
      </c>
      <c r="F26" s="183">
        <f>IF('EE.FF Económicos'!G36=0,"",-'EE.FF Económicos'!G36)</f>
        <v>7712254</v>
      </c>
      <c r="G26" s="184">
        <f>IF('EE.FF Económicos'!H36=0,"",-'EE.FF Económicos'!H36)</f>
        <v>9831454</v>
      </c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8"/>
    </row>
    <row r="27" spans="1:25">
      <c r="B27" s="219" t="s">
        <v>436</v>
      </c>
      <c r="C27" s="187"/>
      <c r="D27" s="157">
        <f>IF(C26="","",AVERAGE(C26:D26))</f>
        <v>5643207</v>
      </c>
      <c r="E27" s="157">
        <f>IF(D26="","",AVERAGE(D26:E26))</f>
        <v>6832012.5</v>
      </c>
      <c r="F27" s="157">
        <f>IF(E26="","",AVERAGE(E26:F26))</f>
        <v>7566133.5</v>
      </c>
      <c r="G27" s="189">
        <f>IF(F26="","",AVERAGE(F26:G26))</f>
        <v>8771854</v>
      </c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1"/>
    </row>
    <row r="28" spans="1:25">
      <c r="B28" s="219" t="s">
        <v>437</v>
      </c>
      <c r="C28" s="187"/>
      <c r="D28" s="188"/>
      <c r="E28" s="188"/>
      <c r="F28" s="188"/>
      <c r="G28" s="189" t="e">
        <f>LN(F25)*$E$33+$F$38</f>
        <v>#REF!</v>
      </c>
      <c r="H28" s="157" t="e">
        <f>LN(G25)*$E$33+$F$38</f>
        <v>#REF!</v>
      </c>
      <c r="I28" s="157" t="e">
        <f>LN(H25)*$E$33+$F$38</f>
        <v>#REF!</v>
      </c>
      <c r="J28" s="157" t="e">
        <f>LN(I25)*$E$33+$F$38</f>
        <v>#REF!</v>
      </c>
      <c r="K28" s="157" t="e">
        <f>LN(J25)*$E$33+$F$38</f>
        <v>#REF!</v>
      </c>
      <c r="L28" s="157" t="e">
        <f>LN(K25)*$E$33+$F$38</f>
        <v>#REF!</v>
      </c>
      <c r="M28" s="157" t="e">
        <f>LN(L25)*$E$33+$F$38</f>
        <v>#REF!</v>
      </c>
      <c r="N28" s="157" t="e">
        <f>LN(M25)*$E$33+$F$38</f>
        <v>#REF!</v>
      </c>
      <c r="O28" s="157" t="e">
        <f>LN(N25)*$E$33+$F$38</f>
        <v>#REF!</v>
      </c>
      <c r="P28" s="157" t="e">
        <f>LN(O25)*$E$33+$F$38</f>
        <v>#REF!</v>
      </c>
      <c r="Q28" s="157" t="e">
        <f>LN(P25)*$E$33+$F$38</f>
        <v>#REF!</v>
      </c>
      <c r="R28" s="157" t="e">
        <f>LN(Q25)*$E$33+$F$38</f>
        <v>#REF!</v>
      </c>
      <c r="S28" s="157" t="e">
        <f>LN(R25)*$E$33+$F$38</f>
        <v>#REF!</v>
      </c>
      <c r="T28" s="157" t="e">
        <f>LN(S25)*$E$33+$F$38</f>
        <v>#REF!</v>
      </c>
      <c r="U28" s="157" t="e">
        <f>LN(T25)*$E$33+$F$38</f>
        <v>#REF!</v>
      </c>
      <c r="V28" s="192" t="e">
        <f>LN(U25)*$E$33+$F$38</f>
        <v>#REF!</v>
      </c>
    </row>
    <row r="29" spans="1:25">
      <c r="B29" s="426" t="s">
        <v>438</v>
      </c>
      <c r="C29" s="193"/>
      <c r="D29" s="194"/>
      <c r="E29" s="194"/>
      <c r="F29" s="194"/>
      <c r="G29" s="195"/>
      <c r="H29" s="164">
        <f>IF(H$12&gt;'EE.FF Económicos'!$D$53,H28/G28-1,'EE.FF Económicos'!$D$53)</f>
        <v>0.015</v>
      </c>
      <c r="I29" s="164">
        <f>IF(I$12&gt;'EE.FF Económicos'!$D$53,I28/H28-1,'EE.FF Económicos'!$D$53)</f>
        <v>0.015</v>
      </c>
      <c r="J29" s="164">
        <f>IF(J$12&gt;'EE.FF Económicos'!$D$53,J28/I28-1,'EE.FF Económicos'!$D$53)</f>
        <v>0.015</v>
      </c>
      <c r="K29" s="164">
        <f>IF(K$12&gt;'EE.FF Económicos'!$D$53,K28/J28-1,'EE.FF Económicos'!$D$53)</f>
        <v>0.015</v>
      </c>
      <c r="L29" s="164">
        <f>IF(L$12&gt;'EE.FF Económicos'!$D$53,L28/K28-1,'EE.FF Económicos'!$D$53)</f>
        <v>0.015</v>
      </c>
      <c r="M29" s="164">
        <f>IF(M$12&gt;'EE.FF Económicos'!$D$53,M28/L28-1,'EE.FF Económicos'!$D$53)</f>
        <v>0.015</v>
      </c>
      <c r="N29" s="164">
        <f>IF(N$12&gt;'EE.FF Económicos'!$D$53,N28/M28-1,'EE.FF Económicos'!$D$53)</f>
        <v>0.015</v>
      </c>
      <c r="O29" s="164">
        <f>IF(O$12&gt;'EE.FF Económicos'!$D$53,O28/N28-1,'EE.FF Económicos'!$D$53)</f>
        <v>0.015</v>
      </c>
      <c r="P29" s="164">
        <f>IF(P$12&gt;'EE.FF Económicos'!$D$53,P28/O28-1,'EE.FF Económicos'!$D$53)</f>
        <v>0.015</v>
      </c>
      <c r="Q29" s="164">
        <f>IF(Q$12&gt;'EE.FF Económicos'!$D$53,Q28/P28-1,'EE.FF Económicos'!$D$53)</f>
        <v>0.015</v>
      </c>
      <c r="R29" s="164">
        <f>IF(R$12&gt;'EE.FF Económicos'!$D$53,R28/Q28-1,'EE.FF Económicos'!$D$53)</f>
        <v>0.015</v>
      </c>
      <c r="S29" s="164">
        <f>IF(S$12&gt;'EE.FF Económicos'!$D$53,S28/R28-1,'EE.FF Económicos'!$D$53)</f>
        <v>0.015</v>
      </c>
      <c r="T29" s="164">
        <f>IF(T$12&gt;'EE.FF Económicos'!$D$53,T28/S28-1,'EE.FF Económicos'!$D$53)</f>
        <v>0.015</v>
      </c>
      <c r="U29" s="164">
        <f>IF(U$12&gt;'EE.FF Económicos'!$D$53,U28/T28-1,'EE.FF Económicos'!$D$53)</f>
        <v>0.015</v>
      </c>
      <c r="V29" s="164">
        <f>IF(V$12&gt;'EE.FF Económicos'!$D$53,V28/U28-1,'EE.FF Económicos'!$D$53)</f>
        <v>0.015</v>
      </c>
    </row>
    <row r="30" spans="1:25">
      <c r="B30" s="197" t="s">
        <v>439</v>
      </c>
      <c r="C30" s="227">
        <f>C26</f>
        <v>5042402</v>
      </c>
      <c r="D30" s="201">
        <f>D26</f>
        <v>6244012</v>
      </c>
      <c r="E30" s="201">
        <f>E26</f>
        <v>7420013</v>
      </c>
      <c r="F30" s="201">
        <f>F26</f>
        <v>7712254</v>
      </c>
      <c r="G30" s="228">
        <f>G26</f>
        <v>9831454</v>
      </c>
      <c r="H30" s="201" t="e">
        <f>G28*(1+H29)</f>
        <v>#REF!</v>
      </c>
      <c r="I30" s="201" t="e">
        <f>H30*(1+I29)</f>
        <v>#REF!</v>
      </c>
      <c r="J30" s="201" t="e">
        <f>I30*(1+J29)</f>
        <v>#REF!</v>
      </c>
      <c r="K30" s="201" t="e">
        <f>J30*(1+K29)</f>
        <v>#REF!</v>
      </c>
      <c r="L30" s="201" t="e">
        <f>K30*(1+L29)</f>
        <v>#REF!</v>
      </c>
      <c r="M30" s="201" t="e">
        <f>L30*(1+M29)</f>
        <v>#REF!</v>
      </c>
      <c r="N30" s="201" t="e">
        <f>M30*(1+N29)</f>
        <v>#REF!</v>
      </c>
      <c r="O30" s="201" t="e">
        <f>N30*(1+O29)</f>
        <v>#REF!</v>
      </c>
      <c r="P30" s="201" t="e">
        <f>O30*(1+P29)</f>
        <v>#REF!</v>
      </c>
      <c r="Q30" s="201" t="e">
        <f>P30*(1+Q29)</f>
        <v>#REF!</v>
      </c>
      <c r="R30" s="201" t="e">
        <f>Q30*(1+R29)</f>
        <v>#REF!</v>
      </c>
      <c r="S30" s="201" t="e">
        <f>R30*(1+S29)</f>
        <v>#REF!</v>
      </c>
      <c r="T30" s="201" t="e">
        <f>S30*(1+T29)</f>
        <v>#REF!</v>
      </c>
      <c r="U30" s="201" t="e">
        <f>T30*(1+U29)</f>
        <v>#REF!</v>
      </c>
      <c r="V30" s="202" t="e">
        <f>U30*(1+V29)</f>
        <v>#REF!</v>
      </c>
    </row>
    <row r="31" spans="1:25"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</row>
    <row r="32" spans="1:25">
      <c r="E32" s="205" t="s">
        <v>440</v>
      </c>
      <c r="F32" s="206" t="s">
        <v>441</v>
      </c>
    </row>
    <row r="33" spans="1:25">
      <c r="E33" s="207" t="e">
        <f>INDEX(LINEST(INDEX(C27:G27,COUNTBLANK(C27:G27)+1):G27,LN(INDEX(C25:G25,COUNTBLANK(C27:G27)):INDEX(C25:G25,4)),TRUE,),1)</f>
        <v>#REF!</v>
      </c>
      <c r="F33" s="208" t="e">
        <f>INDEX(LINEST(INDEX(C27:G27,COUNTBLANK(C27:G27)+1):G27,LN(INDEX(C25:G25,COUNTBLANK(C27:G27)):INDEX(C25:G25,4)),TRUE,),2)</f>
        <v>#REF!</v>
      </c>
    </row>
    <row r="34" spans="1:25">
      <c r="E34" s="190"/>
      <c r="F34" s="190"/>
    </row>
    <row r="35" spans="1:25">
      <c r="E35" s="779" t="s">
        <v>442</v>
      </c>
      <c r="F35" s="780"/>
    </row>
    <row r="36" spans="1:25">
      <c r="E36" s="211" t="s">
        <v>443</v>
      </c>
      <c r="F36" s="212">
        <f>G27</f>
        <v>8771854</v>
      </c>
    </row>
    <row r="37" spans="1:25">
      <c r="E37" s="213" t="s">
        <v>444</v>
      </c>
      <c r="F37" s="214" t="e">
        <f>LN(F25)*E33+F33</f>
        <v>#REF!</v>
      </c>
    </row>
    <row r="38" spans="1:25">
      <c r="E38" s="215" t="s">
        <v>445</v>
      </c>
      <c r="F38" s="207" t="e">
        <f>F36-F37+F33</f>
        <v>#REF!</v>
      </c>
    </row>
    <row r="42" spans="1:25">
      <c r="B42" s="777" t="s">
        <v>447</v>
      </c>
      <c r="C42" s="171">
        <f>C$7</f>
        <v>2017</v>
      </c>
      <c r="D42" s="172">
        <f>D$7</f>
        <v>2018</v>
      </c>
      <c r="E42" s="172">
        <f>E$7</f>
        <v>2019</v>
      </c>
      <c r="F42" s="172">
        <f>F$7</f>
        <v>2020</v>
      </c>
      <c r="G42" s="173">
        <f>G$7</f>
        <v>2021</v>
      </c>
      <c r="H42" s="172">
        <f>G42+1</f>
        <v>2022</v>
      </c>
      <c r="I42" s="172">
        <f>H42+1</f>
        <v>2023</v>
      </c>
      <c r="J42" s="172">
        <f>I42+1</f>
        <v>2024</v>
      </c>
      <c r="K42" s="172">
        <f>J42+1</f>
        <v>2025</v>
      </c>
      <c r="L42" s="172">
        <f>K42+1</f>
        <v>2026</v>
      </c>
      <c r="M42" s="172">
        <f>L42+1</f>
        <v>2027</v>
      </c>
      <c r="N42" s="172">
        <f>M42+1</f>
        <v>2028</v>
      </c>
      <c r="O42" s="172">
        <f>N42+1</f>
        <v>2029</v>
      </c>
      <c r="P42" s="172">
        <f>O42+1</f>
        <v>2030</v>
      </c>
      <c r="Q42" s="172">
        <f>P42+1</f>
        <v>2031</v>
      </c>
      <c r="R42" s="172">
        <f>Q42+1</f>
        <v>2032</v>
      </c>
      <c r="S42" s="172">
        <f>R42+1</f>
        <v>2033</v>
      </c>
      <c r="T42" s="172">
        <f>S42+1</f>
        <v>2034</v>
      </c>
      <c r="U42" s="172">
        <f>T42+1</f>
        <v>2035</v>
      </c>
      <c r="V42" s="174">
        <f>U42+1</f>
        <v>2036</v>
      </c>
    </row>
    <row r="43" spans="1:25">
      <c r="B43" s="778"/>
      <c r="C43" s="177">
        <f>C$8</f>
        <v>1</v>
      </c>
      <c r="D43" s="178">
        <f>D$8</f>
        <v>2</v>
      </c>
      <c r="E43" s="178">
        <f>E$8</f>
        <v>3</v>
      </c>
      <c r="F43" s="178">
        <f>F$8</f>
        <v>4</v>
      </c>
      <c r="G43" s="179">
        <f>G$8</f>
        <v>5</v>
      </c>
      <c r="H43" s="178">
        <f>G43+1</f>
        <v>6</v>
      </c>
      <c r="I43" s="178">
        <f>H43+1</f>
        <v>7</v>
      </c>
      <c r="J43" s="178">
        <f>I43+1</f>
        <v>8</v>
      </c>
      <c r="K43" s="178">
        <f>J43+1</f>
        <v>9</v>
      </c>
      <c r="L43" s="178">
        <f>K43+1</f>
        <v>10</v>
      </c>
      <c r="M43" s="178">
        <f>L43+1</f>
        <v>11</v>
      </c>
      <c r="N43" s="178">
        <f>M43+1</f>
        <v>12</v>
      </c>
      <c r="O43" s="178">
        <f>N43+1</f>
        <v>13</v>
      </c>
      <c r="P43" s="178">
        <f>O43+1</f>
        <v>14</v>
      </c>
      <c r="Q43" s="178">
        <f>P43+1</f>
        <v>15</v>
      </c>
      <c r="R43" s="178">
        <f>Q43+1</f>
        <v>16</v>
      </c>
      <c r="S43" s="178">
        <f>R43+1</f>
        <v>17</v>
      </c>
      <c r="T43" s="178">
        <f>S43+1</f>
        <v>18</v>
      </c>
      <c r="U43" s="178">
        <f>T43+1</f>
        <v>19</v>
      </c>
      <c r="V43" s="180">
        <f>U43+1</f>
        <v>20</v>
      </c>
    </row>
    <row r="44" spans="1:25">
      <c r="B44" s="216" t="s">
        <v>435</v>
      </c>
      <c r="C44" s="182">
        <f>IF('EE.FF Económicos'!D38=0,"",-'EE.FF Económicos'!D38)</f>
        <v>633605</v>
      </c>
      <c r="D44" s="183">
        <f>IF('EE.FF Económicos'!E38=0,"",-'EE.FF Económicos'!E38)</f>
        <v>681336</v>
      </c>
      <c r="E44" s="183">
        <f>IF('EE.FF Económicos'!F38=0,"",-'EE.FF Económicos'!F38)</f>
        <v>801905</v>
      </c>
      <c r="F44" s="183">
        <f>IF('EE.FF Económicos'!G38=0,"",-'EE.FF Económicos'!G38)</f>
        <v>862157</v>
      </c>
      <c r="G44" s="184">
        <f>IF('EE.FF Económicos'!H38=0,"",-'EE.FF Económicos'!H38)</f>
        <v>786246</v>
      </c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8"/>
    </row>
    <row r="45" spans="1:25">
      <c r="B45" s="219" t="s">
        <v>436</v>
      </c>
      <c r="C45" s="187"/>
      <c r="D45" s="157">
        <f>IF(C44="","",AVERAGE(C44:D44))</f>
        <v>657470.5</v>
      </c>
      <c r="E45" s="157">
        <f>IF(D44="","",AVERAGE(D44:E44))</f>
        <v>741620.5</v>
      </c>
      <c r="F45" s="157">
        <f>IF(E44="","",AVERAGE(E44:F44))</f>
        <v>832031</v>
      </c>
      <c r="G45" s="189">
        <f>IF(F44="","",AVERAGE(F44:G44))</f>
        <v>824201.5</v>
      </c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1"/>
    </row>
    <row r="46" spans="1:25">
      <c r="B46" s="219" t="s">
        <v>437</v>
      </c>
      <c r="C46" s="187"/>
      <c r="D46" s="188"/>
      <c r="E46" s="188"/>
      <c r="F46" s="188"/>
      <c r="G46" s="189" t="e">
        <f>LN(F43)*$E$51+$F$56</f>
        <v>#REF!</v>
      </c>
      <c r="H46" s="157" t="e">
        <f>LN(G43)*$E$51+$F$56</f>
        <v>#REF!</v>
      </c>
      <c r="I46" s="157" t="e">
        <f>LN(H43)*$E$51+$F$56</f>
        <v>#REF!</v>
      </c>
      <c r="J46" s="157" t="e">
        <f>LN(I43)*$E$51+$F$56</f>
        <v>#REF!</v>
      </c>
      <c r="K46" s="157" t="e">
        <f>LN(J43)*$E$51+$F$56</f>
        <v>#REF!</v>
      </c>
      <c r="L46" s="157" t="e">
        <f>LN(K43)*$E$51+$F$56</f>
        <v>#REF!</v>
      </c>
      <c r="M46" s="157" t="e">
        <f>LN(L43)*$E$51+$F$56</f>
        <v>#REF!</v>
      </c>
      <c r="N46" s="157" t="e">
        <f>LN(M43)*$E$51+$F$56</f>
        <v>#REF!</v>
      </c>
      <c r="O46" s="157" t="e">
        <f>LN(N43)*$E$51+$F$56</f>
        <v>#REF!</v>
      </c>
      <c r="P46" s="157" t="e">
        <f>LN(O43)*$E$51+$F$56</f>
        <v>#REF!</v>
      </c>
      <c r="Q46" s="157" t="e">
        <f>LN(P43)*$E$51+$F$56</f>
        <v>#REF!</v>
      </c>
      <c r="R46" s="157" t="e">
        <f>LN(Q43)*$E$51+$F$56</f>
        <v>#REF!</v>
      </c>
      <c r="S46" s="157" t="e">
        <f>LN(R43)*$E$51+$F$56</f>
        <v>#REF!</v>
      </c>
      <c r="T46" s="157" t="e">
        <f>LN(S43)*$E$51+$F$56</f>
        <v>#REF!</v>
      </c>
      <c r="U46" s="157" t="e">
        <f>LN(T43)*$E$51+$F$56</f>
        <v>#REF!</v>
      </c>
      <c r="V46" s="192" t="e">
        <f>LN(U43)*$E$51+$F$56</f>
        <v>#REF!</v>
      </c>
    </row>
    <row r="47" spans="1:25">
      <c r="B47" s="426" t="s">
        <v>438</v>
      </c>
      <c r="C47" s="193"/>
      <c r="D47" s="194"/>
      <c r="E47" s="194"/>
      <c r="F47" s="194"/>
      <c r="G47" s="195"/>
      <c r="H47" s="164">
        <f>IF(H$12&gt;'EE.FF Económicos'!$D$53,H46/G46-1,'EE.FF Económicos'!$D$53)</f>
        <v>0.015</v>
      </c>
      <c r="I47" s="164">
        <f>IF(I$12&gt;'EE.FF Económicos'!$D$53,I46/H46-1,'EE.FF Económicos'!$D$53)</f>
        <v>0.015</v>
      </c>
      <c r="J47" s="164">
        <f>IF(J$12&gt;'EE.FF Económicos'!$D$53,J46/I46-1,'EE.FF Económicos'!$D$53)</f>
        <v>0.015</v>
      </c>
      <c r="K47" s="164">
        <f>IF(K$12&gt;'EE.FF Económicos'!$D$53,K46/J46-1,'EE.FF Económicos'!$D$53)</f>
        <v>0.015</v>
      </c>
      <c r="L47" s="164">
        <f>IF(L$12&gt;'EE.FF Económicos'!$D$53,L46/K46-1,'EE.FF Económicos'!$D$53)</f>
        <v>0.015</v>
      </c>
      <c r="M47" s="164">
        <f>IF(M$12&gt;'EE.FF Económicos'!$D$53,M46/L46-1,'EE.FF Económicos'!$D$53)</f>
        <v>0.015</v>
      </c>
      <c r="N47" s="164">
        <f>IF(N$12&gt;'EE.FF Económicos'!$D$53,N46/M46-1,'EE.FF Económicos'!$D$53)</f>
        <v>0.015</v>
      </c>
      <c r="O47" s="164">
        <f>IF(O$12&gt;'EE.FF Económicos'!$D$53,O46/N46-1,'EE.FF Económicos'!$D$53)</f>
        <v>0.015</v>
      </c>
      <c r="P47" s="164">
        <f>IF(P$12&gt;'EE.FF Económicos'!$D$53,P46/O46-1,'EE.FF Económicos'!$D$53)</f>
        <v>0.015</v>
      </c>
      <c r="Q47" s="164">
        <f>IF(Q$12&gt;'EE.FF Económicos'!$D$53,Q46/P46-1,'EE.FF Económicos'!$D$53)</f>
        <v>0.015</v>
      </c>
      <c r="R47" s="164">
        <f>IF(R$12&gt;'EE.FF Económicos'!$D$53,R46/Q46-1,'EE.FF Económicos'!$D$53)</f>
        <v>0.015</v>
      </c>
      <c r="S47" s="164">
        <f>IF(S$12&gt;'EE.FF Económicos'!$D$53,S46/R46-1,'EE.FF Económicos'!$D$53)</f>
        <v>0.015</v>
      </c>
      <c r="T47" s="164">
        <f>IF(T$12&gt;'EE.FF Económicos'!$D$53,T46/S46-1,'EE.FF Económicos'!$D$53)</f>
        <v>0.015</v>
      </c>
      <c r="U47" s="164">
        <f>IF(U$12&gt;'EE.FF Económicos'!$D$53,U46/T46-1,'EE.FF Económicos'!$D$53)</f>
        <v>0.015</v>
      </c>
      <c r="V47" s="164">
        <f>IF(V$12&gt;'EE.FF Económicos'!$D$53,V46/U46-1,'EE.FF Económicos'!$D$53)</f>
        <v>0.015</v>
      </c>
    </row>
    <row r="48" spans="1:25">
      <c r="B48" s="197" t="s">
        <v>439</v>
      </c>
      <c r="C48" s="227">
        <f>C44</f>
        <v>633605</v>
      </c>
      <c r="D48" s="201">
        <f>D44</f>
        <v>681336</v>
      </c>
      <c r="E48" s="201">
        <f>E44</f>
        <v>801905</v>
      </c>
      <c r="F48" s="201">
        <f>F44</f>
        <v>862157</v>
      </c>
      <c r="G48" s="228">
        <f>G44</f>
        <v>786246</v>
      </c>
      <c r="H48" s="201" t="e">
        <f>G46*(1+H47)</f>
        <v>#REF!</v>
      </c>
      <c r="I48" s="201" t="e">
        <f>H48*(1+I47)</f>
        <v>#REF!</v>
      </c>
      <c r="J48" s="201" t="e">
        <f>I48*(1+J47)</f>
        <v>#REF!</v>
      </c>
      <c r="K48" s="201" t="e">
        <f>J48*(1+K47)</f>
        <v>#REF!</v>
      </c>
      <c r="L48" s="201" t="e">
        <f>K48*(1+L47)</f>
        <v>#REF!</v>
      </c>
      <c r="M48" s="201" t="e">
        <f>L48*(1+M47)</f>
        <v>#REF!</v>
      </c>
      <c r="N48" s="201" t="e">
        <f>M48*(1+N47)</f>
        <v>#REF!</v>
      </c>
      <c r="O48" s="201" t="e">
        <f>N48*(1+O47)</f>
        <v>#REF!</v>
      </c>
      <c r="P48" s="201" t="e">
        <f>O48*(1+P47)</f>
        <v>#REF!</v>
      </c>
      <c r="Q48" s="201" t="e">
        <f>P48*(1+Q47)</f>
        <v>#REF!</v>
      </c>
      <c r="R48" s="201" t="e">
        <f>Q48*(1+R47)</f>
        <v>#REF!</v>
      </c>
      <c r="S48" s="201" t="e">
        <f>R48*(1+S47)</f>
        <v>#REF!</v>
      </c>
      <c r="T48" s="201" t="e">
        <f>S48*(1+T47)</f>
        <v>#REF!</v>
      </c>
      <c r="U48" s="201" t="e">
        <f>T48*(1+U47)</f>
        <v>#REF!</v>
      </c>
      <c r="V48" s="202" t="e">
        <f>U48*(1+V47)</f>
        <v>#REF!</v>
      </c>
    </row>
    <row r="49" spans="1:25">
      <c r="C49" s="220"/>
      <c r="D49" s="220"/>
      <c r="G49" s="221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</row>
    <row r="50" spans="1:25">
      <c r="E50" s="205" t="s">
        <v>440</v>
      </c>
      <c r="F50" s="206" t="s">
        <v>441</v>
      </c>
    </row>
    <row r="51" spans="1:25">
      <c r="E51" s="207" t="e">
        <f>INDEX(LINEST(INDEX(C45:G45,COUNTBLANK(C45:G45)+1):G45,LN(INDEX(C43:G43,COUNTBLANK(C45:G45)):INDEX(C43:G43,4)),TRUE,),1)</f>
        <v>#REF!</v>
      </c>
      <c r="F51" s="208" t="e">
        <f>INDEX(LINEST(INDEX(C45:G45,COUNTBLANK(C45:G45)+1):G45,LN(INDEX(C43:G43,COUNTBLANK(C45:G45)):INDEX(C43:G43,4)),TRUE,),2)</f>
        <v>#REF!</v>
      </c>
    </row>
    <row r="52" spans="1:25">
      <c r="E52" s="190"/>
      <c r="F52" s="190"/>
    </row>
    <row r="53" spans="1:25">
      <c r="E53" s="779" t="s">
        <v>442</v>
      </c>
      <c r="F53" s="780"/>
    </row>
    <row r="54" spans="1:25">
      <c r="E54" s="211" t="s">
        <v>443</v>
      </c>
      <c r="F54" s="212">
        <f>G45</f>
        <v>824201.5</v>
      </c>
      <c r="J54" s="188"/>
    </row>
    <row r="55" spans="1:25">
      <c r="E55" s="213" t="s">
        <v>444</v>
      </c>
      <c r="F55" s="214" t="e">
        <f>LN(F43)*E51+F51</f>
        <v>#REF!</v>
      </c>
    </row>
    <row r="56" spans="1:25">
      <c r="D56" s="190"/>
      <c r="E56" s="215" t="s">
        <v>445</v>
      </c>
      <c r="F56" s="207" t="e">
        <f>F54-F55+F51</f>
        <v>#REF!</v>
      </c>
      <c r="G56" s="209"/>
    </row>
    <row r="57" spans="1:25">
      <c r="D57" s="190"/>
      <c r="E57" s="190"/>
      <c r="F57" s="188"/>
      <c r="G57" s="209"/>
    </row>
    <row r="58" spans="1:25">
      <c r="D58" s="190"/>
      <c r="E58" s="190"/>
      <c r="F58" s="188"/>
      <c r="G58" s="209"/>
    </row>
    <row r="60" spans="1:25">
      <c r="B60" s="775" t="s">
        <v>89</v>
      </c>
      <c r="C60" s="171">
        <f>C$7</f>
        <v>2017</v>
      </c>
      <c r="D60" s="172">
        <f>D$7</f>
        <v>2018</v>
      </c>
      <c r="E60" s="172">
        <f>E$7</f>
        <v>2019</v>
      </c>
      <c r="F60" s="172">
        <f>F$7</f>
        <v>2020</v>
      </c>
      <c r="G60" s="173">
        <f>G$7</f>
        <v>2021</v>
      </c>
      <c r="H60" s="172">
        <f>G60+1</f>
        <v>2022</v>
      </c>
      <c r="I60" s="172">
        <f>H60+1</f>
        <v>2023</v>
      </c>
      <c r="J60" s="172">
        <f>I60+1</f>
        <v>2024</v>
      </c>
      <c r="K60" s="172">
        <f>J60+1</f>
        <v>2025</v>
      </c>
      <c r="L60" s="172">
        <f>K60+1</f>
        <v>2026</v>
      </c>
      <c r="M60" s="172">
        <f>L60+1</f>
        <v>2027</v>
      </c>
      <c r="N60" s="172">
        <f>M60+1</f>
        <v>2028</v>
      </c>
      <c r="O60" s="172">
        <f>N60+1</f>
        <v>2029</v>
      </c>
      <c r="P60" s="172">
        <f>O60+1</f>
        <v>2030</v>
      </c>
      <c r="Q60" s="172">
        <f>P60+1</f>
        <v>2031</v>
      </c>
      <c r="R60" s="172">
        <f>Q60+1</f>
        <v>2032</v>
      </c>
      <c r="S60" s="172">
        <f>R60+1</f>
        <v>2033</v>
      </c>
      <c r="T60" s="172">
        <f>S60+1</f>
        <v>2034</v>
      </c>
      <c r="U60" s="172">
        <f>T60+1</f>
        <v>2035</v>
      </c>
      <c r="V60" s="174">
        <f>U60+1</f>
        <v>2036</v>
      </c>
    </row>
    <row r="61" spans="1:25">
      <c r="B61" s="776"/>
      <c r="C61" s="177">
        <f>C$8</f>
        <v>1</v>
      </c>
      <c r="D61" s="178">
        <f>D$8</f>
        <v>2</v>
      </c>
      <c r="E61" s="178">
        <f>E$8</f>
        <v>3</v>
      </c>
      <c r="F61" s="178">
        <f>F$8</f>
        <v>4</v>
      </c>
      <c r="G61" s="179">
        <f>G$8</f>
        <v>5</v>
      </c>
      <c r="H61" s="178">
        <f>G61+1</f>
        <v>6</v>
      </c>
      <c r="I61" s="178">
        <f>H61+1</f>
        <v>7</v>
      </c>
      <c r="J61" s="178">
        <f>I61+1</f>
        <v>8</v>
      </c>
      <c r="K61" s="178">
        <f>J61+1</f>
        <v>9</v>
      </c>
      <c r="L61" s="178">
        <f>K61+1</f>
        <v>10</v>
      </c>
      <c r="M61" s="178">
        <f>L61+1</f>
        <v>11</v>
      </c>
      <c r="N61" s="178">
        <f>M61+1</f>
        <v>12</v>
      </c>
      <c r="O61" s="178">
        <f>N61+1</f>
        <v>13</v>
      </c>
      <c r="P61" s="178">
        <f>O61+1</f>
        <v>14</v>
      </c>
      <c r="Q61" s="178">
        <f>P61+1</f>
        <v>15</v>
      </c>
      <c r="R61" s="178">
        <f>Q61+1</f>
        <v>16</v>
      </c>
      <c r="S61" s="178">
        <f>R61+1</f>
        <v>17</v>
      </c>
      <c r="T61" s="178">
        <f>S61+1</f>
        <v>18</v>
      </c>
      <c r="U61" s="178">
        <f>T61+1</f>
        <v>19</v>
      </c>
      <c r="V61" s="180">
        <f>U61+1</f>
        <v>20</v>
      </c>
    </row>
    <row r="62" spans="1:25">
      <c r="B62" s="216" t="s">
        <v>435</v>
      </c>
      <c r="C62" s="182">
        <f>IF('EE.FF Económicos'!D39=0,"",-'EE.FF Económicos'!D39)</f>
        <v>487579</v>
      </c>
      <c r="D62" s="183">
        <f>IF('EE.FF Económicos'!E39=0,"",-'EE.FF Económicos'!E39)</f>
        <v>603139</v>
      </c>
      <c r="E62" s="183">
        <f>IF('EE.FF Económicos'!F39=0,"",-'EE.FF Económicos'!F39)</f>
        <v>651838</v>
      </c>
      <c r="F62" s="183">
        <f>IF('EE.FF Económicos'!G39=0,"",-'EE.FF Económicos'!G39)</f>
        <v>688428</v>
      </c>
      <c r="G62" s="184">
        <f>IF('EE.FF Económicos'!H39=0,"",-'EE.FF Económicos'!H39)</f>
        <v>732928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8"/>
    </row>
    <row r="63" spans="1:25">
      <c r="B63" s="219" t="s">
        <v>436</v>
      </c>
      <c r="C63" s="187"/>
      <c r="D63" s="157">
        <f>IF(C62="","",AVERAGE(C62:D62))</f>
        <v>545359</v>
      </c>
      <c r="E63" s="157">
        <f>IF(D62="","",AVERAGE(D62:E62))</f>
        <v>627488.5</v>
      </c>
      <c r="F63" s="157">
        <f>IF(E62="","",AVERAGE(E62:F62))</f>
        <v>670133</v>
      </c>
      <c r="G63" s="189">
        <f>IF(F62="","",AVERAGE(F62:G62))</f>
        <v>710678</v>
      </c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1"/>
    </row>
    <row r="64" spans="1:25">
      <c r="B64" s="219" t="s">
        <v>437</v>
      </c>
      <c r="C64" s="187"/>
      <c r="D64" s="188"/>
      <c r="E64" s="188"/>
      <c r="F64" s="188"/>
      <c r="G64" s="189" t="e">
        <f>LN(F61)*$E$69+$F$74</f>
        <v>#REF!</v>
      </c>
      <c r="H64" s="157" t="e">
        <f>LN(G61)*$E$69+$F$74</f>
        <v>#REF!</v>
      </c>
      <c r="I64" s="157" t="e">
        <f>LN(H61)*$E$69+$F$74</f>
        <v>#REF!</v>
      </c>
      <c r="J64" s="157" t="e">
        <f>LN(I61)*$E$69+$F$74</f>
        <v>#REF!</v>
      </c>
      <c r="K64" s="157" t="e">
        <f>LN(J61)*$E$69+$F$74</f>
        <v>#REF!</v>
      </c>
      <c r="L64" s="157" t="e">
        <f>LN(K61)*$E$69+$F$74</f>
        <v>#REF!</v>
      </c>
      <c r="M64" s="157" t="e">
        <f>LN(L61)*$E$69+$F$74</f>
        <v>#REF!</v>
      </c>
      <c r="N64" s="157" t="e">
        <f>LN(M61)*$E$69+$F$74</f>
        <v>#REF!</v>
      </c>
      <c r="O64" s="157" t="e">
        <f>LN(N61)*$E$69+$F$74</f>
        <v>#REF!</v>
      </c>
      <c r="P64" s="157" t="e">
        <f>LN(O61)*$E$69+$F$74</f>
        <v>#REF!</v>
      </c>
      <c r="Q64" s="157" t="e">
        <f>LN(P61)*$E$69+$F$74</f>
        <v>#REF!</v>
      </c>
      <c r="R64" s="157" t="e">
        <f>LN(Q61)*$E$69+$F$74</f>
        <v>#REF!</v>
      </c>
      <c r="S64" s="157" t="e">
        <f>LN(R61)*$E$69+$F$74</f>
        <v>#REF!</v>
      </c>
      <c r="T64" s="157" t="e">
        <f>LN(S61)*$E$69+$F$74</f>
        <v>#REF!</v>
      </c>
      <c r="U64" s="157" t="e">
        <f>LN(T61)*$E$69+$F$74</f>
        <v>#REF!</v>
      </c>
      <c r="V64" s="192" t="e">
        <f>LN(U61)*$E$69+$F$74</f>
        <v>#REF!</v>
      </c>
    </row>
    <row r="65" spans="1:25">
      <c r="B65" s="426" t="s">
        <v>438</v>
      </c>
      <c r="C65" s="193"/>
      <c r="D65" s="194"/>
      <c r="E65" s="194"/>
      <c r="F65" s="194"/>
      <c r="G65" s="195"/>
      <c r="H65" s="164">
        <f>IF(H$12&gt;'EE.FF Económicos'!$D$53,H64/G64-1,'EE.FF Económicos'!$D$53)</f>
        <v>0.015</v>
      </c>
      <c r="I65" s="164">
        <f>IF(I$12&gt;'EE.FF Económicos'!$D$53,I64/H64-1,'EE.FF Económicos'!$D$53)</f>
        <v>0.015</v>
      </c>
      <c r="J65" s="164">
        <f>IF(J$12&gt;'EE.FF Económicos'!$D$53,J64/I64-1,'EE.FF Económicos'!$D$53)</f>
        <v>0.015</v>
      </c>
      <c r="K65" s="164">
        <f>IF(K$12&gt;'EE.FF Económicos'!$D$53,K64/J64-1,'EE.FF Económicos'!$D$53)</f>
        <v>0.015</v>
      </c>
      <c r="L65" s="164">
        <f>IF(L$12&gt;'EE.FF Económicos'!$D$53,L64/K64-1,'EE.FF Económicos'!$D$53)</f>
        <v>0.015</v>
      </c>
      <c r="M65" s="164">
        <f>IF(M$12&gt;'EE.FF Económicos'!$D$53,M64/L64-1,'EE.FF Económicos'!$D$53)</f>
        <v>0.015</v>
      </c>
      <c r="N65" s="164">
        <f>IF(N$12&gt;'EE.FF Económicos'!$D$53,N64/M64-1,'EE.FF Económicos'!$D$53)</f>
        <v>0.015</v>
      </c>
      <c r="O65" s="164">
        <f>IF(O$12&gt;'EE.FF Económicos'!$D$53,O64/N64-1,'EE.FF Económicos'!$D$53)</f>
        <v>0.015</v>
      </c>
      <c r="P65" s="164">
        <f>IF(P$12&gt;'EE.FF Económicos'!$D$53,P64/O64-1,'EE.FF Económicos'!$D$53)</f>
        <v>0.015</v>
      </c>
      <c r="Q65" s="164">
        <f>IF(Q$12&gt;'EE.FF Económicos'!$D$53,Q64/P64-1,'EE.FF Económicos'!$D$53)</f>
        <v>0.015</v>
      </c>
      <c r="R65" s="164">
        <f>IF(R$12&gt;'EE.FF Económicos'!$D$53,R64/Q64-1,'EE.FF Económicos'!$D$53)</f>
        <v>0.015</v>
      </c>
      <c r="S65" s="164">
        <f>IF(S$12&gt;'EE.FF Económicos'!$D$53,S64/R64-1,'EE.FF Económicos'!$D$53)</f>
        <v>0.015</v>
      </c>
      <c r="T65" s="164">
        <f>IF(T$12&gt;'EE.FF Económicos'!$D$53,T64/S64-1,'EE.FF Económicos'!$D$53)</f>
        <v>0.015</v>
      </c>
      <c r="U65" s="164">
        <f>IF(U$12&gt;'EE.FF Económicos'!$D$53,U64/T64-1,'EE.FF Económicos'!$D$53)</f>
        <v>0.015</v>
      </c>
      <c r="V65" s="164">
        <f>IF(V$12&gt;'EE.FF Económicos'!$D$53,V64/U64-1,'EE.FF Económicos'!$D$53)</f>
        <v>0.015</v>
      </c>
    </row>
    <row r="66" spans="1:25">
      <c r="B66" s="197" t="s">
        <v>439</v>
      </c>
      <c r="C66" s="227">
        <f>C62</f>
        <v>487579</v>
      </c>
      <c r="D66" s="201">
        <f>D62</f>
        <v>603139</v>
      </c>
      <c r="E66" s="201">
        <f>E62</f>
        <v>651838</v>
      </c>
      <c r="F66" s="201">
        <f>F62</f>
        <v>688428</v>
      </c>
      <c r="G66" s="228">
        <f>G62</f>
        <v>732928</v>
      </c>
      <c r="H66" s="201" t="e">
        <f>G64*(1+H65)</f>
        <v>#REF!</v>
      </c>
      <c r="I66" s="201" t="e">
        <f>H66*(1+I65)</f>
        <v>#REF!</v>
      </c>
      <c r="J66" s="201" t="e">
        <f>I66*(1+J65)</f>
        <v>#REF!</v>
      </c>
      <c r="K66" s="201" t="e">
        <f>J66*(1+K65)</f>
        <v>#REF!</v>
      </c>
      <c r="L66" s="201" t="e">
        <f>K66*(1+L65)</f>
        <v>#REF!</v>
      </c>
      <c r="M66" s="201" t="e">
        <f>L66*(1+M65)</f>
        <v>#REF!</v>
      </c>
      <c r="N66" s="201" t="e">
        <f>M66*(1+N65)</f>
        <v>#REF!</v>
      </c>
      <c r="O66" s="201" t="e">
        <f>N66*(1+O65)</f>
        <v>#REF!</v>
      </c>
      <c r="P66" s="201" t="e">
        <f>O66*(1+P65)</f>
        <v>#REF!</v>
      </c>
      <c r="Q66" s="201" t="e">
        <f>P66*(1+Q65)</f>
        <v>#REF!</v>
      </c>
      <c r="R66" s="201" t="e">
        <f>Q66*(1+R65)</f>
        <v>#REF!</v>
      </c>
      <c r="S66" s="201" t="e">
        <f>R66*(1+S65)</f>
        <v>#REF!</v>
      </c>
      <c r="T66" s="201" t="e">
        <f>S66*(1+T65)</f>
        <v>#REF!</v>
      </c>
      <c r="U66" s="201" t="e">
        <f>T66*(1+U65)</f>
        <v>#REF!</v>
      </c>
      <c r="V66" s="202" t="e">
        <f>U66*(1+V65)</f>
        <v>#REF!</v>
      </c>
    </row>
    <row r="68" spans="1:25">
      <c r="E68" s="205" t="s">
        <v>440</v>
      </c>
      <c r="F68" s="206" t="s">
        <v>441</v>
      </c>
    </row>
    <row r="69" spans="1:25">
      <c r="E69" s="207" t="e">
        <f>INDEX(LINEST(INDEX(C63:G63,COUNTBLANK(C63:G63)+1):G63,LN(INDEX(C61:G61,COUNTBLANK(C63:G63)):INDEX(C61:G61,4)),TRUE,),1)</f>
        <v>#REF!</v>
      </c>
      <c r="F69" s="208" t="e">
        <f>INDEX(LINEST(INDEX(C63:G63,COUNTBLANK(C63:G63)+1):G63,LN(INDEX(C61:G61,COUNTBLANK(C63:G63)):INDEX(C61:G61,4)),TRUE,),2)</f>
        <v>#REF!</v>
      </c>
    </row>
    <row r="70" spans="1:25">
      <c r="E70" s="190"/>
      <c r="F70" s="190"/>
    </row>
    <row r="71" spans="1:25">
      <c r="E71" s="779" t="s">
        <v>442</v>
      </c>
      <c r="F71" s="780"/>
    </row>
    <row r="72" spans="1:25">
      <c r="E72" s="211" t="s">
        <v>443</v>
      </c>
      <c r="F72" s="212">
        <f>G63</f>
        <v>710678</v>
      </c>
      <c r="J72" s="188"/>
    </row>
    <row r="73" spans="1:25">
      <c r="E73" s="213" t="s">
        <v>444</v>
      </c>
      <c r="F73" s="214" t="e">
        <f>LN(F61)*E69+F69</f>
        <v>#REF!</v>
      </c>
    </row>
    <row r="74" spans="1:25">
      <c r="E74" s="215" t="s">
        <v>445</v>
      </c>
      <c r="F74" s="207" t="e">
        <f>F72-F73+F69</f>
        <v>#REF!</v>
      </c>
    </row>
    <row r="78" spans="1:25">
      <c r="B78" s="775" t="s">
        <v>448</v>
      </c>
      <c r="C78" s="171">
        <f>C$7</f>
        <v>2017</v>
      </c>
      <c r="D78" s="172">
        <f>D$7</f>
        <v>2018</v>
      </c>
      <c r="E78" s="172">
        <f>E$7</f>
        <v>2019</v>
      </c>
      <c r="F78" s="172">
        <f>F$7</f>
        <v>2020</v>
      </c>
      <c r="G78" s="173">
        <f>G$7</f>
        <v>2021</v>
      </c>
      <c r="H78" s="172">
        <f>G78+1</f>
        <v>2022</v>
      </c>
      <c r="I78" s="172">
        <f>H78+1</f>
        <v>2023</v>
      </c>
      <c r="J78" s="172">
        <f>I78+1</f>
        <v>2024</v>
      </c>
      <c r="K78" s="172">
        <f>J78+1</f>
        <v>2025</v>
      </c>
      <c r="L78" s="172">
        <f>K78+1</f>
        <v>2026</v>
      </c>
      <c r="M78" s="172">
        <f>L78+1</f>
        <v>2027</v>
      </c>
      <c r="N78" s="172">
        <f>M78+1</f>
        <v>2028</v>
      </c>
      <c r="O78" s="172">
        <f>N78+1</f>
        <v>2029</v>
      </c>
      <c r="P78" s="172">
        <f>O78+1</f>
        <v>2030</v>
      </c>
      <c r="Q78" s="172">
        <f>P78+1</f>
        <v>2031</v>
      </c>
      <c r="R78" s="172">
        <f>Q78+1</f>
        <v>2032</v>
      </c>
      <c r="S78" s="172">
        <f>R78+1</f>
        <v>2033</v>
      </c>
      <c r="T78" s="172">
        <f>S78+1</f>
        <v>2034</v>
      </c>
      <c r="U78" s="172">
        <f>T78+1</f>
        <v>2035</v>
      </c>
      <c r="V78" s="174">
        <f>U78+1</f>
        <v>2036</v>
      </c>
    </row>
    <row r="79" spans="1:25">
      <c r="B79" s="776"/>
      <c r="C79" s="177">
        <f>C$8</f>
        <v>1</v>
      </c>
      <c r="D79" s="178">
        <f>D$8</f>
        <v>2</v>
      </c>
      <c r="E79" s="178">
        <f>E$8</f>
        <v>3</v>
      </c>
      <c r="F79" s="178">
        <f>F$8</f>
        <v>4</v>
      </c>
      <c r="G79" s="179">
        <f>G$8</f>
        <v>5</v>
      </c>
      <c r="H79" s="178">
        <f>G79+1</f>
        <v>6</v>
      </c>
      <c r="I79" s="178">
        <f>H79+1</f>
        <v>7</v>
      </c>
      <c r="J79" s="178">
        <f>I79+1</f>
        <v>8</v>
      </c>
      <c r="K79" s="178">
        <f>J79+1</f>
        <v>9</v>
      </c>
      <c r="L79" s="178">
        <f>K79+1</f>
        <v>10</v>
      </c>
      <c r="M79" s="178">
        <f>L79+1</f>
        <v>11</v>
      </c>
      <c r="N79" s="178">
        <f>M79+1</f>
        <v>12</v>
      </c>
      <c r="O79" s="178">
        <f>N79+1</f>
        <v>13</v>
      </c>
      <c r="P79" s="178">
        <f>O79+1</f>
        <v>14</v>
      </c>
      <c r="Q79" s="178">
        <f>P79+1</f>
        <v>15</v>
      </c>
      <c r="R79" s="178">
        <f>Q79+1</f>
        <v>16</v>
      </c>
      <c r="S79" s="178">
        <f>R79+1</f>
        <v>17</v>
      </c>
      <c r="T79" s="178">
        <f>S79+1</f>
        <v>18</v>
      </c>
      <c r="U79" s="178">
        <f>T79+1</f>
        <v>19</v>
      </c>
      <c r="V79" s="180">
        <f>U79+1</f>
        <v>20</v>
      </c>
    </row>
    <row r="80" spans="1:25">
      <c r="B80" s="216" t="s">
        <v>435</v>
      </c>
      <c r="C80" s="182">
        <f>IF('EE.FF Económicos'!D40=0,"",'EE.FF Económicos'!D40)</f>
        <v>-42607</v>
      </c>
      <c r="D80" s="183">
        <f>IF('EE.FF Económicos'!E40=0,"",'EE.FF Económicos'!E40)</f>
        <v>26059</v>
      </c>
      <c r="E80" s="183">
        <f>IF('EE.FF Económicos'!F40=0,"",'EE.FF Económicos'!F40)</f>
        <v>-49856</v>
      </c>
      <c r="F80" s="183">
        <f>IF('EE.FF Económicos'!G40=0,"",'EE.FF Económicos'!G40)</f>
        <v>-75085</v>
      </c>
      <c r="G80" s="184">
        <f>IF('EE.FF Económicos'!H40=0,"",'EE.FF Económicos'!H40)</f>
        <v>39531</v>
      </c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8"/>
    </row>
    <row r="81" spans="1:25">
      <c r="B81" s="219" t="s">
        <v>436</v>
      </c>
      <c r="C81" s="187"/>
      <c r="D81" s="157">
        <f>IF(C80="","",AVERAGE(C80:D80))</f>
        <v>-8274</v>
      </c>
      <c r="E81" s="157">
        <f>IF(D80="","",AVERAGE(D80:E80))</f>
        <v>-11898.5</v>
      </c>
      <c r="F81" s="157">
        <f>IF(E80="","",AVERAGE(E80:F80))</f>
        <v>-62470.5</v>
      </c>
      <c r="G81" s="189">
        <f>IF(F80="","",AVERAGE(F80:G80))</f>
        <v>-17777</v>
      </c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1"/>
    </row>
    <row r="82" spans="1:25">
      <c r="B82" s="219" t="s">
        <v>437</v>
      </c>
      <c r="C82" s="187"/>
      <c r="D82" s="188"/>
      <c r="E82" s="188"/>
      <c r="F82" s="188"/>
      <c r="G82" s="189" t="e">
        <f>LN(F79)*$E$87+$F$92</f>
        <v>#REF!</v>
      </c>
      <c r="H82" s="157" t="e">
        <f>LN(G79)*$E$87+$F$92</f>
        <v>#REF!</v>
      </c>
      <c r="I82" s="157" t="e">
        <f>LN(H79)*$E$87+$F$92</f>
        <v>#REF!</v>
      </c>
      <c r="J82" s="157" t="e">
        <f>LN(I79)*$E$87+$F$92</f>
        <v>#REF!</v>
      </c>
      <c r="K82" s="157" t="e">
        <f>LN(J79)*$E$87+$F$92</f>
        <v>#REF!</v>
      </c>
      <c r="L82" s="157" t="e">
        <f>LN(K79)*$E$87+$F$92</f>
        <v>#REF!</v>
      </c>
      <c r="M82" s="157" t="e">
        <f>LN(L79)*$E$87+$F$92</f>
        <v>#REF!</v>
      </c>
      <c r="N82" s="157" t="e">
        <f>LN(M79)*$E$87+$F$92</f>
        <v>#REF!</v>
      </c>
      <c r="O82" s="157" t="e">
        <f>LN(N79)*$E$87+$F$92</f>
        <v>#REF!</v>
      </c>
      <c r="P82" s="157" t="e">
        <f>LN(O79)*$E$87+$F$92</f>
        <v>#REF!</v>
      </c>
      <c r="Q82" s="157" t="e">
        <f>LN(P79)*$E$87+$F$92</f>
        <v>#REF!</v>
      </c>
      <c r="R82" s="157" t="e">
        <f>LN(Q79)*$E$87+$F$92</f>
        <v>#REF!</v>
      </c>
      <c r="S82" s="157" t="e">
        <f>LN(R79)*$E$87+$F$92</f>
        <v>#REF!</v>
      </c>
      <c r="T82" s="157" t="e">
        <f>LN(S79)*$E$87+$F$92</f>
        <v>#REF!</v>
      </c>
      <c r="U82" s="157" t="e">
        <f>LN(T79)*$E$87+$F$92</f>
        <v>#REF!</v>
      </c>
      <c r="V82" s="192" t="e">
        <f>LN(U79)*$E$87+$F$92</f>
        <v>#REF!</v>
      </c>
    </row>
    <row r="83" spans="1:25">
      <c r="B83" s="426" t="s">
        <v>438</v>
      </c>
      <c r="C83" s="193"/>
      <c r="D83" s="194"/>
      <c r="E83" s="194"/>
      <c r="F83" s="194"/>
      <c r="G83" s="195"/>
      <c r="H83" s="164">
        <f>IF(H$12&gt;'EE.FF Económicos'!$D$53,H82/G82-1,'EE.FF Económicos'!$D$53)</f>
        <v>0.015</v>
      </c>
      <c r="I83" s="164">
        <f>IF(I$12&gt;'EE.FF Económicos'!$D$53,I82/H82-1,'EE.FF Económicos'!$D$53)</f>
        <v>0.015</v>
      </c>
      <c r="J83" s="164">
        <f>IF(J$12&gt;'EE.FF Económicos'!$D$53,J82/I82-1,'EE.FF Económicos'!$D$53)</f>
        <v>0.015</v>
      </c>
      <c r="K83" s="164">
        <f>IF(K$12&gt;'EE.FF Económicos'!$D$53,K82/J82-1,'EE.FF Económicos'!$D$53)</f>
        <v>0.015</v>
      </c>
      <c r="L83" s="164">
        <f>IF(L$12&gt;'EE.FF Económicos'!$D$53,L82/K82-1,'EE.FF Económicos'!$D$53)</f>
        <v>0.015</v>
      </c>
      <c r="M83" s="164">
        <f>IF(M$12&gt;'EE.FF Económicos'!$D$53,M82/L82-1,'EE.FF Económicos'!$D$53)</f>
        <v>0.015</v>
      </c>
      <c r="N83" s="164">
        <f>IF(N$12&gt;'EE.FF Económicos'!$D$53,N82/M82-1,'EE.FF Económicos'!$D$53)</f>
        <v>0.015</v>
      </c>
      <c r="O83" s="164">
        <f>IF(O$12&gt;'EE.FF Económicos'!$D$53,O82/N82-1,'EE.FF Económicos'!$D$53)</f>
        <v>0.015</v>
      </c>
      <c r="P83" s="164">
        <f>IF(P$12&gt;'EE.FF Económicos'!$D$53,P82/O82-1,'EE.FF Económicos'!$D$53)</f>
        <v>0.015</v>
      </c>
      <c r="Q83" s="164">
        <f>IF(Q$12&gt;'EE.FF Económicos'!$D$53,Q82/P82-1,'EE.FF Económicos'!$D$53)</f>
        <v>0.015</v>
      </c>
      <c r="R83" s="164">
        <f>IF(R$12&gt;'EE.FF Económicos'!$D$53,R82/Q82-1,'EE.FF Económicos'!$D$53)</f>
        <v>0.015</v>
      </c>
      <c r="S83" s="164">
        <f>IF(S$12&gt;'EE.FF Económicos'!$D$53,S82/R82-1,'EE.FF Económicos'!$D$53)</f>
        <v>0.015</v>
      </c>
      <c r="T83" s="164">
        <f>IF(T$12&gt;'EE.FF Económicos'!$D$53,T82/S82-1,'EE.FF Económicos'!$D$53)</f>
        <v>0.015</v>
      </c>
      <c r="U83" s="164">
        <f>IF(U$12&gt;'EE.FF Económicos'!$D$53,U82/T82-1,'EE.FF Económicos'!$D$53)</f>
        <v>0.015</v>
      </c>
      <c r="V83" s="164">
        <f>IF(V$12&gt;'EE.FF Económicos'!$D$53,V82/U82-1,'EE.FF Económicos'!$D$53)</f>
        <v>0.015</v>
      </c>
    </row>
    <row r="84" spans="1:25">
      <c r="B84" s="197" t="s">
        <v>439</v>
      </c>
      <c r="C84" s="198"/>
      <c r="D84" s="199"/>
      <c r="E84" s="199"/>
      <c r="F84" s="199"/>
      <c r="G84" s="200"/>
      <c r="H84" s="201" t="e">
        <f>G82*(1+H83)</f>
        <v>#REF!</v>
      </c>
      <c r="I84" s="201" t="e">
        <f>H84*(1+I83)</f>
        <v>#REF!</v>
      </c>
      <c r="J84" s="201" t="e">
        <f>I84*(1+J83)</f>
        <v>#REF!</v>
      </c>
      <c r="K84" s="201" t="e">
        <f>J84*(1+K83)</f>
        <v>#REF!</v>
      </c>
      <c r="L84" s="201" t="e">
        <f>K84*(1+L83)</f>
        <v>#REF!</v>
      </c>
      <c r="M84" s="201" t="e">
        <f>L84*(1+M83)</f>
        <v>#REF!</v>
      </c>
      <c r="N84" s="201" t="e">
        <f>M84*(1+N83)</f>
        <v>#REF!</v>
      </c>
      <c r="O84" s="201" t="e">
        <f>N84*(1+O83)</f>
        <v>#REF!</v>
      </c>
      <c r="P84" s="201" t="e">
        <f>O84*(1+P83)</f>
        <v>#REF!</v>
      </c>
      <c r="Q84" s="201" t="e">
        <f>P84*(1+Q83)</f>
        <v>#REF!</v>
      </c>
      <c r="R84" s="201" t="e">
        <f>Q84*(1+R83)</f>
        <v>#REF!</v>
      </c>
      <c r="S84" s="201" t="e">
        <f>R84*(1+S83)</f>
        <v>#REF!</v>
      </c>
      <c r="T84" s="201" t="e">
        <f>S84*(1+T83)</f>
        <v>#REF!</v>
      </c>
      <c r="U84" s="201" t="e">
        <f>T84*(1+U83)</f>
        <v>#REF!</v>
      </c>
      <c r="V84" s="202" t="e">
        <f>U84*(1+V83)</f>
        <v>#REF!</v>
      </c>
    </row>
    <row r="85" spans="1:25"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</row>
    <row r="86" spans="1:25">
      <c r="E86" s="205" t="s">
        <v>440</v>
      </c>
      <c r="F86" s="206" t="s">
        <v>441</v>
      </c>
    </row>
    <row r="87" spans="1:25">
      <c r="E87" s="207" t="e">
        <f>INDEX(LINEST(INDEX(C81:G81,COUNTBLANK(C81:G81)+1):G81,LN(INDEX(C79:G79,COUNTBLANK(C81:G81)):INDEX(C79:G79,4)),TRUE,),1)</f>
        <v>#REF!</v>
      </c>
      <c r="F87" s="208" t="e">
        <f>INDEX(LINEST(INDEX(C81:G81,COUNTBLANK(C81:G81)+1):G81,LN(INDEX(C79:G79,COUNTBLANK(C81:G81)):INDEX(C79:G79,4)),TRUE,),2)</f>
        <v>#REF!</v>
      </c>
    </row>
    <row r="88" spans="1:25">
      <c r="E88" s="190"/>
      <c r="F88" s="190"/>
    </row>
    <row r="89" spans="1:25">
      <c r="E89" s="779" t="s">
        <v>442</v>
      </c>
      <c r="F89" s="780"/>
    </row>
    <row r="90" spans="1:25">
      <c r="E90" s="211" t="s">
        <v>443</v>
      </c>
      <c r="F90" s="212">
        <f>G81</f>
        <v>-17777</v>
      </c>
    </row>
    <row r="91" spans="1:25">
      <c r="E91" s="213" t="s">
        <v>444</v>
      </c>
      <c r="F91" s="214" t="e">
        <f>LN(F79)*E87+F87</f>
        <v>#REF!</v>
      </c>
    </row>
    <row r="92" spans="1:25" s="190" customFormat="1">
      <c r="E92" s="215" t="s">
        <v>445</v>
      </c>
      <c r="F92" s="207" t="e">
        <f>F90-F91+F87</f>
        <v>#REF!</v>
      </c>
      <c r="G92" s="209"/>
    </row>
    <row r="96" spans="1:25">
      <c r="B96" s="775" t="s">
        <v>449</v>
      </c>
      <c r="C96" s="171">
        <f>C$7</f>
        <v>2017</v>
      </c>
      <c r="D96" s="172">
        <f>D$7</f>
        <v>2018</v>
      </c>
      <c r="E96" s="172">
        <f>E$7</f>
        <v>2019</v>
      </c>
      <c r="F96" s="172">
        <f>F$7</f>
        <v>2020</v>
      </c>
      <c r="G96" s="173">
        <f>G$7</f>
        <v>2021</v>
      </c>
      <c r="H96" s="172">
        <f>G96+1</f>
        <v>2022</v>
      </c>
      <c r="I96" s="172">
        <f>H96+1</f>
        <v>2023</v>
      </c>
      <c r="J96" s="172">
        <f>I96+1</f>
        <v>2024</v>
      </c>
      <c r="K96" s="172">
        <f>J96+1</f>
        <v>2025</v>
      </c>
      <c r="L96" s="172">
        <f>K96+1</f>
        <v>2026</v>
      </c>
      <c r="M96" s="172">
        <f>L96+1</f>
        <v>2027</v>
      </c>
      <c r="N96" s="172">
        <f>M96+1</f>
        <v>2028</v>
      </c>
      <c r="O96" s="172">
        <f>N96+1</f>
        <v>2029</v>
      </c>
      <c r="P96" s="172">
        <f>O96+1</f>
        <v>2030</v>
      </c>
      <c r="Q96" s="172">
        <f>P96+1</f>
        <v>2031</v>
      </c>
      <c r="R96" s="172">
        <f>Q96+1</f>
        <v>2032</v>
      </c>
      <c r="S96" s="172">
        <f>R96+1</f>
        <v>2033</v>
      </c>
      <c r="T96" s="172">
        <f>S96+1</f>
        <v>2034</v>
      </c>
      <c r="U96" s="172">
        <f>T96+1</f>
        <v>2035</v>
      </c>
      <c r="V96" s="174">
        <f>U96+1</f>
        <v>2036</v>
      </c>
    </row>
    <row r="97" spans="1:25">
      <c r="B97" s="776"/>
      <c r="C97" s="177">
        <f>C$8</f>
        <v>1</v>
      </c>
      <c r="D97" s="178">
        <f>D$8</f>
        <v>2</v>
      </c>
      <c r="E97" s="178">
        <f>E$8</f>
        <v>3</v>
      </c>
      <c r="F97" s="178">
        <f>F$8</f>
        <v>4</v>
      </c>
      <c r="G97" s="179">
        <f>G$8</f>
        <v>5</v>
      </c>
      <c r="H97" s="178">
        <f>G97+1</f>
        <v>6</v>
      </c>
      <c r="I97" s="178">
        <f>H97+1</f>
        <v>7</v>
      </c>
      <c r="J97" s="178">
        <f>I97+1</f>
        <v>8</v>
      </c>
      <c r="K97" s="178">
        <f>J97+1</f>
        <v>9</v>
      </c>
      <c r="L97" s="178">
        <f>K97+1</f>
        <v>10</v>
      </c>
      <c r="M97" s="178">
        <f>L97+1</f>
        <v>11</v>
      </c>
      <c r="N97" s="178">
        <f>M97+1</f>
        <v>12</v>
      </c>
      <c r="O97" s="178">
        <f>N97+1</f>
        <v>13</v>
      </c>
      <c r="P97" s="178">
        <f>O97+1</f>
        <v>14</v>
      </c>
      <c r="Q97" s="178">
        <f>P97+1</f>
        <v>15</v>
      </c>
      <c r="R97" s="178">
        <f>Q97+1</f>
        <v>16</v>
      </c>
      <c r="S97" s="178">
        <f>R97+1</f>
        <v>17</v>
      </c>
      <c r="T97" s="178">
        <f>S97+1</f>
        <v>18</v>
      </c>
      <c r="U97" s="178">
        <f>T97+1</f>
        <v>19</v>
      </c>
      <c r="V97" s="180">
        <f>U97+1</f>
        <v>20</v>
      </c>
    </row>
    <row r="98" spans="1:25">
      <c r="B98" s="216" t="s">
        <v>435</v>
      </c>
      <c r="C98" s="182">
        <f>IF('EE.FF Económicos'!D43=0,"",'EE.FF Económicos'!D43)</f>
        <v>164314</v>
      </c>
      <c r="D98" s="183">
        <f>IF('EE.FF Económicos'!E43=0,"",'EE.FF Económicos'!E43)</f>
        <v>202775</v>
      </c>
      <c r="E98" s="183">
        <f>IF('EE.FF Económicos'!F43=0,"",'EE.FF Económicos'!F43)</f>
        <v>298028</v>
      </c>
      <c r="F98" s="183">
        <f>IF('EE.FF Económicos'!G43=0,"",'EE.FF Económicos'!G43)</f>
        <v>286071</v>
      </c>
      <c r="G98" s="184">
        <f>IF('EE.FF Económicos'!H43=0,"",'EE.FF Económicos'!H43)</f>
        <v>232476</v>
      </c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8"/>
    </row>
    <row r="99" spans="1:25">
      <c r="B99" s="219" t="s">
        <v>436</v>
      </c>
      <c r="C99" s="187"/>
      <c r="D99" s="157">
        <f>IF(C98="","",AVERAGE(C98:D98))</f>
        <v>183544.5</v>
      </c>
      <c r="E99" s="157">
        <f>IF(D98="","",AVERAGE(D98:E98))</f>
        <v>250401.5</v>
      </c>
      <c r="F99" s="157">
        <f>IF(E98="","",AVERAGE(E98:F98))</f>
        <v>292049.5</v>
      </c>
      <c r="G99" s="189">
        <f>IF(F98="","",AVERAGE(F98:G98))</f>
        <v>259273.5</v>
      </c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1"/>
    </row>
    <row r="100" spans="1:25">
      <c r="B100" s="219" t="s">
        <v>437</v>
      </c>
      <c r="C100" s="187"/>
      <c r="D100" s="188"/>
      <c r="E100" s="188"/>
      <c r="F100" s="188"/>
      <c r="G100" s="189" t="e">
        <f>LN(F97)*$E$105+$F$110</f>
        <v>#REF!</v>
      </c>
      <c r="H100" s="157" t="e">
        <f>LN(G97)*$E$105+$F$110</f>
        <v>#REF!</v>
      </c>
      <c r="I100" s="157" t="e">
        <f>LN(H97)*$E$105+$F$110</f>
        <v>#REF!</v>
      </c>
      <c r="J100" s="157" t="e">
        <f>LN(I97)*$E$105+$F$110</f>
        <v>#REF!</v>
      </c>
      <c r="K100" s="157" t="e">
        <f>LN(J97)*$E$105+$F$110</f>
        <v>#REF!</v>
      </c>
      <c r="L100" s="157" t="e">
        <f>LN(K97)*$E$105+$F$110</f>
        <v>#REF!</v>
      </c>
      <c r="M100" s="157" t="e">
        <f>LN(L97)*$E$105+$F$110</f>
        <v>#REF!</v>
      </c>
      <c r="N100" s="157" t="e">
        <f>LN(M97)*$E$105+$F$110</f>
        <v>#REF!</v>
      </c>
      <c r="O100" s="157" t="e">
        <f>LN(N97)*$E$105+$F$110</f>
        <v>#REF!</v>
      </c>
      <c r="P100" s="157" t="e">
        <f>LN(O97)*$E$105+$F$110</f>
        <v>#REF!</v>
      </c>
      <c r="Q100" s="157" t="e">
        <f>LN(P97)*$E$105+$F$110</f>
        <v>#REF!</v>
      </c>
      <c r="R100" s="157" t="e">
        <f>LN(Q97)*$E$105+$F$110</f>
        <v>#REF!</v>
      </c>
      <c r="S100" s="157" t="e">
        <f>LN(R97)*$E$105+$F$110</f>
        <v>#REF!</v>
      </c>
      <c r="T100" s="157" t="e">
        <f>LN(S97)*$E$105+$F$110</f>
        <v>#REF!</v>
      </c>
      <c r="U100" s="157" t="e">
        <f>LN(T97)*$E$105+$F$110</f>
        <v>#REF!</v>
      </c>
      <c r="V100" s="192" t="e">
        <f>LN(U97)*$E$105+$F$110</f>
        <v>#REF!</v>
      </c>
    </row>
    <row r="101" spans="1:25">
      <c r="B101" s="426" t="s">
        <v>438</v>
      </c>
      <c r="C101" s="193"/>
      <c r="D101" s="194"/>
      <c r="E101" s="194"/>
      <c r="F101" s="194"/>
      <c r="G101" s="195"/>
      <c r="H101" s="164">
        <f>IF(H$12&gt;'EE.FF Económicos'!$D$53,H100/G100-1,'EE.FF Económicos'!$D$53)</f>
        <v>0.015</v>
      </c>
      <c r="I101" s="164">
        <f>IF(I$12&gt;'EE.FF Económicos'!$D$53,I100/H100-1,'EE.FF Económicos'!$D$53)</f>
        <v>0.015</v>
      </c>
      <c r="J101" s="164">
        <f>IF(J$12&gt;'EE.FF Económicos'!$D$53,J100/I100-1,'EE.FF Económicos'!$D$53)</f>
        <v>0.015</v>
      </c>
      <c r="K101" s="164">
        <f>IF(K$12&gt;'EE.FF Económicos'!$D$53,K100/J100-1,'EE.FF Económicos'!$D$53)</f>
        <v>0.015</v>
      </c>
      <c r="L101" s="164">
        <f>IF(L$12&gt;'EE.FF Económicos'!$D$53,L100/K100-1,'EE.FF Económicos'!$D$53)</f>
        <v>0.015</v>
      </c>
      <c r="M101" s="164">
        <f>IF(M$12&gt;'EE.FF Económicos'!$D$53,M100/L100-1,'EE.FF Económicos'!$D$53)</f>
        <v>0.015</v>
      </c>
      <c r="N101" s="164">
        <f>IF(N$12&gt;'EE.FF Económicos'!$D$53,N100/M100-1,'EE.FF Económicos'!$D$53)</f>
        <v>0.015</v>
      </c>
      <c r="O101" s="164">
        <f>IF(O$12&gt;'EE.FF Económicos'!$D$53,O100/N100-1,'EE.FF Económicos'!$D$53)</f>
        <v>0.015</v>
      </c>
      <c r="P101" s="164">
        <f>IF(P$12&gt;'EE.FF Económicos'!$D$53,P100/O100-1,'EE.FF Económicos'!$D$53)</f>
        <v>0.015</v>
      </c>
      <c r="Q101" s="164">
        <f>IF(Q$12&gt;'EE.FF Económicos'!$D$53,Q100/P100-1,'EE.FF Económicos'!$D$53)</f>
        <v>0.015</v>
      </c>
      <c r="R101" s="164">
        <f>IF(R$12&gt;'EE.FF Económicos'!$D$53,R100/Q100-1,'EE.FF Económicos'!$D$53)</f>
        <v>0.015</v>
      </c>
      <c r="S101" s="164">
        <f>IF(S$12&gt;'EE.FF Económicos'!$D$53,S100/R100-1,'EE.FF Económicos'!$D$53)</f>
        <v>0.015</v>
      </c>
      <c r="T101" s="164">
        <f>IF(T$12&gt;'EE.FF Económicos'!$D$53,T100/S100-1,'EE.FF Económicos'!$D$53)</f>
        <v>0.015</v>
      </c>
      <c r="U101" s="164">
        <f>IF(U$12&gt;'EE.FF Económicos'!$D$53,U100/T100-1,'EE.FF Económicos'!$D$53)</f>
        <v>0.015</v>
      </c>
      <c r="V101" s="164">
        <f>IF(V$12&gt;'EE.FF Económicos'!$D$53,V100/U100-1,'EE.FF Económicos'!$D$53)</f>
        <v>0.015</v>
      </c>
    </row>
    <row r="102" spans="1:25">
      <c r="B102" s="197" t="s">
        <v>439</v>
      </c>
      <c r="C102" s="198"/>
      <c r="D102" s="199"/>
      <c r="E102" s="199"/>
      <c r="F102" s="199"/>
      <c r="G102" s="200"/>
      <c r="H102" s="201" t="e">
        <f>G100*(1+H101)</f>
        <v>#REF!</v>
      </c>
      <c r="I102" s="201" t="e">
        <f>H102*(1+I101)</f>
        <v>#REF!</v>
      </c>
      <c r="J102" s="201" t="e">
        <f>I102*(1+J101)</f>
        <v>#REF!</v>
      </c>
      <c r="K102" s="201" t="e">
        <f>J102*(1+K101)</f>
        <v>#REF!</v>
      </c>
      <c r="L102" s="201" t="e">
        <f>K102*(1+L101)</f>
        <v>#REF!</v>
      </c>
      <c r="M102" s="201" t="e">
        <f>L102*(1+M101)</f>
        <v>#REF!</v>
      </c>
      <c r="N102" s="201" t="e">
        <f>M102*(1+N101)</f>
        <v>#REF!</v>
      </c>
      <c r="O102" s="201" t="e">
        <f>N102*(1+O101)</f>
        <v>#REF!</v>
      </c>
      <c r="P102" s="201" t="e">
        <f>O102*(1+P101)</f>
        <v>#REF!</v>
      </c>
      <c r="Q102" s="201" t="e">
        <f>P102*(1+Q101)</f>
        <v>#REF!</v>
      </c>
      <c r="R102" s="201" t="e">
        <f>Q102*(1+R101)</f>
        <v>#REF!</v>
      </c>
      <c r="S102" s="201" t="e">
        <f>R102*(1+S101)</f>
        <v>#REF!</v>
      </c>
      <c r="T102" s="201" t="e">
        <f>S102*(1+T101)</f>
        <v>#REF!</v>
      </c>
      <c r="U102" s="201" t="e">
        <f>T102*(1+U101)</f>
        <v>#REF!</v>
      </c>
      <c r="V102" s="202" t="e">
        <f>U102*(1+V101)</f>
        <v>#REF!</v>
      </c>
    </row>
    <row r="103" spans="1:25"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</row>
    <row r="104" spans="1:25">
      <c r="E104" s="205" t="s">
        <v>440</v>
      </c>
      <c r="F104" s="206" t="s">
        <v>441</v>
      </c>
    </row>
    <row r="105" spans="1:25">
      <c r="E105" s="207" t="e">
        <f>INDEX(LINEST(INDEX(C99:G99,COUNTBLANK(C99:G99)+1):G99,LN(INDEX(C97:G97,COUNTBLANK(C99:G99)):INDEX(C97:G97,4)),TRUE,),1)</f>
        <v>#REF!</v>
      </c>
      <c r="F105" s="208" t="e">
        <f>INDEX(LINEST(INDEX(C99:G99,COUNTBLANK(C99:G99)+1):G99,LN(INDEX(C97:G97,COUNTBLANK(C99:G99)):INDEX(C97:G97,4)),TRUE,),2)</f>
        <v>#REF!</v>
      </c>
    </row>
    <row r="106" spans="1:25">
      <c r="E106" s="190"/>
      <c r="F106" s="190"/>
    </row>
    <row r="107" spans="1:25">
      <c r="E107" s="773" t="s">
        <v>442</v>
      </c>
      <c r="F107" s="774"/>
    </row>
    <row r="108" spans="1:25">
      <c r="C108" s="220"/>
      <c r="D108" s="220"/>
      <c r="E108" s="211" t="s">
        <v>443</v>
      </c>
      <c r="F108" s="212">
        <f>G99</f>
        <v>259273.5</v>
      </c>
      <c r="G108" s="221"/>
    </row>
    <row r="109" spans="1:25">
      <c r="C109" s="220"/>
      <c r="D109" s="220"/>
      <c r="E109" s="213" t="s">
        <v>444</v>
      </c>
      <c r="F109" s="214" t="e">
        <f>LN(F97)*E105+F105</f>
        <v>#REF!</v>
      </c>
      <c r="G109" s="221"/>
      <c r="J109" s="188"/>
    </row>
    <row r="110" spans="1:25">
      <c r="C110" s="222"/>
      <c r="D110" s="222"/>
      <c r="E110" s="215" t="s">
        <v>445</v>
      </c>
      <c r="F110" s="207" t="e">
        <f>F108-F109+F105</f>
        <v>#REF!</v>
      </c>
      <c r="G110" s="223"/>
    </row>
    <row r="111" spans="1:25">
      <c r="C111" s="222"/>
      <c r="D111" s="222"/>
      <c r="G111" s="223"/>
    </row>
    <row r="112" spans="1:25">
      <c r="C112" s="222"/>
      <c r="D112" s="222"/>
      <c r="G112" s="223"/>
      <c r="W112" s="224"/>
    </row>
    <row r="113" spans="1:25">
      <c r="C113" s="222"/>
      <c r="D113" s="222"/>
      <c r="G113" s="223"/>
      <c r="W113" s="224"/>
    </row>
    <row r="114" spans="1:25">
      <c r="C114" s="222"/>
      <c r="D114" s="222"/>
      <c r="G114" s="223"/>
      <c r="W114" s="224"/>
    </row>
    <row r="115" spans="1:25">
      <c r="B115" s="775" t="s">
        <v>92</v>
      </c>
      <c r="C115" s="171">
        <f>C$7</f>
        <v>2017</v>
      </c>
      <c r="D115" s="172">
        <f>D$7</f>
        <v>2018</v>
      </c>
      <c r="E115" s="172">
        <f>E$7</f>
        <v>2019</v>
      </c>
      <c r="F115" s="172">
        <f>F$7</f>
        <v>2020</v>
      </c>
      <c r="G115" s="173">
        <f>G$7</f>
        <v>2021</v>
      </c>
      <c r="H115" s="172">
        <f>G115+1</f>
        <v>2022</v>
      </c>
      <c r="I115" s="172">
        <f>H115+1</f>
        <v>2023</v>
      </c>
      <c r="J115" s="172">
        <f>I115+1</f>
        <v>2024</v>
      </c>
      <c r="K115" s="172">
        <f>J115+1</f>
        <v>2025</v>
      </c>
      <c r="L115" s="172">
        <f>K115+1</f>
        <v>2026</v>
      </c>
      <c r="M115" s="172">
        <f>L115+1</f>
        <v>2027</v>
      </c>
      <c r="N115" s="172">
        <f>M115+1</f>
        <v>2028</v>
      </c>
      <c r="O115" s="172">
        <f>N115+1</f>
        <v>2029</v>
      </c>
      <c r="P115" s="172">
        <f>O115+1</f>
        <v>2030</v>
      </c>
      <c r="Q115" s="172">
        <f>P115+1</f>
        <v>2031</v>
      </c>
      <c r="R115" s="172">
        <f>Q115+1</f>
        <v>2032</v>
      </c>
      <c r="S115" s="172">
        <f>R115+1</f>
        <v>2033</v>
      </c>
      <c r="T115" s="172">
        <f>S115+1</f>
        <v>2034</v>
      </c>
      <c r="U115" s="172">
        <f>T115+1</f>
        <v>2035</v>
      </c>
      <c r="V115" s="174">
        <f>U115+1</f>
        <v>2036</v>
      </c>
      <c r="W115" s="224"/>
    </row>
    <row r="116" spans="1:25">
      <c r="B116" s="776"/>
      <c r="C116" s="235">
        <f>C$8</f>
        <v>1</v>
      </c>
      <c r="D116" s="236">
        <f>D$8</f>
        <v>2</v>
      </c>
      <c r="E116" s="236">
        <f>E$8</f>
        <v>3</v>
      </c>
      <c r="F116" s="236">
        <f>F$8</f>
        <v>4</v>
      </c>
      <c r="G116" s="237">
        <f>G$8</f>
        <v>5</v>
      </c>
      <c r="H116" s="178">
        <f>G116+1</f>
        <v>6</v>
      </c>
      <c r="I116" s="178">
        <f>H116+1</f>
        <v>7</v>
      </c>
      <c r="J116" s="178">
        <f>I116+1</f>
        <v>8</v>
      </c>
      <c r="K116" s="178">
        <f>J116+1</f>
        <v>9</v>
      </c>
      <c r="L116" s="178">
        <f>K116+1</f>
        <v>10</v>
      </c>
      <c r="M116" s="178">
        <f>L116+1</f>
        <v>11</v>
      </c>
      <c r="N116" s="178">
        <f>M116+1</f>
        <v>12</v>
      </c>
      <c r="O116" s="178">
        <f>N116+1</f>
        <v>13</v>
      </c>
      <c r="P116" s="178">
        <f>O116+1</f>
        <v>14</v>
      </c>
      <c r="Q116" s="178">
        <f>P116+1</f>
        <v>15</v>
      </c>
      <c r="R116" s="178">
        <f>Q116+1</f>
        <v>16</v>
      </c>
      <c r="S116" s="178">
        <f>R116+1</f>
        <v>17</v>
      </c>
      <c r="T116" s="178">
        <f>S116+1</f>
        <v>18</v>
      </c>
      <c r="U116" s="178">
        <f>T116+1</f>
        <v>19</v>
      </c>
      <c r="V116" s="180">
        <f>U116+1</f>
        <v>20</v>
      </c>
      <c r="W116" s="224"/>
    </row>
    <row r="117" spans="1:25">
      <c r="B117" s="181" t="s">
        <v>435</v>
      </c>
      <c r="C117" s="182">
        <f>IF('EE.FF Económicos'!D50=0,"",'EE.FF Económicos'!D50)</f>
        <v>3063714</v>
      </c>
      <c r="D117" s="183">
        <f>IF('EE.FF Económicos'!E50=0,"",'EE.FF Económicos'!E50)</f>
        <v>3898978</v>
      </c>
      <c r="E117" s="183">
        <f>IF('EE.FF Económicos'!F50=0,"",'EE.FF Económicos'!F50)</f>
        <v>4863313</v>
      </c>
      <c r="F117" s="183">
        <f>IF('EE.FF Económicos'!G50=0,"",'EE.FF Económicos'!G50)</f>
        <v>5212083</v>
      </c>
      <c r="G117" s="184">
        <f>IF('EE.FF Económicos'!H50=0,"",'EE.FF Económicos'!H50)</f>
        <v>5317443</v>
      </c>
      <c r="H117" s="183" t="e">
        <f>G117+H122</f>
        <v>#REF!</v>
      </c>
      <c r="I117" s="183" t="e">
        <f>H117+I122</f>
        <v>#REF!</v>
      </c>
      <c r="J117" s="183" t="e">
        <f>I117+J122</f>
        <v>#REF!</v>
      </c>
      <c r="K117" s="183" t="e">
        <f>J117+K122</f>
        <v>#REF!</v>
      </c>
      <c r="L117" s="183" t="e">
        <f>K117+L122</f>
        <v>#REF!</v>
      </c>
      <c r="M117" s="183" t="e">
        <f>L117+M122</f>
        <v>#REF!</v>
      </c>
      <c r="N117" s="183" t="e">
        <f>M117+N122</f>
        <v>#REF!</v>
      </c>
      <c r="O117" s="183" t="e">
        <f>N117+O122</f>
        <v>#REF!</v>
      </c>
      <c r="P117" s="183" t="e">
        <f>O117+P122</f>
        <v>#REF!</v>
      </c>
      <c r="Q117" s="183" t="e">
        <f>P117+Q122</f>
        <v>#REF!</v>
      </c>
      <c r="R117" s="183" t="e">
        <f>Q117+R122</f>
        <v>#REF!</v>
      </c>
      <c r="S117" s="183" t="e">
        <f>R117+S122</f>
        <v>#REF!</v>
      </c>
      <c r="T117" s="183" t="e">
        <f>S117+T122</f>
        <v>#REF!</v>
      </c>
      <c r="U117" s="183" t="e">
        <f>T117+U122</f>
        <v>#REF!</v>
      </c>
      <c r="V117" s="183" t="e">
        <f>U117+V122</f>
        <v>#REF!</v>
      </c>
      <c r="W117" s="224"/>
    </row>
    <row r="118" spans="1:25">
      <c r="B118" s="186" t="s">
        <v>450</v>
      </c>
      <c r="C118" s="187" t="str">
        <f>IFERROR(C117-B117,"")</f>
        <v/>
      </c>
      <c r="D118" s="157">
        <f>IFERROR(D117-C117,"")</f>
        <v>835264</v>
      </c>
      <c r="E118" s="157">
        <f>IFERROR(E117-D117,"")</f>
        <v>964335</v>
      </c>
      <c r="F118" s="157">
        <f>IFERROR(F117-E117,"")</f>
        <v>348770</v>
      </c>
      <c r="G118" s="189">
        <f>IFERROR(G117-F117,"")</f>
        <v>105360</v>
      </c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92"/>
      <c r="W118" s="224"/>
    </row>
    <row r="119" spans="1:25">
      <c r="B119" s="186" t="s">
        <v>451</v>
      </c>
      <c r="C119" s="187" t="str">
        <f>IFERROR(C118/C9,"")</f>
        <v/>
      </c>
      <c r="D119" s="164">
        <f>IFERROR(D118/D9,"")</f>
        <v>0.1007713873656</v>
      </c>
      <c r="E119" s="164">
        <f>IFERROR(E118/E9,"")</f>
        <v>0.097682002984749</v>
      </c>
      <c r="F119" s="164">
        <f>IFERROR(F118/F9,"")</f>
        <v>0.034423413013742</v>
      </c>
      <c r="G119" s="195">
        <f>IFERROR(G118/G9,"")</f>
        <v>0.0086165279497808</v>
      </c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1"/>
      <c r="W119" s="224"/>
    </row>
    <row r="120" spans="1:25">
      <c r="B120" s="186" t="s">
        <v>437</v>
      </c>
      <c r="C120" s="193"/>
      <c r="D120" s="194"/>
      <c r="E120" s="194"/>
      <c r="F120" s="194"/>
      <c r="G120" s="195" t="e">
        <f>LN(F116)*$E$125+$F$130</f>
        <v>#REF!</v>
      </c>
      <c r="H120" s="164" t="e">
        <f>LN(G116)*$E$125+$F$130</f>
        <v>#REF!</v>
      </c>
      <c r="I120" s="164" t="e">
        <f>LN(H116)*$E$125+$F$130</f>
        <v>#REF!</v>
      </c>
      <c r="J120" s="164" t="e">
        <f>LN(I116)*$E$125+$F$130</f>
        <v>#REF!</v>
      </c>
      <c r="K120" s="164" t="e">
        <f>LN(J116)*$E$125+$F$130</f>
        <v>#REF!</v>
      </c>
      <c r="L120" s="164" t="e">
        <f>LN(K116)*$E$125+$F$130</f>
        <v>#REF!</v>
      </c>
      <c r="M120" s="164" t="e">
        <f>LN(L116)*$E$125+$F$130</f>
        <v>#REF!</v>
      </c>
      <c r="N120" s="164" t="e">
        <f>LN(M116)*$E$125+$F$130</f>
        <v>#REF!</v>
      </c>
      <c r="O120" s="164" t="e">
        <f>LN(N116)*$E$125+$F$130</f>
        <v>#REF!</v>
      </c>
      <c r="P120" s="164" t="e">
        <f>LN(O116)*$E$125+$F$130</f>
        <v>#REF!</v>
      </c>
      <c r="Q120" s="164" t="e">
        <f>LN(P116)*$E$125+$F$130</f>
        <v>#REF!</v>
      </c>
      <c r="R120" s="164" t="e">
        <f>LN(Q116)*$E$125+$F$130</f>
        <v>#REF!</v>
      </c>
      <c r="S120" s="164" t="e">
        <f>LN(R116)*$E$125+$F$130</f>
        <v>#REF!</v>
      </c>
      <c r="T120" s="164" t="e">
        <f>LN(S116)*$E$125+$F$130</f>
        <v>#REF!</v>
      </c>
      <c r="U120" s="164" t="e">
        <f>LN(T116)*$E$125+$F$130</f>
        <v>#REF!</v>
      </c>
      <c r="V120" s="164" t="e">
        <f>LN(U116)*$E$125+$F$130</f>
        <v>#REF!</v>
      </c>
      <c r="W120" s="224"/>
    </row>
    <row r="121" spans="1:25">
      <c r="B121" s="436" t="s">
        <v>452</v>
      </c>
      <c r="C121" s="351"/>
      <c r="D121" s="352"/>
      <c r="E121" s="352"/>
      <c r="F121" s="352"/>
      <c r="G121" s="353"/>
      <c r="H121" s="164" t="e">
        <f>IF(GESTEP(H120,0)=1,H120,G120)</f>
        <v>#REF!</v>
      </c>
      <c r="I121" s="164" t="e">
        <f>IF(GESTEP(I120,0)=1,I120,H121)</f>
        <v>#REF!</v>
      </c>
      <c r="J121" s="164" t="e">
        <f>IF(GESTEP(J120,0)=1,J120,I121)</f>
        <v>#REF!</v>
      </c>
      <c r="K121" s="164" t="e">
        <f>IF(GESTEP(K120,0)=1,K120,J121)</f>
        <v>#REF!</v>
      </c>
      <c r="L121" s="164" t="e">
        <f>IF(GESTEP(L120,0)=1,L120,K121)</f>
        <v>#REF!</v>
      </c>
      <c r="M121" s="164" t="e">
        <f>IF(GESTEP(M120,0)=1,M120,L121)</f>
        <v>#REF!</v>
      </c>
      <c r="N121" s="164" t="e">
        <f>IF(GESTEP(N120,0)=1,N120,M121)</f>
        <v>#REF!</v>
      </c>
      <c r="O121" s="164" t="e">
        <f>IF(GESTEP(O120,0)=1,O120,N121)</f>
        <v>#REF!</v>
      </c>
      <c r="P121" s="164" t="e">
        <f>IF(GESTEP(P120,0)=1,P120,O121)</f>
        <v>#REF!</v>
      </c>
      <c r="Q121" s="164" t="e">
        <f>IF(GESTEP(Q120,0)=1,Q120,P121)</f>
        <v>#REF!</v>
      </c>
      <c r="R121" s="164" t="e">
        <f>IF(GESTEP(R120,0)=1,R120,Q121)</f>
        <v>#REF!</v>
      </c>
      <c r="S121" s="164" t="e">
        <f>IF(GESTEP(S120,0)=1,S120,R121)</f>
        <v>#REF!</v>
      </c>
      <c r="T121" s="164" t="e">
        <f>IF(GESTEP(T120,0)=1,T120,S121)</f>
        <v>#REF!</v>
      </c>
      <c r="U121" s="164" t="e">
        <f>IF(GESTEP(U120,0)=1,U120,T121)</f>
        <v>#REF!</v>
      </c>
      <c r="V121" s="164" t="e">
        <f>IF(GESTEP(V120,0)=1,V120,U121)</f>
        <v>#REF!</v>
      </c>
      <c r="W121" s="224"/>
    </row>
    <row r="122" spans="1:25">
      <c r="B122" s="406" t="s">
        <v>453</v>
      </c>
      <c r="C122" s="227"/>
      <c r="D122" s="201"/>
      <c r="E122" s="201"/>
      <c r="F122" s="201"/>
      <c r="G122" s="228" t="e">
        <f>$G$120*G11</f>
        <v>#REF!</v>
      </c>
      <c r="H122" s="201" t="e">
        <f>H121*H13</f>
        <v>#REF!</v>
      </c>
      <c r="I122" s="201" t="e">
        <f>I121*I13</f>
        <v>#REF!</v>
      </c>
      <c r="J122" s="201" t="e">
        <f>J121*J13</f>
        <v>#REF!</v>
      </c>
      <c r="K122" s="201" t="e">
        <f>K121*K13</f>
        <v>#REF!</v>
      </c>
      <c r="L122" s="201" t="e">
        <f>L121*L13</f>
        <v>#REF!</v>
      </c>
      <c r="M122" s="201" t="e">
        <f>M121*M13</f>
        <v>#REF!</v>
      </c>
      <c r="N122" s="201" t="e">
        <f>N121*N13</f>
        <v>#REF!</v>
      </c>
      <c r="O122" s="201" t="e">
        <f>O121*O13</f>
        <v>#REF!</v>
      </c>
      <c r="P122" s="201" t="e">
        <f>P121*P13</f>
        <v>#REF!</v>
      </c>
      <c r="Q122" s="201" t="e">
        <f>Q121*Q13</f>
        <v>#REF!</v>
      </c>
      <c r="R122" s="201" t="e">
        <f>R121*R13</f>
        <v>#REF!</v>
      </c>
      <c r="S122" s="201" t="e">
        <f>S121*S13</f>
        <v>#REF!</v>
      </c>
      <c r="T122" s="201" t="e">
        <f>T121*T13</f>
        <v>#REF!</v>
      </c>
      <c r="U122" s="201" t="e">
        <f>U121*U13</f>
        <v>#REF!</v>
      </c>
      <c r="V122" s="201" t="e">
        <f>V121*V13</f>
        <v>#REF!</v>
      </c>
    </row>
    <row r="123" spans="1:25"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</row>
    <row r="124" spans="1:25">
      <c r="E124" s="229" t="s">
        <v>440</v>
      </c>
      <c r="F124" s="210" t="s">
        <v>441</v>
      </c>
    </row>
    <row r="125" spans="1:25">
      <c r="E125" s="230" t="e">
        <f>INDEX(LINEST(INDEX(C119:G119,COUNTBLANK(C119:G119)+1):G119,LN(INDEX(C116:G116,COUNTBLANK(C119:G119)):INDEX(C116:G116,4)),TRUE,),1)</f>
        <v>#REF!</v>
      </c>
      <c r="F125" s="231" t="e">
        <f>INDEX(LINEST(INDEX(C119:G119,COUNTBLANK(C119:G119)+1):G119,LN(INDEX(C116:G116,COUNTBLANK(C119:G119)):INDEX(C116:G116,4)),TRUE,),2)</f>
        <v>#REF!</v>
      </c>
      <c r="K125" s="204"/>
      <c r="L125" s="204"/>
      <c r="M125" s="204"/>
      <c r="N125" s="204"/>
    </row>
    <row r="126" spans="1:25">
      <c r="K126" s="220"/>
      <c r="L126" s="220"/>
      <c r="M126" s="220"/>
    </row>
    <row r="127" spans="1:25">
      <c r="E127" s="773" t="s">
        <v>442</v>
      </c>
      <c r="F127" s="774"/>
    </row>
    <row r="128" spans="1:25">
      <c r="E128" s="211" t="s">
        <v>443</v>
      </c>
      <c r="F128" s="232">
        <f>G119</f>
        <v>0.0086165279497808</v>
      </c>
    </row>
    <row r="129" spans="1:25">
      <c r="E129" s="213" t="s">
        <v>444</v>
      </c>
      <c r="F129" s="233" t="e">
        <f>LN(F116)*E125+F125</f>
        <v>#REF!</v>
      </c>
    </row>
    <row r="130" spans="1:25">
      <c r="E130" s="215" t="s">
        <v>445</v>
      </c>
      <c r="F130" s="234" t="e">
        <f>F128-F129+F125</f>
        <v>#REF!</v>
      </c>
    </row>
    <row r="131" spans="1:25">
      <c r="F131" s="204"/>
    </row>
    <row r="132" spans="1:25">
      <c r="F132" s="204"/>
    </row>
    <row r="133" spans="1:25">
      <c r="F133" s="204"/>
    </row>
    <row r="134" spans="1:25">
      <c r="F134" s="204"/>
    </row>
    <row r="135" spans="1:25">
      <c r="B135" s="775" t="s">
        <v>95</v>
      </c>
      <c r="C135" s="171">
        <f>C$7</f>
        <v>2017</v>
      </c>
      <c r="D135" s="172">
        <f>D$7</f>
        <v>2018</v>
      </c>
      <c r="E135" s="172">
        <f>E$7</f>
        <v>2019</v>
      </c>
      <c r="F135" s="172">
        <f>F$7</f>
        <v>2020</v>
      </c>
      <c r="G135" s="173">
        <f>G$7</f>
        <v>2021</v>
      </c>
      <c r="H135" s="172">
        <f>G135+1</f>
        <v>2022</v>
      </c>
      <c r="I135" s="172">
        <f>H135+1</f>
        <v>2023</v>
      </c>
      <c r="J135" s="172">
        <f>I135+1</f>
        <v>2024</v>
      </c>
      <c r="K135" s="172">
        <f>J135+1</f>
        <v>2025</v>
      </c>
      <c r="L135" s="172">
        <f>K135+1</f>
        <v>2026</v>
      </c>
      <c r="M135" s="172">
        <f>L135+1</f>
        <v>2027</v>
      </c>
      <c r="N135" s="172">
        <f>M135+1</f>
        <v>2028</v>
      </c>
      <c r="O135" s="172">
        <f>N135+1</f>
        <v>2029</v>
      </c>
      <c r="P135" s="172">
        <f>O135+1</f>
        <v>2030</v>
      </c>
      <c r="Q135" s="172">
        <f>P135+1</f>
        <v>2031</v>
      </c>
      <c r="R135" s="172">
        <f>Q135+1</f>
        <v>2032</v>
      </c>
      <c r="S135" s="172">
        <f>R135+1</f>
        <v>2033</v>
      </c>
      <c r="T135" s="172">
        <f>S135+1</f>
        <v>2034</v>
      </c>
      <c r="U135" s="172">
        <f>T135+1</f>
        <v>2035</v>
      </c>
      <c r="V135" s="174">
        <f>U135+1</f>
        <v>2036</v>
      </c>
    </row>
    <row r="136" spans="1:25">
      <c r="B136" s="776"/>
      <c r="C136" s="235">
        <f>C$8</f>
        <v>1</v>
      </c>
      <c r="D136" s="236">
        <f>D$8</f>
        <v>2</v>
      </c>
      <c r="E136" s="236">
        <f>E$8</f>
        <v>3</v>
      </c>
      <c r="F136" s="236">
        <f>F$8</f>
        <v>4</v>
      </c>
      <c r="G136" s="237">
        <f>G$8</f>
        <v>5</v>
      </c>
      <c r="H136" s="178">
        <f>G136+1</f>
        <v>6</v>
      </c>
      <c r="I136" s="178">
        <f>H136+1</f>
        <v>7</v>
      </c>
      <c r="J136" s="178">
        <f>I136+1</f>
        <v>8</v>
      </c>
      <c r="K136" s="178">
        <f>J136+1</f>
        <v>9</v>
      </c>
      <c r="L136" s="178">
        <f>K136+1</f>
        <v>10</v>
      </c>
      <c r="M136" s="178">
        <f>L136+1</f>
        <v>11</v>
      </c>
      <c r="N136" s="178">
        <f>M136+1</f>
        <v>12</v>
      </c>
      <c r="O136" s="178">
        <f>N136+1</f>
        <v>13</v>
      </c>
      <c r="P136" s="178">
        <f>O136+1</f>
        <v>14</v>
      </c>
      <c r="Q136" s="178">
        <f>P136+1</f>
        <v>15</v>
      </c>
      <c r="R136" s="178">
        <f>Q136+1</f>
        <v>16</v>
      </c>
      <c r="S136" s="178">
        <f>R136+1</f>
        <v>17</v>
      </c>
      <c r="T136" s="178">
        <f>S136+1</f>
        <v>18</v>
      </c>
      <c r="U136" s="178">
        <f>T136+1</f>
        <v>19</v>
      </c>
      <c r="V136" s="180">
        <f>U136+1</f>
        <v>20</v>
      </c>
    </row>
    <row r="137" spans="1:25">
      <c r="B137" s="181" t="s">
        <v>454</v>
      </c>
      <c r="C137" s="182">
        <f>IF('EE.FF Económicos'!D8=0,"",'EE.FF Económicos'!D8)</f>
        <v>3289719</v>
      </c>
      <c r="D137" s="183">
        <f>IF('EE.FF Económicos'!E8=0,"",'EE.FF Económicos'!E8)</f>
        <v>4103986</v>
      </c>
      <c r="E137" s="183">
        <f>IF('EE.FF Económicos'!F8=0,"",'EE.FF Económicos'!F8)</f>
        <v>4490817</v>
      </c>
      <c r="F137" s="183">
        <f>IF('EE.FF Económicos'!G8=0,"",'EE.FF Económicos'!G8)</f>
        <v>4618768</v>
      </c>
      <c r="G137" s="184">
        <f>IF('EE.FF Económicos'!H8=0,"",'EE.FF Económicos'!H8)</f>
        <v>6509850</v>
      </c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6"/>
    </row>
    <row r="138" spans="1:25">
      <c r="B138" s="186" t="s">
        <v>455</v>
      </c>
      <c r="C138" s="187">
        <f>IF('EE.FF Económicos'!D20=0,"",'EE.FF Económicos'!D20)</f>
        <v>2823965</v>
      </c>
      <c r="D138" s="157">
        <f>IF('EE.FF Económicos'!E20=0,"",'EE.FF Económicos'!E20)</f>
        <v>3084554</v>
      </c>
      <c r="E138" s="157">
        <f>IF('EE.FF Económicos'!F20=0,"",'EE.FF Económicos'!F20)</f>
        <v>3462553</v>
      </c>
      <c r="F138" s="157">
        <f>IF('EE.FF Económicos'!G20=0,"",'EE.FF Económicos'!G20)</f>
        <v>3604331</v>
      </c>
      <c r="G138" s="189">
        <f>IF('EE.FF Económicos'!H20=0,"",'EE.FF Económicos'!H20)</f>
        <v>4645551</v>
      </c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1"/>
    </row>
    <row r="139" spans="1:25">
      <c r="B139" s="186" t="s">
        <v>95</v>
      </c>
      <c r="C139" s="187">
        <f>IFERROR(C137-C138,"")</f>
        <v>465754</v>
      </c>
      <c r="D139" s="157">
        <f>IFERROR(D137-D138,"")</f>
        <v>1019432</v>
      </c>
      <c r="E139" s="157">
        <f>IFERROR(E137-E138,"")</f>
        <v>1028264</v>
      </c>
      <c r="F139" s="157">
        <f>IFERROR(F137-F138,"")</f>
        <v>1014437</v>
      </c>
      <c r="G139" s="189">
        <f>IFERROR(G137-G138,"")</f>
        <v>1864299</v>
      </c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1"/>
    </row>
    <row r="140" spans="1:25">
      <c r="B140" s="186" t="s">
        <v>456</v>
      </c>
      <c r="C140" s="187"/>
      <c r="D140" s="157">
        <f>IF(C139="","",AVERAGE(C139:D139))</f>
        <v>742593</v>
      </c>
      <c r="E140" s="157">
        <f>IF(D139="","",AVERAGE(D139:E139))</f>
        <v>1023848</v>
      </c>
      <c r="F140" s="157">
        <f>IF(E139="","",AVERAGE(E139:F139))</f>
        <v>1021350.5</v>
      </c>
      <c r="G140" s="189">
        <f>IF(F139="","",AVERAGE(F139:G139))</f>
        <v>1439368</v>
      </c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1"/>
    </row>
    <row r="141" spans="1:25">
      <c r="B141" s="186" t="s">
        <v>457</v>
      </c>
      <c r="C141" s="186"/>
      <c r="D141" s="190"/>
      <c r="E141" s="190"/>
      <c r="F141" s="190"/>
      <c r="G141" s="189" t="e">
        <f>LN(F136)*$E$147+$F$152</f>
        <v>#REF!</v>
      </c>
      <c r="H141" s="157" t="e">
        <f>LN(G136)*$E$147+$F$152</f>
        <v>#REF!</v>
      </c>
      <c r="I141" s="157" t="e">
        <f>LN(H136)*$E$147+$F$152</f>
        <v>#REF!</v>
      </c>
      <c r="J141" s="157" t="e">
        <f>LN(I136)*$E$147+$F$152</f>
        <v>#REF!</v>
      </c>
      <c r="K141" s="157" t="e">
        <f>LN(J136)*$E$147+$F$152</f>
        <v>#REF!</v>
      </c>
      <c r="L141" s="157" t="e">
        <f>LN(K136)*$E$147+$F$152</f>
        <v>#REF!</v>
      </c>
      <c r="M141" s="157" t="e">
        <f>LN(L136)*$E$147+$F$152</f>
        <v>#REF!</v>
      </c>
      <c r="N141" s="157" t="e">
        <f>LN(M136)*$E$147+$F$152</f>
        <v>#REF!</v>
      </c>
      <c r="O141" s="157" t="e">
        <f>LN(N136)*$E$147+$F$152</f>
        <v>#REF!</v>
      </c>
      <c r="P141" s="157" t="e">
        <f>LN(O136)*$E$147+$F$152</f>
        <v>#REF!</v>
      </c>
      <c r="Q141" s="157" t="e">
        <f>LN(P136)*$E$147+$F$152</f>
        <v>#REF!</v>
      </c>
      <c r="R141" s="157" t="e">
        <f>LN(Q136)*$E$147+$F$152</f>
        <v>#REF!</v>
      </c>
      <c r="S141" s="157" t="e">
        <f>LN(R136)*$E$147+$F$152</f>
        <v>#REF!</v>
      </c>
      <c r="T141" s="157" t="e">
        <f>LN(S136)*$E$147+$F$152</f>
        <v>#REF!</v>
      </c>
      <c r="U141" s="157" t="e">
        <f>LN(T136)*$E$147+$F$152</f>
        <v>#REF!</v>
      </c>
      <c r="V141" s="192" t="e">
        <f>LN(U136)*$E$147+$F$152</f>
        <v>#REF!</v>
      </c>
    </row>
    <row r="142" spans="1:25">
      <c r="B142" s="186" t="s">
        <v>458</v>
      </c>
      <c r="C142" s="186"/>
      <c r="D142" s="190"/>
      <c r="E142" s="190"/>
      <c r="F142" s="190"/>
      <c r="G142" s="195" t="e">
        <f>G141/G11</f>
        <v>#REF!</v>
      </c>
      <c r="H142" s="164" t="e">
        <f>H141/H13</f>
        <v>#REF!</v>
      </c>
      <c r="I142" s="164" t="e">
        <f>I141/I13</f>
        <v>#REF!</v>
      </c>
      <c r="J142" s="164" t="e">
        <f>J141/J13</f>
        <v>#REF!</v>
      </c>
      <c r="K142" s="164" t="e">
        <f>K141/K13</f>
        <v>#REF!</v>
      </c>
      <c r="L142" s="164" t="e">
        <f>L141/L13</f>
        <v>#REF!</v>
      </c>
      <c r="M142" s="164" t="e">
        <f>M141/M13</f>
        <v>#REF!</v>
      </c>
      <c r="N142" s="164" t="e">
        <f>N141/N13</f>
        <v>#REF!</v>
      </c>
      <c r="O142" s="164" t="e">
        <f>O141/O13</f>
        <v>#REF!</v>
      </c>
      <c r="P142" s="164" t="e">
        <f>P141/P13</f>
        <v>#REF!</v>
      </c>
      <c r="Q142" s="164" t="e">
        <f>Q141/Q13</f>
        <v>#REF!</v>
      </c>
      <c r="R142" s="164" t="e">
        <f>R141/R13</f>
        <v>#REF!</v>
      </c>
      <c r="S142" s="164" t="e">
        <f>S141/S13</f>
        <v>#REF!</v>
      </c>
      <c r="T142" s="164" t="e">
        <f>T141/T13</f>
        <v>#REF!</v>
      </c>
      <c r="U142" s="164" t="e">
        <f>U141/U13</f>
        <v>#REF!</v>
      </c>
      <c r="V142" s="196" t="e">
        <f>V141/V13</f>
        <v>#REF!</v>
      </c>
    </row>
    <row r="143" spans="1:25">
      <c r="B143" s="186" t="s">
        <v>459</v>
      </c>
      <c r="C143" s="186"/>
      <c r="D143" s="190"/>
      <c r="E143" s="190"/>
      <c r="F143" s="190"/>
      <c r="G143" s="189" t="e">
        <f>$G$142*G10</f>
        <v>#REF!</v>
      </c>
      <c r="H143" s="157" t="e">
        <f>$H$142*H13</f>
        <v>#REF!</v>
      </c>
      <c r="I143" s="157" t="e">
        <f>I142*I13</f>
        <v>#REF!</v>
      </c>
      <c r="J143" s="157" t="e">
        <f>J142*J13</f>
        <v>#REF!</v>
      </c>
      <c r="K143" s="157" t="e">
        <f>K142*K13</f>
        <v>#REF!</v>
      </c>
      <c r="L143" s="157" t="e">
        <f>L142*L13</f>
        <v>#REF!</v>
      </c>
      <c r="M143" s="157" t="e">
        <f>M142*M13</f>
        <v>#REF!</v>
      </c>
      <c r="N143" s="157" t="e">
        <f>N142*N13</f>
        <v>#REF!</v>
      </c>
      <c r="O143" s="157" t="e">
        <f>O142*O13</f>
        <v>#REF!</v>
      </c>
      <c r="P143" s="157" t="e">
        <f>P142*P13</f>
        <v>#REF!</v>
      </c>
      <c r="Q143" s="157" t="e">
        <f>Q142*Q13</f>
        <v>#REF!</v>
      </c>
      <c r="R143" s="157" t="e">
        <f>R142*R13</f>
        <v>#REF!</v>
      </c>
      <c r="S143" s="157" t="e">
        <f>S142*S13</f>
        <v>#REF!</v>
      </c>
      <c r="T143" s="157" t="e">
        <f>T142*T13</f>
        <v>#REF!</v>
      </c>
      <c r="U143" s="157" t="e">
        <f>U142*U13</f>
        <v>#REF!</v>
      </c>
      <c r="V143" s="192" t="e">
        <f>V142*V13</f>
        <v>#REF!</v>
      </c>
    </row>
    <row r="144" spans="1:25">
      <c r="B144" s="198" t="s">
        <v>450</v>
      </c>
      <c r="C144" s="198"/>
      <c r="D144" s="199"/>
      <c r="E144" s="199"/>
      <c r="F144" s="199"/>
      <c r="G144" s="200"/>
      <c r="H144" s="201" t="e">
        <f>H143-G143</f>
        <v>#REF!</v>
      </c>
      <c r="I144" s="201" t="e">
        <f>I143-H143</f>
        <v>#REF!</v>
      </c>
      <c r="J144" s="201" t="e">
        <f>J143-I143</f>
        <v>#REF!</v>
      </c>
      <c r="K144" s="201" t="e">
        <f>K143-J143</f>
        <v>#REF!</v>
      </c>
      <c r="L144" s="201" t="e">
        <f>L143-K143</f>
        <v>#REF!</v>
      </c>
      <c r="M144" s="201" t="e">
        <f>M143-L143</f>
        <v>#REF!</v>
      </c>
      <c r="N144" s="201" t="e">
        <f>N143-M143</f>
        <v>#REF!</v>
      </c>
      <c r="O144" s="201" t="e">
        <f>O143-N143</f>
        <v>#REF!</v>
      </c>
      <c r="P144" s="201" t="e">
        <f>P143-O143</f>
        <v>#REF!</v>
      </c>
      <c r="Q144" s="201" t="e">
        <f>Q143-P143</f>
        <v>#REF!</v>
      </c>
      <c r="R144" s="201" t="e">
        <f>R143-Q143</f>
        <v>#REF!</v>
      </c>
      <c r="S144" s="201" t="e">
        <f>S143-R143</f>
        <v>#REF!</v>
      </c>
      <c r="T144" s="201" t="e">
        <f>T143-S143</f>
        <v>#REF!</v>
      </c>
      <c r="U144" s="201" t="e">
        <f>U143-T143</f>
        <v>#REF!</v>
      </c>
      <c r="V144" s="202" t="e">
        <f>V143-U143</f>
        <v>#REF!</v>
      </c>
    </row>
    <row r="145" spans="1:25"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</row>
    <row r="146" spans="1:25">
      <c r="E146" s="229" t="s">
        <v>440</v>
      </c>
      <c r="F146" s="210" t="s">
        <v>441</v>
      </c>
    </row>
    <row r="147" spans="1:25">
      <c r="E147" s="207" t="e">
        <f>INDEX(LINEST(INDEX(C140:G140,COUNTBLANK(C140:G140)+1):G140,LN(INDEX(C136:G136,COUNTBLANK(C140:G140)):INDEX(C136:G136,4)),TRUE,),1)</f>
        <v>#REF!</v>
      </c>
      <c r="F147" s="208" t="e">
        <f>INDEX(LINEST(INDEX(C140:G140,COUNTBLANK(C140:G140)+1):G140,LN(INDEX(C136:G136,COUNTBLANK(C140:G140)):INDEX(C136:G136,4)),TRUE,),2)</f>
        <v>#REF!</v>
      </c>
    </row>
    <row r="149" spans="1:25">
      <c r="E149" s="773" t="s">
        <v>442</v>
      </c>
      <c r="F149" s="774"/>
    </row>
    <row r="150" spans="1:25">
      <c r="E150" s="211" t="s">
        <v>443</v>
      </c>
      <c r="F150" s="212">
        <f>G140</f>
        <v>1439368</v>
      </c>
    </row>
    <row r="151" spans="1:25">
      <c r="E151" s="213" t="s">
        <v>444</v>
      </c>
      <c r="F151" s="214" t="e">
        <f>LN(F136)*E147+F147</f>
        <v>#REF!</v>
      </c>
    </row>
    <row r="152" spans="1:25">
      <c r="E152" s="215" t="s">
        <v>445</v>
      </c>
      <c r="F152" s="207" t="e">
        <f>F147+F150-F151</f>
        <v>#REF!</v>
      </c>
    </row>
    <row r="156" spans="1:25" customHeight="1" ht="15.6" s="169" customFormat="1">
      <c r="B156" s="168" t="s">
        <v>460</v>
      </c>
      <c r="G156" s="170"/>
    </row>
    <row r="157" spans="1:25" s="190" customFormat="1">
      <c r="B157" s="238"/>
      <c r="G157" s="209"/>
    </row>
    <row r="158" spans="1:25">
      <c r="B158" s="239"/>
    </row>
    <row r="159" spans="1:25">
      <c r="B159" s="775"/>
      <c r="C159" s="171">
        <f>D159-1</f>
        <v>2017</v>
      </c>
      <c r="D159" s="172">
        <f>E159-1</f>
        <v>2018</v>
      </c>
      <c r="E159" s="172">
        <f>F159-1</f>
        <v>2019</v>
      </c>
      <c r="F159" s="172">
        <f>G159-1</f>
        <v>2020</v>
      </c>
      <c r="G159" s="173">
        <v>2021</v>
      </c>
      <c r="H159" s="172">
        <f>G159+1</f>
        <v>2022</v>
      </c>
      <c r="I159" s="172">
        <f>H159+1</f>
        <v>2023</v>
      </c>
      <c r="J159" s="172">
        <f>I159+1</f>
        <v>2024</v>
      </c>
      <c r="K159" s="172">
        <f>J159+1</f>
        <v>2025</v>
      </c>
      <c r="L159" s="172">
        <f>K159+1</f>
        <v>2026</v>
      </c>
      <c r="M159" s="172">
        <f>L159+1</f>
        <v>2027</v>
      </c>
      <c r="N159" s="172">
        <f>M159+1</f>
        <v>2028</v>
      </c>
      <c r="O159" s="172">
        <f>N159+1</f>
        <v>2029</v>
      </c>
      <c r="P159" s="172">
        <f>O159+1</f>
        <v>2030</v>
      </c>
      <c r="Q159" s="172">
        <f>P159+1</f>
        <v>2031</v>
      </c>
      <c r="R159" s="172">
        <f>Q159+1</f>
        <v>2032</v>
      </c>
      <c r="S159" s="172">
        <f>R159+1</f>
        <v>2033</v>
      </c>
      <c r="T159" s="172">
        <f>S159+1</f>
        <v>2034</v>
      </c>
      <c r="U159" s="172">
        <f>T159+1</f>
        <v>2035</v>
      </c>
      <c r="V159" s="174">
        <f>U159+1</f>
        <v>2036</v>
      </c>
    </row>
    <row r="160" spans="1:25">
      <c r="B160" s="776"/>
      <c r="C160" s="240">
        <v>1</v>
      </c>
      <c r="D160" s="241">
        <v>2</v>
      </c>
      <c r="E160" s="241">
        <v>3</v>
      </c>
      <c r="F160" s="241">
        <v>4</v>
      </c>
      <c r="G160" s="242">
        <v>5</v>
      </c>
      <c r="H160" s="178">
        <f>G160+1</f>
        <v>6</v>
      </c>
      <c r="I160" s="178">
        <f>H160+1</f>
        <v>7</v>
      </c>
      <c r="J160" s="178">
        <f>I160+1</f>
        <v>8</v>
      </c>
      <c r="K160" s="178">
        <f>J160+1</f>
        <v>9</v>
      </c>
      <c r="L160" s="178">
        <f>K160+1</f>
        <v>10</v>
      </c>
      <c r="M160" s="178">
        <f>L160+1</f>
        <v>11</v>
      </c>
      <c r="N160" s="178">
        <f>M160+1</f>
        <v>12</v>
      </c>
      <c r="O160" s="178">
        <f>N160+1</f>
        <v>13</v>
      </c>
      <c r="P160" s="178">
        <f>O160+1</f>
        <v>14</v>
      </c>
      <c r="Q160" s="178">
        <f>P160+1</f>
        <v>15</v>
      </c>
      <c r="R160" s="178">
        <f>Q160+1</f>
        <v>16</v>
      </c>
      <c r="S160" s="178">
        <f>R160+1</f>
        <v>17</v>
      </c>
      <c r="T160" s="178">
        <f>S160+1</f>
        <v>18</v>
      </c>
      <c r="U160" s="178">
        <f>T160+1</f>
        <v>19</v>
      </c>
      <c r="V160" s="180">
        <f>U160+1</f>
        <v>20</v>
      </c>
    </row>
    <row r="161" spans="1:25">
      <c r="B161" s="243" t="s">
        <v>434</v>
      </c>
      <c r="C161" s="244">
        <f>'M. por conceptos'!C9</f>
        <v>6949265</v>
      </c>
      <c r="D161" s="245">
        <f>'M. por conceptos'!D9</f>
        <v>8288702</v>
      </c>
      <c r="E161" s="245">
        <f>'M. por conceptos'!E9</f>
        <v>9872187</v>
      </c>
      <c r="F161" s="245">
        <f>'M. por conceptos'!F9</f>
        <v>10131767</v>
      </c>
      <c r="G161" s="246">
        <f>'M. por conceptos'!G9</f>
        <v>12227663</v>
      </c>
      <c r="H161" s="245" t="e">
        <f>'M. por conceptos'!H13</f>
        <v>#REF!</v>
      </c>
      <c r="I161" s="245" t="e">
        <f>'M. por conceptos'!I13</f>
        <v>#REF!</v>
      </c>
      <c r="J161" s="245" t="e">
        <f>'M. por conceptos'!J13</f>
        <v>#REF!</v>
      </c>
      <c r="K161" s="245" t="e">
        <f>'M. por conceptos'!K13</f>
        <v>#REF!</v>
      </c>
      <c r="L161" s="245" t="e">
        <f>'M. por conceptos'!L13</f>
        <v>#REF!</v>
      </c>
      <c r="M161" s="245" t="e">
        <f>'M. por conceptos'!M13</f>
        <v>#REF!</v>
      </c>
      <c r="N161" s="245" t="e">
        <f>'M. por conceptos'!N13</f>
        <v>#REF!</v>
      </c>
      <c r="O161" s="245" t="e">
        <f>'M. por conceptos'!O13</f>
        <v>#REF!</v>
      </c>
      <c r="P161" s="245" t="e">
        <f>'M. por conceptos'!P13</f>
        <v>#REF!</v>
      </c>
      <c r="Q161" s="245" t="e">
        <f>'M. por conceptos'!Q13</f>
        <v>#REF!</v>
      </c>
      <c r="R161" s="245" t="e">
        <f>'M. por conceptos'!R13</f>
        <v>#REF!</v>
      </c>
      <c r="S161" s="245" t="e">
        <f>'M. por conceptos'!S13</f>
        <v>#REF!</v>
      </c>
      <c r="T161" s="245" t="e">
        <f>'M. por conceptos'!T13</f>
        <v>#REF!</v>
      </c>
      <c r="U161" s="245" t="e">
        <f>'M. por conceptos'!U13</f>
        <v>#REF!</v>
      </c>
      <c r="V161" s="247" t="e">
        <f>'M. por conceptos'!V13</f>
        <v>#REF!</v>
      </c>
    </row>
    <row r="162" spans="1:25">
      <c r="B162" s="248" t="s">
        <v>446</v>
      </c>
      <c r="C162" s="249">
        <f>'M. por conceptos'!C26</f>
        <v>5042402</v>
      </c>
      <c r="D162" s="250">
        <f>'M. por conceptos'!D26</f>
        <v>6244012</v>
      </c>
      <c r="E162" s="250">
        <f>'M. por conceptos'!E26</f>
        <v>7420013</v>
      </c>
      <c r="F162" s="250">
        <f>'M. por conceptos'!F26</f>
        <v>7712254</v>
      </c>
      <c r="G162" s="251">
        <f>'M. por conceptos'!G26</f>
        <v>9831454</v>
      </c>
      <c r="H162" s="250" t="e">
        <f>'M. por conceptos'!H30</f>
        <v>#REF!</v>
      </c>
      <c r="I162" s="250" t="e">
        <f>'M. por conceptos'!I30</f>
        <v>#REF!</v>
      </c>
      <c r="J162" s="250" t="e">
        <f>'M. por conceptos'!J30</f>
        <v>#REF!</v>
      </c>
      <c r="K162" s="250" t="e">
        <f>'M. por conceptos'!K30</f>
        <v>#REF!</v>
      </c>
      <c r="L162" s="250" t="e">
        <f>'M. por conceptos'!L30</f>
        <v>#REF!</v>
      </c>
      <c r="M162" s="250" t="e">
        <f>'M. por conceptos'!M30</f>
        <v>#REF!</v>
      </c>
      <c r="N162" s="250" t="e">
        <f>'M. por conceptos'!N30</f>
        <v>#REF!</v>
      </c>
      <c r="O162" s="250" t="e">
        <f>'M. por conceptos'!O30</f>
        <v>#REF!</v>
      </c>
      <c r="P162" s="250" t="e">
        <f>'M. por conceptos'!P30</f>
        <v>#REF!</v>
      </c>
      <c r="Q162" s="250" t="e">
        <f>'M. por conceptos'!Q30</f>
        <v>#REF!</v>
      </c>
      <c r="R162" s="250" t="e">
        <f>'M. por conceptos'!R30</f>
        <v>#REF!</v>
      </c>
      <c r="S162" s="250" t="e">
        <f>'M. por conceptos'!S30</f>
        <v>#REF!</v>
      </c>
      <c r="T162" s="250" t="e">
        <f>'M. por conceptos'!T30</f>
        <v>#REF!</v>
      </c>
      <c r="U162" s="250" t="e">
        <f>'M. por conceptos'!U30</f>
        <v>#REF!</v>
      </c>
      <c r="V162" s="252" t="e">
        <f>'M. por conceptos'!V30</f>
        <v>#REF!</v>
      </c>
    </row>
    <row r="163" spans="1:25">
      <c r="B163" s="253" t="s">
        <v>461</v>
      </c>
      <c r="C163" s="254">
        <f>C161-C162</f>
        <v>1906863</v>
      </c>
      <c r="D163" s="255">
        <f>D161-D162</f>
        <v>2044690</v>
      </c>
      <c r="E163" s="255">
        <f>E161-E162</f>
        <v>2452174</v>
      </c>
      <c r="F163" s="255">
        <f>F161-F162</f>
        <v>2419513</v>
      </c>
      <c r="G163" s="256">
        <f>G161-G162</f>
        <v>2396209</v>
      </c>
      <c r="H163" s="255" t="e">
        <f>H161-H162</f>
        <v>#REF!</v>
      </c>
      <c r="I163" s="255" t="e">
        <f>I161-I162</f>
        <v>#REF!</v>
      </c>
      <c r="J163" s="255" t="e">
        <f>J161-J162</f>
        <v>#REF!</v>
      </c>
      <c r="K163" s="255" t="e">
        <f>K161-K162</f>
        <v>#REF!</v>
      </c>
      <c r="L163" s="255" t="e">
        <f>L161-L162</f>
        <v>#REF!</v>
      </c>
      <c r="M163" s="255" t="e">
        <f>M161-M162</f>
        <v>#REF!</v>
      </c>
      <c r="N163" s="255" t="e">
        <f>N161-N162</f>
        <v>#REF!</v>
      </c>
      <c r="O163" s="255" t="e">
        <f>O161-O162</f>
        <v>#REF!</v>
      </c>
      <c r="P163" s="255" t="e">
        <f>P161-P162</f>
        <v>#REF!</v>
      </c>
      <c r="Q163" s="255" t="e">
        <f>Q161-Q162</f>
        <v>#REF!</v>
      </c>
      <c r="R163" s="255" t="e">
        <f>R161-R162</f>
        <v>#REF!</v>
      </c>
      <c r="S163" s="255" t="e">
        <f>S161-S162</f>
        <v>#REF!</v>
      </c>
      <c r="T163" s="255" t="e">
        <f>T161-T162</f>
        <v>#REF!</v>
      </c>
      <c r="U163" s="255" t="e">
        <f>U161-U162</f>
        <v>#REF!</v>
      </c>
      <c r="V163" s="257" t="e">
        <f>V161-V162</f>
        <v>#REF!</v>
      </c>
    </row>
    <row r="164" spans="1:25">
      <c r="B164" s="258" t="s">
        <v>49</v>
      </c>
      <c r="C164" s="249">
        <f>'M. por conceptos'!C44</f>
        <v>633605</v>
      </c>
      <c r="D164" s="250">
        <f>'M. por conceptos'!D44</f>
        <v>681336</v>
      </c>
      <c r="E164" s="250">
        <f>'M. por conceptos'!E44</f>
        <v>801905</v>
      </c>
      <c r="F164" s="250">
        <f>'M. por conceptos'!F44</f>
        <v>862157</v>
      </c>
      <c r="G164" s="251">
        <f>'M. por conceptos'!G44</f>
        <v>786246</v>
      </c>
      <c r="H164" s="250">
        <f>IFERROR(H48,0)</f>
        <v>0</v>
      </c>
      <c r="I164" s="250">
        <f>IFERROR(I48,0)</f>
        <v>0</v>
      </c>
      <c r="J164" s="250">
        <f>IFERROR(J48,0)</f>
        <v>0</v>
      </c>
      <c r="K164" s="250">
        <f>IFERROR(K48,0)</f>
        <v>0</v>
      </c>
      <c r="L164" s="250">
        <f>IFERROR(L48,0)</f>
        <v>0</v>
      </c>
      <c r="M164" s="250">
        <f>IFERROR(M48,0)</f>
        <v>0</v>
      </c>
      <c r="N164" s="250">
        <f>IFERROR(N48,0)</f>
        <v>0</v>
      </c>
      <c r="O164" s="250">
        <f>IFERROR(O48,0)</f>
        <v>0</v>
      </c>
      <c r="P164" s="250">
        <f>IFERROR(P48,0)</f>
        <v>0</v>
      </c>
      <c r="Q164" s="250">
        <f>IFERROR(Q48,0)</f>
        <v>0</v>
      </c>
      <c r="R164" s="250">
        <f>IFERROR(R48,0)</f>
        <v>0</v>
      </c>
      <c r="S164" s="250">
        <f>IFERROR(S48,0)</f>
        <v>0</v>
      </c>
      <c r="T164" s="250">
        <f>IFERROR(T48,0)</f>
        <v>0</v>
      </c>
      <c r="U164" s="250">
        <f>IFERROR(U48,0)</f>
        <v>0</v>
      </c>
      <c r="V164" s="250">
        <f>IFERROR(V48,0)</f>
        <v>0</v>
      </c>
    </row>
    <row r="165" spans="1:25">
      <c r="B165" s="258" t="s">
        <v>51</v>
      </c>
      <c r="C165" s="249">
        <f>'M. por conceptos'!C62</f>
        <v>487579</v>
      </c>
      <c r="D165" s="250">
        <f>'M. por conceptos'!D62</f>
        <v>603139</v>
      </c>
      <c r="E165" s="250">
        <f>'M. por conceptos'!E62</f>
        <v>651838</v>
      </c>
      <c r="F165" s="250">
        <f>'M. por conceptos'!F62</f>
        <v>688428</v>
      </c>
      <c r="G165" s="251">
        <f>'M. por conceptos'!G62</f>
        <v>732928</v>
      </c>
      <c r="H165" s="250" t="e">
        <f>'M. por conceptos'!H66</f>
        <v>#REF!</v>
      </c>
      <c r="I165" s="250" t="e">
        <f>'M. por conceptos'!I66</f>
        <v>#REF!</v>
      </c>
      <c r="J165" s="250" t="e">
        <f>'M. por conceptos'!J66</f>
        <v>#REF!</v>
      </c>
      <c r="K165" s="250" t="e">
        <f>'M. por conceptos'!K66</f>
        <v>#REF!</v>
      </c>
      <c r="L165" s="250" t="e">
        <f>'M. por conceptos'!L66</f>
        <v>#REF!</v>
      </c>
      <c r="M165" s="250" t="e">
        <f>'M. por conceptos'!M66</f>
        <v>#REF!</v>
      </c>
      <c r="N165" s="250" t="e">
        <f>'M. por conceptos'!N66</f>
        <v>#REF!</v>
      </c>
      <c r="O165" s="250" t="e">
        <f>'M. por conceptos'!O66</f>
        <v>#REF!</v>
      </c>
      <c r="P165" s="250" t="e">
        <f>'M. por conceptos'!P66</f>
        <v>#REF!</v>
      </c>
      <c r="Q165" s="250" t="e">
        <f>'M. por conceptos'!Q66</f>
        <v>#REF!</v>
      </c>
      <c r="R165" s="250" t="e">
        <f>'M. por conceptos'!R66</f>
        <v>#REF!</v>
      </c>
      <c r="S165" s="250" t="e">
        <f>'M. por conceptos'!S66</f>
        <v>#REF!</v>
      </c>
      <c r="T165" s="250" t="e">
        <f>'M. por conceptos'!T66</f>
        <v>#REF!</v>
      </c>
      <c r="U165" s="250" t="e">
        <f>'M. por conceptos'!U66</f>
        <v>#REF!</v>
      </c>
      <c r="V165" s="252" t="e">
        <f>'M. por conceptos'!V66</f>
        <v>#REF!</v>
      </c>
    </row>
    <row r="166" spans="1:25">
      <c r="B166" s="258" t="s">
        <v>462</v>
      </c>
      <c r="C166" s="249">
        <f>'M. por conceptos'!C80</f>
        <v>-42607</v>
      </c>
      <c r="D166" s="250">
        <f>'M. por conceptos'!D80</f>
        <v>26059</v>
      </c>
      <c r="E166" s="250">
        <f>'M. por conceptos'!E80</f>
        <v>-49856</v>
      </c>
      <c r="F166" s="250">
        <f>'M. por conceptos'!F80</f>
        <v>-75085</v>
      </c>
      <c r="G166" s="251">
        <f>'M. por conceptos'!G80</f>
        <v>39531</v>
      </c>
      <c r="H166" s="250" t="e">
        <f>'M. por conceptos'!H84</f>
        <v>#REF!</v>
      </c>
      <c r="I166" s="250" t="e">
        <f>'M. por conceptos'!I84</f>
        <v>#REF!</v>
      </c>
      <c r="J166" s="250" t="e">
        <f>'M. por conceptos'!J84</f>
        <v>#REF!</v>
      </c>
      <c r="K166" s="250" t="e">
        <f>'M. por conceptos'!K84</f>
        <v>#REF!</v>
      </c>
      <c r="L166" s="250" t="e">
        <f>'M. por conceptos'!L84</f>
        <v>#REF!</v>
      </c>
      <c r="M166" s="250" t="e">
        <f>'M. por conceptos'!M84</f>
        <v>#REF!</v>
      </c>
      <c r="N166" s="250" t="e">
        <f>'M. por conceptos'!N84</f>
        <v>#REF!</v>
      </c>
      <c r="O166" s="250" t="e">
        <f>'M. por conceptos'!O84</f>
        <v>#REF!</v>
      </c>
      <c r="P166" s="250" t="e">
        <f>'M. por conceptos'!P84</f>
        <v>#REF!</v>
      </c>
      <c r="Q166" s="250" t="e">
        <f>'M. por conceptos'!Q84</f>
        <v>#REF!</v>
      </c>
      <c r="R166" s="250" t="e">
        <f>'M. por conceptos'!R84</f>
        <v>#REF!</v>
      </c>
      <c r="S166" s="250" t="e">
        <f>'M. por conceptos'!S84</f>
        <v>#REF!</v>
      </c>
      <c r="T166" s="250" t="e">
        <f>'M. por conceptos'!T84</f>
        <v>#REF!</v>
      </c>
      <c r="U166" s="250" t="e">
        <f>'M. por conceptos'!U84</f>
        <v>#REF!</v>
      </c>
      <c r="V166" s="252" t="e">
        <f>'M. por conceptos'!V84</f>
        <v>#REF!</v>
      </c>
    </row>
    <row r="167" spans="1:25">
      <c r="B167" s="253" t="s">
        <v>463</v>
      </c>
      <c r="C167" s="255">
        <f>C163-C164-C165+C166</f>
        <v>743072</v>
      </c>
      <c r="D167" s="255">
        <f>D163-D164-D165+D166</f>
        <v>786274</v>
      </c>
      <c r="E167" s="255">
        <f>E163-E164-E165+E166</f>
        <v>948575</v>
      </c>
      <c r="F167" s="255">
        <f>F163-F164-F165+F166</f>
        <v>793843</v>
      </c>
      <c r="G167" s="256">
        <f>G163-G164-G165+G166</f>
        <v>916566</v>
      </c>
      <c r="H167" s="255" t="e">
        <f>H163-H164-H165+H166</f>
        <v>#REF!</v>
      </c>
      <c r="I167" s="255" t="e">
        <f>I163-I164-I165+I166</f>
        <v>#REF!</v>
      </c>
      <c r="J167" s="255" t="e">
        <f>J163-J164-J165+J166</f>
        <v>#REF!</v>
      </c>
      <c r="K167" s="255" t="e">
        <f>K163-K164-K165+K166</f>
        <v>#REF!</v>
      </c>
      <c r="L167" s="255" t="e">
        <f>L163-L164-L165+L166</f>
        <v>#REF!</v>
      </c>
      <c r="M167" s="255" t="e">
        <f>M163-M164-M165+M166</f>
        <v>#REF!</v>
      </c>
      <c r="N167" s="255" t="e">
        <f>N163-N164-N165+N166</f>
        <v>#REF!</v>
      </c>
      <c r="O167" s="255" t="e">
        <f>O163-O164-O165+O166</f>
        <v>#REF!</v>
      </c>
      <c r="P167" s="255" t="e">
        <f>P163-P164-P165+P166</f>
        <v>#REF!</v>
      </c>
      <c r="Q167" s="255" t="e">
        <f>Q163-Q164-Q165+Q166</f>
        <v>#REF!</v>
      </c>
      <c r="R167" s="255" t="e">
        <f>R163-R164-R165+R166</f>
        <v>#REF!</v>
      </c>
      <c r="S167" s="255" t="e">
        <f>S163-S164-S165+S166</f>
        <v>#REF!</v>
      </c>
      <c r="T167" s="255" t="e">
        <f>T163-T164-T165+T166</f>
        <v>#REF!</v>
      </c>
      <c r="U167" s="255" t="e">
        <f>U163-U164-U165+U166</f>
        <v>#REF!</v>
      </c>
      <c r="V167" s="255" t="e">
        <f>V163-V164-V165+V166</f>
        <v>#REF!</v>
      </c>
    </row>
    <row r="168" spans="1:25">
      <c r="B168" s="248" t="s">
        <v>464</v>
      </c>
      <c r="C168" s="249">
        <f>29.5%*C167</f>
        <v>219206.24</v>
      </c>
      <c r="D168" s="250">
        <f>29.5%*D167</f>
        <v>231950.83</v>
      </c>
      <c r="E168" s="250">
        <f>29.5%*E167</f>
        <v>279829.625</v>
      </c>
      <c r="F168" s="250">
        <f>29.5%*F167</f>
        <v>234183.685</v>
      </c>
      <c r="G168" s="251">
        <f>29.5%*G167</f>
        <v>270386.97</v>
      </c>
      <c r="H168" s="250" t="e">
        <f>29.5%*H167</f>
        <v>#REF!</v>
      </c>
      <c r="I168" s="250" t="e">
        <f>29.5%*I167</f>
        <v>#REF!</v>
      </c>
      <c r="J168" s="250" t="e">
        <f>29.5%*J167</f>
        <v>#REF!</v>
      </c>
      <c r="K168" s="250" t="e">
        <f>29.5%*K167</f>
        <v>#REF!</v>
      </c>
      <c r="L168" s="250" t="e">
        <f>29.5%*L167</f>
        <v>#REF!</v>
      </c>
      <c r="M168" s="250" t="e">
        <f>29.5%*M167</f>
        <v>#REF!</v>
      </c>
      <c r="N168" s="250" t="e">
        <f>29.5%*N167</f>
        <v>#REF!</v>
      </c>
      <c r="O168" s="250" t="e">
        <f>29.5%*O167</f>
        <v>#REF!</v>
      </c>
      <c r="P168" s="250" t="e">
        <f>29.5%*P167</f>
        <v>#REF!</v>
      </c>
      <c r="Q168" s="250" t="e">
        <f>29.5%*Q167</f>
        <v>#REF!</v>
      </c>
      <c r="R168" s="250" t="e">
        <f>29.5%*R167</f>
        <v>#REF!</v>
      </c>
      <c r="S168" s="250" t="e">
        <f>29.5%*S167</f>
        <v>#REF!</v>
      </c>
      <c r="T168" s="250" t="e">
        <f>29.5%*T167</f>
        <v>#REF!</v>
      </c>
      <c r="U168" s="250" t="e">
        <f>29.5%*U167</f>
        <v>#REF!</v>
      </c>
      <c r="V168" s="252" t="e">
        <f>29.5%*V167</f>
        <v>#REF!</v>
      </c>
    </row>
    <row r="169" spans="1:25">
      <c r="B169" s="248" t="s">
        <v>465</v>
      </c>
      <c r="C169" s="249">
        <f>'M. por conceptos'!C98</f>
        <v>164314</v>
      </c>
      <c r="D169" s="250">
        <f>'M. por conceptos'!D98</f>
        <v>202775</v>
      </c>
      <c r="E169" s="250">
        <f>'M. por conceptos'!E98</f>
        <v>298028</v>
      </c>
      <c r="F169" s="250">
        <f>'M. por conceptos'!F98</f>
        <v>286071</v>
      </c>
      <c r="G169" s="251">
        <f>'M. por conceptos'!G98</f>
        <v>232476</v>
      </c>
      <c r="H169" s="250" t="e">
        <f>'M. por conceptos'!H102</f>
        <v>#REF!</v>
      </c>
      <c r="I169" s="250" t="e">
        <f>'M. por conceptos'!I102</f>
        <v>#REF!</v>
      </c>
      <c r="J169" s="250" t="e">
        <f>'M. por conceptos'!J102</f>
        <v>#REF!</v>
      </c>
      <c r="K169" s="250" t="e">
        <f>'M. por conceptos'!K102</f>
        <v>#REF!</v>
      </c>
      <c r="L169" s="250" t="e">
        <f>'M. por conceptos'!L102</f>
        <v>#REF!</v>
      </c>
      <c r="M169" s="250" t="e">
        <f>'M. por conceptos'!M102</f>
        <v>#REF!</v>
      </c>
      <c r="N169" s="250" t="e">
        <f>'M. por conceptos'!N102</f>
        <v>#REF!</v>
      </c>
      <c r="O169" s="250" t="e">
        <f>'M. por conceptos'!O102</f>
        <v>#REF!</v>
      </c>
      <c r="P169" s="250" t="e">
        <f>'M. por conceptos'!P102</f>
        <v>#REF!</v>
      </c>
      <c r="Q169" s="250" t="e">
        <f>'M. por conceptos'!Q102</f>
        <v>#REF!</v>
      </c>
      <c r="R169" s="250" t="e">
        <f>'M. por conceptos'!R102</f>
        <v>#REF!</v>
      </c>
      <c r="S169" s="250" t="e">
        <f>'M. por conceptos'!S102</f>
        <v>#REF!</v>
      </c>
      <c r="T169" s="250" t="e">
        <f>'M. por conceptos'!T102</f>
        <v>#REF!</v>
      </c>
      <c r="U169" s="250" t="e">
        <f>'M. por conceptos'!U102</f>
        <v>#REF!</v>
      </c>
      <c r="V169" s="252" t="e">
        <f>'M. por conceptos'!V102</f>
        <v>#REF!</v>
      </c>
    </row>
    <row r="170" spans="1:25">
      <c r="B170" s="253" t="s">
        <v>466</v>
      </c>
      <c r="C170" s="254">
        <f>C167-C168+C169</f>
        <v>688179.76</v>
      </c>
      <c r="D170" s="255">
        <f>D167-D168+D169</f>
        <v>757098.17</v>
      </c>
      <c r="E170" s="255">
        <f>E167-E168+E169</f>
        <v>966773.375</v>
      </c>
      <c r="F170" s="255">
        <f>F167-F168+F169</f>
        <v>845730.315</v>
      </c>
      <c r="G170" s="256">
        <f>G167-G168+G169</f>
        <v>878655.03</v>
      </c>
      <c r="H170" s="255" t="e">
        <f>H167-H168+H169</f>
        <v>#REF!</v>
      </c>
      <c r="I170" s="255" t="e">
        <f>I167-I168+I169</f>
        <v>#REF!</v>
      </c>
      <c r="J170" s="255" t="e">
        <f>J167-J168+J169</f>
        <v>#REF!</v>
      </c>
      <c r="K170" s="255" t="e">
        <f>K167-K168+K169</f>
        <v>#REF!</v>
      </c>
      <c r="L170" s="255" t="e">
        <f>L167-L168+L169</f>
        <v>#REF!</v>
      </c>
      <c r="M170" s="255" t="e">
        <f>M167-M168+M169</f>
        <v>#REF!</v>
      </c>
      <c r="N170" s="255" t="e">
        <f>N167-N168+N169</f>
        <v>#REF!</v>
      </c>
      <c r="O170" s="255" t="e">
        <f>O167-O168+O169</f>
        <v>#REF!</v>
      </c>
      <c r="P170" s="255" t="e">
        <f>P167-P168+P169</f>
        <v>#REF!</v>
      </c>
      <c r="Q170" s="255" t="e">
        <f>Q167-Q168+Q169</f>
        <v>#REF!</v>
      </c>
      <c r="R170" s="255" t="e">
        <f>R167-R168+R169</f>
        <v>#REF!</v>
      </c>
      <c r="S170" s="255" t="e">
        <f>S167-S168+S169</f>
        <v>#REF!</v>
      </c>
      <c r="T170" s="255" t="e">
        <f>T167-T168+T169</f>
        <v>#REF!</v>
      </c>
      <c r="U170" s="255" t="e">
        <f>U167-U168+U169</f>
        <v>#REF!</v>
      </c>
      <c r="V170" s="257" t="e">
        <f>V167-V168+V169</f>
        <v>#REF!</v>
      </c>
    </row>
    <row r="171" spans="1:25">
      <c r="B171" s="248" t="s">
        <v>92</v>
      </c>
      <c r="C171" s="259"/>
      <c r="D171" s="157">
        <f>-D118</f>
        <v>-835264</v>
      </c>
      <c r="E171" s="157">
        <f>-E118</f>
        <v>-964335</v>
      </c>
      <c r="F171" s="157">
        <f>-F118</f>
        <v>-348770</v>
      </c>
      <c r="G171" s="223">
        <f>-G118</f>
        <v>-105360</v>
      </c>
      <c r="H171" s="250" t="e">
        <f>-'M. por conceptos'!H122</f>
        <v>#REF!</v>
      </c>
      <c r="I171" s="250" t="e">
        <f>-'M. por conceptos'!I122</f>
        <v>#REF!</v>
      </c>
      <c r="J171" s="250" t="e">
        <f>-'M. por conceptos'!J122</f>
        <v>#REF!</v>
      </c>
      <c r="K171" s="250" t="e">
        <f>-'M. por conceptos'!K122</f>
        <v>#REF!</v>
      </c>
      <c r="L171" s="250" t="e">
        <f>-'M. por conceptos'!L122</f>
        <v>#REF!</v>
      </c>
      <c r="M171" s="250" t="e">
        <f>-'M. por conceptos'!M122</f>
        <v>#REF!</v>
      </c>
      <c r="N171" s="250" t="e">
        <f>-'M. por conceptos'!N122</f>
        <v>#REF!</v>
      </c>
      <c r="O171" s="250" t="e">
        <f>-'M. por conceptos'!O122</f>
        <v>#REF!</v>
      </c>
      <c r="P171" s="250" t="e">
        <f>-'M. por conceptos'!P122</f>
        <v>#REF!</v>
      </c>
      <c r="Q171" s="250" t="e">
        <f>-'M. por conceptos'!Q122</f>
        <v>#REF!</v>
      </c>
      <c r="R171" s="250" t="e">
        <f>-'M. por conceptos'!R122</f>
        <v>#REF!</v>
      </c>
      <c r="S171" s="250" t="e">
        <f>-'M. por conceptos'!S122</f>
        <v>#REF!</v>
      </c>
      <c r="T171" s="250" t="e">
        <f>-'M. por conceptos'!T122</f>
        <v>#REF!</v>
      </c>
      <c r="U171" s="250" t="e">
        <f>-'M. por conceptos'!U122</f>
        <v>#REF!</v>
      </c>
      <c r="V171" s="252" t="e">
        <f>-'M. por conceptos'!V122</f>
        <v>#REF!</v>
      </c>
    </row>
    <row r="172" spans="1:25">
      <c r="B172" s="248" t="s">
        <v>467</v>
      </c>
      <c r="C172" s="259"/>
      <c r="D172" s="153">
        <f>-(D139-C139)</f>
        <v>-553678</v>
      </c>
      <c r="E172" s="153">
        <f>-(E139-D139)</f>
        <v>-8832</v>
      </c>
      <c r="F172" s="153">
        <f>-(F139-E139)</f>
        <v>13827</v>
      </c>
      <c r="G172" s="223">
        <f>-(G139-F139)</f>
        <v>-849862</v>
      </c>
      <c r="H172" s="250" t="e">
        <f>-'M. por conceptos'!H144</f>
        <v>#REF!</v>
      </c>
      <c r="I172" s="250" t="e">
        <f>-'M. por conceptos'!I144</f>
        <v>#REF!</v>
      </c>
      <c r="J172" s="250" t="e">
        <f>-'M. por conceptos'!J144</f>
        <v>#REF!</v>
      </c>
      <c r="K172" s="250" t="e">
        <f>-'M. por conceptos'!K144</f>
        <v>#REF!</v>
      </c>
      <c r="L172" s="250" t="e">
        <f>-'M. por conceptos'!L144</f>
        <v>#REF!</v>
      </c>
      <c r="M172" s="250" t="e">
        <f>-'M. por conceptos'!M144</f>
        <v>#REF!</v>
      </c>
      <c r="N172" s="250" t="e">
        <f>-'M. por conceptos'!N144</f>
        <v>#REF!</v>
      </c>
      <c r="O172" s="250" t="e">
        <f>-'M. por conceptos'!O144</f>
        <v>#REF!</v>
      </c>
      <c r="P172" s="250" t="e">
        <f>-'M. por conceptos'!P144</f>
        <v>#REF!</v>
      </c>
      <c r="Q172" s="250" t="e">
        <f>-'M. por conceptos'!Q144</f>
        <v>#REF!</v>
      </c>
      <c r="R172" s="250" t="e">
        <f>-'M. por conceptos'!R144</f>
        <v>#REF!</v>
      </c>
      <c r="S172" s="250" t="e">
        <f>-'M. por conceptos'!S144</f>
        <v>#REF!</v>
      </c>
      <c r="T172" s="250" t="e">
        <f>-'M. por conceptos'!T144</f>
        <v>#REF!</v>
      </c>
      <c r="U172" s="250" t="e">
        <f>-'M. por conceptos'!U144</f>
        <v>#REF!</v>
      </c>
      <c r="V172" s="252" t="e">
        <f>-'M. por conceptos'!V144</f>
        <v>#REF!</v>
      </c>
    </row>
    <row r="173" spans="1:25">
      <c r="B173" s="253" t="s">
        <v>468</v>
      </c>
      <c r="C173" s="260"/>
      <c r="D173" s="255">
        <f>SUM(D170:D172)</f>
        <v>-631843.83</v>
      </c>
      <c r="E173" s="255">
        <f>SUM(E170:E172)</f>
        <v>-6393.625</v>
      </c>
      <c r="F173" s="255">
        <f>SUM(F170:F172)</f>
        <v>510787.315</v>
      </c>
      <c r="G173" s="256">
        <f>SUM(G170:G172)</f>
        <v>-76566.97</v>
      </c>
      <c r="H173" s="255" t="e">
        <f>SUM(H170:H172)</f>
        <v>#REF!</v>
      </c>
      <c r="I173" s="255" t="e">
        <f>SUM(I170:I172)</f>
        <v>#REF!</v>
      </c>
      <c r="J173" s="255" t="e">
        <f>SUM(J170:J172)</f>
        <v>#REF!</v>
      </c>
      <c r="K173" s="255" t="e">
        <f>SUM(K170:K172)</f>
        <v>#REF!</v>
      </c>
      <c r="L173" s="255" t="e">
        <f>SUM(L170:L172)</f>
        <v>#REF!</v>
      </c>
      <c r="M173" s="255" t="e">
        <f>SUM(M170:M172)</f>
        <v>#REF!</v>
      </c>
      <c r="N173" s="255" t="e">
        <f>SUM(N170:N172)</f>
        <v>#REF!</v>
      </c>
      <c r="O173" s="255" t="e">
        <f>SUM(O170:O172)</f>
        <v>#REF!</v>
      </c>
      <c r="P173" s="255" t="e">
        <f>SUM(P170:P172)</f>
        <v>#REF!</v>
      </c>
      <c r="Q173" s="255" t="e">
        <f>SUM(Q170:Q172)</f>
        <v>#REF!</v>
      </c>
      <c r="R173" s="255" t="e">
        <f>SUM(R170:R172)</f>
        <v>#REF!</v>
      </c>
      <c r="S173" s="255" t="e">
        <f>SUM(S170:S172)</f>
        <v>#REF!</v>
      </c>
      <c r="T173" s="255" t="e">
        <f>SUM(T170:T172)</f>
        <v>#REF!</v>
      </c>
      <c r="U173" s="255" t="e">
        <f>SUM(U170:U172)</f>
        <v>#REF!</v>
      </c>
      <c r="V173" s="257" t="e">
        <f>SUM(V170:V172)</f>
        <v>#REF!</v>
      </c>
    </row>
    <row r="174" spans="1:25">
      <c r="B174" s="263" t="s">
        <v>469</v>
      </c>
      <c r="C174" s="186"/>
      <c r="D174" s="190"/>
      <c r="E174" s="190"/>
      <c r="F174" s="190"/>
      <c r="G174" s="209"/>
      <c r="H174" s="190"/>
      <c r="I174" s="190"/>
      <c r="J174" s="190"/>
      <c r="K174" s="190"/>
      <c r="L174" s="190"/>
      <c r="M174" s="190"/>
      <c r="N174" s="190"/>
      <c r="O174" s="190"/>
      <c r="P174" s="264"/>
      <c r="Q174" s="190"/>
      <c r="R174" s="190"/>
      <c r="S174" s="190"/>
      <c r="T174" s="190"/>
      <c r="V174" s="427" t="e">
        <f>V173*(1+'EE.FF Económicos'!D53)/(WACC!I44-'EE.FF Económicos'!D53)</f>
        <v>#REF!</v>
      </c>
    </row>
    <row r="175" spans="1:25">
      <c r="B175" s="197" t="s">
        <v>470</v>
      </c>
      <c r="C175" s="198"/>
      <c r="D175" s="199"/>
      <c r="E175" s="199"/>
      <c r="F175" s="199"/>
      <c r="G175" s="200"/>
      <c r="H175" s="201" t="e">
        <f>H173</f>
        <v>#REF!</v>
      </c>
      <c r="I175" s="201" t="e">
        <f>I173</f>
        <v>#REF!</v>
      </c>
      <c r="J175" s="201" t="e">
        <f>J173</f>
        <v>#REF!</v>
      </c>
      <c r="K175" s="201" t="e">
        <f>K173</f>
        <v>#REF!</v>
      </c>
      <c r="L175" s="201" t="e">
        <f>L173</f>
        <v>#REF!</v>
      </c>
      <c r="M175" s="201" t="e">
        <f>M173</f>
        <v>#REF!</v>
      </c>
      <c r="N175" s="201" t="e">
        <f>N173</f>
        <v>#REF!</v>
      </c>
      <c r="O175" s="201" t="e">
        <f>O173</f>
        <v>#REF!</v>
      </c>
      <c r="P175" s="201" t="e">
        <f>P173</f>
        <v>#REF!</v>
      </c>
      <c r="Q175" s="201" t="e">
        <f>Q173</f>
        <v>#REF!</v>
      </c>
      <c r="R175" s="201" t="e">
        <f>R173</f>
        <v>#REF!</v>
      </c>
      <c r="S175" s="201" t="e">
        <f>S173</f>
        <v>#REF!</v>
      </c>
      <c r="T175" s="201" t="e">
        <f>T173</f>
        <v>#REF!</v>
      </c>
      <c r="U175" s="201" t="e">
        <f>U173</f>
        <v>#REF!</v>
      </c>
      <c r="V175" s="202" t="e">
        <f>V173+V174</f>
        <v>#REF!</v>
      </c>
    </row>
    <row r="177" spans="1:25"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T177" s="265"/>
    </row>
    <row r="178" spans="1:25"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T178" s="265"/>
    </row>
    <row r="179" spans="1:25" customHeight="1" ht="15.6" s="266" customFormat="1">
      <c r="B179" s="168" t="s">
        <v>471</v>
      </c>
      <c r="G179" s="267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T179" s="269"/>
    </row>
    <row r="180" spans="1:25">
      <c r="B180" s="239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T180" s="265"/>
    </row>
    <row r="181" spans="1:25">
      <c r="C181" s="190"/>
      <c r="D181" s="190"/>
      <c r="L181" s="270" t="s">
        <v>472</v>
      </c>
      <c r="M181" s="271" t="s">
        <v>473</v>
      </c>
      <c r="N181" s="272" t="s">
        <v>474</v>
      </c>
      <c r="P181" s="222"/>
      <c r="Q181" s="222"/>
      <c r="T181" s="265"/>
    </row>
    <row r="182" spans="1:25">
      <c r="C182" s="190"/>
      <c r="D182" s="190"/>
      <c r="I182" s="181" t="s">
        <v>475</v>
      </c>
      <c r="J182" s="225"/>
      <c r="K182" s="225"/>
      <c r="L182" s="428">
        <f>NPV(WACC!I44,H175:V175)</f>
        <v>0</v>
      </c>
      <c r="M182" s="219"/>
      <c r="N182" s="191"/>
    </row>
    <row r="183" spans="1:25">
      <c r="C183" s="190"/>
      <c r="D183" s="190"/>
      <c r="I183" s="186" t="s">
        <v>476</v>
      </c>
      <c r="J183" s="190"/>
      <c r="K183" s="190"/>
      <c r="L183" s="428">
        <f>'EE.FF Económicos'!$H$24</f>
        <v>5437375</v>
      </c>
      <c r="M183" s="219"/>
      <c r="N183" s="191"/>
    </row>
    <row r="184" spans="1:25">
      <c r="C184" s="190"/>
      <c r="D184" s="190"/>
      <c r="I184" s="273" t="s">
        <v>80</v>
      </c>
      <c r="J184" s="274"/>
      <c r="K184" s="274"/>
      <c r="L184" s="438">
        <f>L182-L183</f>
        <v>-5437375</v>
      </c>
      <c r="M184" s="275">
        <v>5125509.97255</v>
      </c>
      <c r="N184" s="276">
        <v>8556636.4831</v>
      </c>
    </row>
    <row r="185" spans="1:25">
      <c r="C185" s="190"/>
      <c r="D185" s="190"/>
      <c r="I185" s="277" t="s">
        <v>477</v>
      </c>
      <c r="J185" s="278"/>
      <c r="K185" s="278"/>
      <c r="L185" s="279">
        <f>L184/'Plantilla Usuario'!C5</f>
        <v>-6.4181162315901</v>
      </c>
      <c r="M185" s="304">
        <v>6.05</v>
      </c>
      <c r="N185" s="365">
        <v>10.1</v>
      </c>
    </row>
    <row r="186" spans="1:25">
      <c r="C186" s="190"/>
      <c r="D186" s="190"/>
    </row>
    <row r="187" spans="1:25">
      <c r="C187" s="190"/>
      <c r="D187" s="190"/>
    </row>
    <row r="188" spans="1:25" customHeight="1" ht="15.6" s="266" customFormat="1">
      <c r="B188" s="168" t="s">
        <v>478</v>
      </c>
      <c r="G188" s="267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T188" s="269"/>
    </row>
    <row r="189" spans="1:25" customHeight="1" ht="15.6" s="190" customFormat="1">
      <c r="B189" s="294"/>
      <c r="G189" s="209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T189" s="350"/>
    </row>
    <row r="190" spans="1:25" s="190" customFormat="1">
      <c r="B190" s="381" t="s">
        <v>468</v>
      </c>
      <c r="C190" s="382"/>
      <c r="D190" s="383"/>
      <c r="E190" s="383"/>
      <c r="F190" s="383"/>
      <c r="G190" s="384"/>
      <c r="H190" s="385" t="e">
        <f>H173</f>
        <v>#REF!</v>
      </c>
      <c r="I190" s="385" t="e">
        <f>I173</f>
        <v>#REF!</v>
      </c>
      <c r="J190" s="385" t="e">
        <f>J173</f>
        <v>#REF!</v>
      </c>
      <c r="K190" s="385" t="e">
        <f>K173</f>
        <v>#REF!</v>
      </c>
      <c r="L190" s="385" t="e">
        <f>L173</f>
        <v>#REF!</v>
      </c>
      <c r="M190" s="385" t="e">
        <f>M173</f>
        <v>#REF!</v>
      </c>
      <c r="N190" s="385" t="e">
        <f>N173</f>
        <v>#REF!</v>
      </c>
      <c r="O190" s="385" t="e">
        <f>O173</f>
        <v>#REF!</v>
      </c>
      <c r="P190" s="385" t="e">
        <f>P173</f>
        <v>#REF!</v>
      </c>
      <c r="Q190" s="385" t="e">
        <f>Q173</f>
        <v>#REF!</v>
      </c>
      <c r="R190" s="385" t="e">
        <f>R173</f>
        <v>#REF!</v>
      </c>
      <c r="S190" s="385" t="e">
        <f>S173</f>
        <v>#REF!</v>
      </c>
      <c r="T190" s="385" t="e">
        <f>T173</f>
        <v>#REF!</v>
      </c>
      <c r="U190" s="385" t="e">
        <f>U173</f>
        <v>#REF!</v>
      </c>
      <c r="V190" s="386" t="e">
        <f>V173</f>
        <v>#REF!</v>
      </c>
    </row>
    <row r="191" spans="1:25" s="190" customFormat="1">
      <c r="B191" s="263" t="s">
        <v>469</v>
      </c>
      <c r="C191" s="186"/>
      <c r="G191" s="209"/>
      <c r="P191" s="264"/>
      <c r="U191" s="175"/>
      <c r="V191" s="427" t="e">
        <f>V173*(1+'EE.FF Económicos'!D53)/(WACC!AO38-'EE.FF Económicos'!D53)</f>
        <v>#REF!</v>
      </c>
    </row>
    <row r="192" spans="1:25" s="190" customFormat="1">
      <c r="B192" s="197" t="s">
        <v>470</v>
      </c>
      <c r="C192" s="198"/>
      <c r="D192" s="199"/>
      <c r="E192" s="199"/>
      <c r="F192" s="199"/>
      <c r="G192" s="200"/>
      <c r="H192" s="201" t="e">
        <f>SUM(H190:H191)</f>
        <v>#REF!</v>
      </c>
      <c r="I192" s="201" t="e">
        <f>SUM(I190:I191)</f>
        <v>#REF!</v>
      </c>
      <c r="J192" s="201" t="e">
        <f>SUM(J190:J191)</f>
        <v>#REF!</v>
      </c>
      <c r="K192" s="201" t="e">
        <f>SUM(K190:K191)</f>
        <v>#REF!</v>
      </c>
      <c r="L192" s="201" t="e">
        <f>SUM(L190:L191)</f>
        <v>#REF!</v>
      </c>
      <c r="M192" s="201" t="e">
        <f>SUM(M190:M191)</f>
        <v>#REF!</v>
      </c>
      <c r="N192" s="201" t="e">
        <f>SUM(N190:N191)</f>
        <v>#REF!</v>
      </c>
      <c r="O192" s="201" t="e">
        <f>SUM(O190:O191)</f>
        <v>#REF!</v>
      </c>
      <c r="P192" s="201" t="e">
        <f>SUM(P190:P191)</f>
        <v>#REF!</v>
      </c>
      <c r="Q192" s="201" t="e">
        <f>SUM(Q190:Q191)</f>
        <v>#REF!</v>
      </c>
      <c r="R192" s="201" t="e">
        <f>SUM(R190:R191)</f>
        <v>#REF!</v>
      </c>
      <c r="S192" s="201" t="e">
        <f>SUM(S190:S191)</f>
        <v>#REF!</v>
      </c>
      <c r="T192" s="201" t="e">
        <f>SUM(T190:T191)</f>
        <v>#REF!</v>
      </c>
      <c r="U192" s="201" t="e">
        <f>SUM(U190:U191)</f>
        <v>#REF!</v>
      </c>
      <c r="V192" s="202" t="e">
        <f>SUM(V190:V191)</f>
        <v>#REF!</v>
      </c>
    </row>
    <row r="193" spans="1:25">
      <c r="C193" s="190"/>
      <c r="D193" s="190"/>
    </row>
    <row r="194" spans="1:25">
      <c r="C194" s="190"/>
      <c r="D194" s="190"/>
      <c r="L194" s="270" t="s">
        <v>472</v>
      </c>
      <c r="M194" s="271" t="s">
        <v>473</v>
      </c>
      <c r="N194" s="272" t="s">
        <v>474</v>
      </c>
    </row>
    <row r="195" spans="1:25">
      <c r="C195" s="190"/>
      <c r="D195" s="190"/>
      <c r="I195" s="181" t="s">
        <v>475</v>
      </c>
      <c r="J195" s="225"/>
      <c r="K195" s="225"/>
      <c r="L195" s="428">
        <f>NPV(WACC!AO38,H192:V192)</f>
        <v>0</v>
      </c>
      <c r="M195" s="219"/>
      <c r="N195" s="191"/>
    </row>
    <row r="196" spans="1:25">
      <c r="C196" s="190"/>
      <c r="D196" s="190"/>
      <c r="I196" s="186" t="s">
        <v>476</v>
      </c>
      <c r="J196" s="190"/>
      <c r="K196" s="190"/>
      <c r="L196" s="430">
        <f>'EE.FF Económicos'!$H$24</f>
        <v>5437375</v>
      </c>
      <c r="M196" s="219"/>
      <c r="N196" s="191"/>
    </row>
    <row r="197" spans="1:25">
      <c r="C197" s="190"/>
      <c r="D197" s="190"/>
      <c r="I197" s="273" t="s">
        <v>80</v>
      </c>
      <c r="J197" s="274"/>
      <c r="K197" s="274"/>
      <c r="L197" s="438">
        <f>L195-L196</f>
        <v>-5437375</v>
      </c>
      <c r="M197" s="275">
        <v>5125509.97255</v>
      </c>
      <c r="N197" s="276">
        <v>8556636.4831</v>
      </c>
    </row>
    <row r="198" spans="1:25">
      <c r="C198" s="190"/>
      <c r="D198" s="190"/>
      <c r="I198" s="277" t="s">
        <v>477</v>
      </c>
      <c r="J198" s="278"/>
      <c r="K198" s="278"/>
      <c r="L198" s="279">
        <f>L197/'Plantilla Usuario'!C5</f>
        <v>-6.4181162315901</v>
      </c>
      <c r="M198" s="304">
        <v>6.05</v>
      </c>
      <c r="N198" s="365">
        <v>10.1</v>
      </c>
    </row>
    <row r="199" spans="1:25">
      <c r="C199" s="190"/>
      <c r="D199" s="190"/>
    </row>
    <row r="200" spans="1:25">
      <c r="B200" s="614" t="s">
        <v>60</v>
      </c>
      <c r="C200" s="615" t="s">
        <v>61</v>
      </c>
      <c r="D200" s="190"/>
    </row>
    <row r="201" spans="1:25">
      <c r="B201" s="612" t="s">
        <v>479</v>
      </c>
      <c r="C201" s="613">
        <f>+L184</f>
        <v>-5437375</v>
      </c>
      <c r="L201" s="280"/>
    </row>
    <row r="202" spans="1:25">
      <c r="B202" s="612" t="s">
        <v>480</v>
      </c>
      <c r="C202" s="613">
        <f>+L197</f>
        <v>-5437375</v>
      </c>
    </row>
    <row r="203" spans="1:25">
      <c r="B203" s="616" t="s">
        <v>477</v>
      </c>
      <c r="C203" s="617">
        <f>+L198</f>
        <v>-6.4181162315901</v>
      </c>
    </row>
    <row r="206" spans="1:25">
      <c r="A206" s="175"/>
    </row>
  </sheetData>
  <mergeCells>
    <mergeCell ref="B115:B116"/>
    <mergeCell ref="E127:F127"/>
    <mergeCell ref="B135:B136"/>
    <mergeCell ref="E149:F149"/>
    <mergeCell ref="B159:B160"/>
    <mergeCell ref="E107:F107"/>
    <mergeCell ref="B7:B8"/>
    <mergeCell ref="E18:F18"/>
    <mergeCell ref="B24:B25"/>
    <mergeCell ref="E35:F35"/>
    <mergeCell ref="B42:B43"/>
    <mergeCell ref="E53:F53"/>
    <mergeCell ref="B60:B61"/>
    <mergeCell ref="E71:F71"/>
    <mergeCell ref="B78:B79"/>
    <mergeCell ref="E89:F89"/>
    <mergeCell ref="B96:B97"/>
  </mergeCells>
  <conditionalFormatting sqref="H12:V12">
    <cfRule type="cellIs" dxfId="4" priority="1" operator="equal">
      <formula>0.015</formula>
    </cfRule>
  </conditionalFormatting>
  <conditionalFormatting sqref="H29:V29">
    <cfRule type="cellIs" dxfId="4" priority="2" operator="equal">
      <formula>0.015</formula>
    </cfRule>
  </conditionalFormatting>
  <conditionalFormatting sqref="H47:V47">
    <cfRule type="cellIs" dxfId="4" priority="3" operator="equal">
      <formula>0.015</formula>
    </cfRule>
  </conditionalFormatting>
  <conditionalFormatting sqref="H65:V65">
    <cfRule type="cellIs" dxfId="4" priority="4" operator="equal">
      <formula>0.015</formula>
    </cfRule>
  </conditionalFormatting>
  <conditionalFormatting sqref="H83:V83">
    <cfRule type="cellIs" dxfId="4" priority="5" operator="equal">
      <formula>0.015</formula>
    </cfRule>
  </conditionalFormatting>
  <conditionalFormatting sqref="H101:V101">
    <cfRule type="cellIs" dxfId="4" priority="6" operator="equal">
      <formula>0.015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1">
    <tablePart r:id="rId_table_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0"/>
  <sheetViews>
    <sheetView tabSelected="0" workbookViewId="0" zoomScale="55" zoomScaleNormal="55" showGridLines="true" showRowColHeaders="1">
      <selection activeCell="H50" sqref="H50"/>
    </sheetView>
  </sheetViews>
  <sheetFormatPr defaultRowHeight="14.4" defaultColWidth="11.5546875" outlineLevelRow="0" outlineLevelCol="0"/>
  <cols>
    <col min="1" max="1" width="11.5546875" style="127"/>
    <col min="2" max="2" width="5.33203125" customWidth="true" style="126"/>
    <col min="3" max="3" width="50.44140625" customWidth="true" style="127"/>
    <col min="4" max="4" width="16.109375" customWidth="true" style="127"/>
    <col min="5" max="5" width="16.109375" customWidth="true" style="127"/>
    <col min="6" max="6" width="15.6640625" customWidth="true" style="127"/>
    <col min="7" max="7" width="16.109375" customWidth="true" style="127"/>
    <col min="8" max="8" width="16.88671875" customWidth="true" style="127"/>
    <col min="9" max="9" width="11.5546875" style="127"/>
    <col min="10" max="10" width="12.6640625" customWidth="true" style="127"/>
    <col min="11" max="11" width="11.5546875" style="127"/>
  </cols>
  <sheetData>
    <row r="2" spans="1:11">
      <c r="B2" s="147" t="s">
        <v>481</v>
      </c>
      <c r="C2" s="148" t="s">
        <v>15</v>
      </c>
      <c r="D2" s="149">
        <f>IFERROR(IF(E2&gt;'Plantilla Usuario'!$C$7,E2-1,""),"")</f>
        <v>2017</v>
      </c>
      <c r="E2" s="149">
        <f>IFERROR(IF(F2&gt;'Plantilla Usuario'!$C$7,F2-1,""),"")</f>
        <v>2018</v>
      </c>
      <c r="F2" s="149">
        <f>IFERROR(IF(G2&gt;'Plantilla Usuario'!$C$7,G2-1,""),"")</f>
        <v>2019</v>
      </c>
      <c r="G2" s="149">
        <f>IFERROR(IF(H2&gt;'Plantilla Usuario'!$C$7,H2-1,""),"")</f>
        <v>2020</v>
      </c>
      <c r="H2" s="149">
        <f>'Plantilla Usuario'!C8</f>
        <v>2021</v>
      </c>
      <c r="J2" s="150"/>
    </row>
    <row r="3" spans="1:11">
      <c r="B3" s="126">
        <v>1</v>
      </c>
      <c r="C3" s="151"/>
      <c r="D3" s="152">
        <f>IFERROR(IF(E3-1&lt;1,"",E3-1),"")</f>
        <v>1</v>
      </c>
      <c r="E3" s="152">
        <f>IFERROR(IF(F3-1&lt;1,"",F3-1),"")</f>
        <v>2</v>
      </c>
      <c r="F3" s="152">
        <f>IFERROR(IF(G3-1&lt;1,"",G3-1),"")</f>
        <v>3</v>
      </c>
      <c r="G3" s="152">
        <f>IFERROR(IF(H3-1&lt;1,"",H3-1),"")</f>
        <v>4</v>
      </c>
      <c r="H3" s="152">
        <f>5-COUNTBLANK(D2:H2)</f>
        <v>5</v>
      </c>
      <c r="J3" s="412"/>
    </row>
    <row r="4" spans="1:11">
      <c r="B4" s="126">
        <v>2</v>
      </c>
      <c r="C4" s="127" t="s">
        <v>16</v>
      </c>
      <c r="D4" s="153">
        <f>IF('EE.FF Económicos'!$D$54="Soles",HLOOKUP(D$2,'Plantilla Usuario'!$B$10:$I$54,$B4),HLOOKUP(D$2,'Plantilla Usuario'!$B$10:$I$54,$B4)/VLOOKUP($H$2,Tablas!$B$52:$C$59,2))</f>
        <v>3289719</v>
      </c>
      <c r="E4" s="153">
        <f>IF('EE.FF Económicos'!$D$54="Soles",HLOOKUP(E$2,'Plantilla Usuario'!$B$10:$I$54,$B4),HLOOKUP(E$2,'Plantilla Usuario'!$B$10:$I$54,$B4)/VLOOKUP($H$2,Tablas!$B$52:$C$59,2))</f>
        <v>4103986</v>
      </c>
      <c r="F4" s="153">
        <f>IF('EE.FF Económicos'!$D$54="Soles",HLOOKUP(F$2,'Plantilla Usuario'!$B$10:$I$54,$B4),HLOOKUP(F$2,'Plantilla Usuario'!$B$10:$I$54,$B4)/VLOOKUP($H$2,Tablas!$B$52:$C$59,2))</f>
        <v>4490817</v>
      </c>
      <c r="G4" s="153">
        <f>IF('EE.FF Económicos'!$D$54="Soles",HLOOKUP(G$2,'Plantilla Usuario'!$B$10:$I$54,$B4),HLOOKUP(G$2,'Plantilla Usuario'!$B$10:$I$54,$B4)/VLOOKUP($H$2,Tablas!$B$52:$C$59,2))</f>
        <v>4618768</v>
      </c>
      <c r="H4" s="153">
        <f>IF('EE.FF Económicos'!$D$54="Soles",HLOOKUP(H$2,'Plantilla Usuario'!$B$10:$I$54,$B4),HLOOKUP(H$2,'Plantilla Usuario'!$B$10:$I$54,$B4)/VLOOKUP($H$2,Tablas!$B$52:$C$59,2))</f>
        <v>6509850</v>
      </c>
      <c r="J4" s="411"/>
      <c r="K4" s="363"/>
    </row>
    <row r="5" spans="1:11">
      <c r="B5" s="126">
        <v>3</v>
      </c>
      <c r="C5" s="127" t="s">
        <v>17</v>
      </c>
      <c r="D5" s="153">
        <f>IF('EE.FF Económicos'!$D$54="Soles",HLOOKUP(D$2,'Plantilla Usuario'!$B$10:$I$54,$B5),HLOOKUP(D$2,'Plantilla Usuario'!$B$10:$I$54,$B5)/VLOOKUP($H$2,Tablas!$B$52:$C$59,2))</f>
        <v>0</v>
      </c>
      <c r="E5" s="153">
        <f>IF('EE.FF Económicos'!$D$54="Soles",HLOOKUP(E$2,'Plantilla Usuario'!$B$10:$I$54,$B5),HLOOKUP(E$2,'Plantilla Usuario'!$B$10:$I$54,$B5)/VLOOKUP($H$2,Tablas!$B$52:$C$59,2))</f>
        <v>0</v>
      </c>
      <c r="F5" s="153">
        <f>IF('EE.FF Económicos'!$D$54="Soles",HLOOKUP(F$2,'Plantilla Usuario'!$B$10:$I$54,$B5),HLOOKUP(F$2,'Plantilla Usuario'!$B$10:$I$54,$B5)/VLOOKUP($H$2,Tablas!$B$52:$C$59,2))</f>
        <v>0</v>
      </c>
      <c r="G5" s="153">
        <f>IF('EE.FF Económicos'!$D$54="Soles",HLOOKUP(G$2,'Plantilla Usuario'!$B$10:$I$54,$B5),HLOOKUP(G$2,'Plantilla Usuario'!$B$10:$I$54,$B5)/VLOOKUP($H$2,Tablas!$B$52:$C$59,2))</f>
        <v>0</v>
      </c>
      <c r="H5" s="153">
        <f>IF('EE.FF Económicos'!$D$54="Soles",HLOOKUP(H$2,'Plantilla Usuario'!$B$10:$I$54,$B5),HLOOKUP(H$2,'Plantilla Usuario'!$B$10:$I$54,$B5)/VLOOKUP($H$2,Tablas!$B$52:$C$59,2))</f>
        <v>0</v>
      </c>
      <c r="J5" s="413"/>
    </row>
    <row r="6" spans="1:11">
      <c r="B6" s="126">
        <v>4</v>
      </c>
      <c r="C6" s="127" t="s">
        <v>18</v>
      </c>
      <c r="D6" s="153">
        <f>IF('EE.FF Económicos'!$D$54="Soles",HLOOKUP(D$2,'Plantilla Usuario'!$B$10:$I$54,$B6),HLOOKUP(D$2,'Plantilla Usuario'!$B$10:$I$54,$B6)/VLOOKUP($H$2,Tablas!$B$52:$C$59,2))</f>
        <v>0</v>
      </c>
      <c r="E6" s="153">
        <f>IF('EE.FF Económicos'!$D$54="Soles",HLOOKUP(E$2,'Plantilla Usuario'!$B$10:$I$54,$B6),HLOOKUP(E$2,'Plantilla Usuario'!$B$10:$I$54,$B6)/VLOOKUP($H$2,Tablas!$B$52:$C$59,2))</f>
        <v>0</v>
      </c>
      <c r="F6" s="153">
        <f>IF('EE.FF Económicos'!$D$54="Soles",HLOOKUP(F$2,'Plantilla Usuario'!$B$10:$I$54,$B6),HLOOKUP(F$2,'Plantilla Usuario'!$B$10:$I$54,$B6)/VLOOKUP($H$2,Tablas!$B$52:$C$59,2))</f>
        <v>0</v>
      </c>
      <c r="G6" s="153">
        <f>IF('EE.FF Económicos'!$D$54="Soles",HLOOKUP(G$2,'Plantilla Usuario'!$B$10:$I$54,$B6),HLOOKUP(G$2,'Plantilla Usuario'!$B$10:$I$54,$B6)/VLOOKUP($H$2,Tablas!$B$52:$C$59,2))</f>
        <v>0</v>
      </c>
      <c r="H6" s="153">
        <f>IF('EE.FF Económicos'!$D$54="Soles",HLOOKUP(H$2,'Plantilla Usuario'!$B$10:$I$54,$B6),HLOOKUP(H$2,'Plantilla Usuario'!$B$10:$I$54,$B6)/VLOOKUP($H$2,Tablas!$B$52:$C$59,2))</f>
        <v>0</v>
      </c>
    </row>
    <row r="7" spans="1:11">
      <c r="B7" s="126">
        <v>5</v>
      </c>
      <c r="C7" s="127" t="s">
        <v>19</v>
      </c>
      <c r="D7" s="153">
        <f>IF('EE.FF Económicos'!$D$54="Soles",HLOOKUP(D$2,'Plantilla Usuario'!$B$10:$I$54,$B7),HLOOKUP(D$2,'Plantilla Usuario'!$B$10:$I$54,$B7)/VLOOKUP($H$2,Tablas!$B$52:$C$59,2))</f>
        <v>0</v>
      </c>
      <c r="E7" s="153">
        <f>IF('EE.FF Económicos'!$D$54="Soles",HLOOKUP(E$2,'Plantilla Usuario'!$B$10:$I$54,$B7),HLOOKUP(E$2,'Plantilla Usuario'!$B$10:$I$54,$B7)/VLOOKUP($H$2,Tablas!$B$52:$C$59,2))</f>
        <v>0</v>
      </c>
      <c r="F7" s="153">
        <f>IF('EE.FF Económicos'!$D$54="Soles",HLOOKUP(F$2,'Plantilla Usuario'!$B$10:$I$54,$B7),HLOOKUP(F$2,'Plantilla Usuario'!$B$10:$I$54,$B7)/VLOOKUP($H$2,Tablas!$B$52:$C$59,2))</f>
        <v>0</v>
      </c>
      <c r="G7" s="153">
        <f>IF('EE.FF Económicos'!$D$54="Soles",HLOOKUP(G$2,'Plantilla Usuario'!$B$10:$I$54,$B7),HLOOKUP(G$2,'Plantilla Usuario'!$B$10:$I$54,$B7)/VLOOKUP($H$2,Tablas!$B$52:$C$59,2))</f>
        <v>0</v>
      </c>
      <c r="H7" s="153">
        <f>IF('EE.FF Económicos'!$D$54="Soles",HLOOKUP(H$2,'Plantilla Usuario'!$B$10:$I$54,$B7),HLOOKUP(H$2,'Plantilla Usuario'!$B$10:$I$54,$B7)/VLOOKUP($H$2,Tablas!$B$52:$C$59,2))</f>
        <v>0</v>
      </c>
    </row>
    <row r="8" spans="1:11">
      <c r="B8" s="126">
        <v>6</v>
      </c>
      <c r="C8" s="129" t="s">
        <v>20</v>
      </c>
      <c r="D8" s="268">
        <f>IF('EE.FF Económicos'!$D$54="Soles",HLOOKUP(D$2,'Plantilla Usuario'!$B$10:$I$54,$B8),HLOOKUP(D$2,'Plantilla Usuario'!$B$10:$I$54,$B8)/VLOOKUP($H$2,Tablas!$B$52:$C$59,2))</f>
        <v>3289719</v>
      </c>
      <c r="E8" s="268">
        <f>IF('EE.FF Económicos'!$D$54="Soles",HLOOKUP(E$2,'Plantilla Usuario'!$B$10:$I$54,$B8),HLOOKUP(E$2,'Plantilla Usuario'!$B$10:$I$54,$B8)/VLOOKUP($H$2,Tablas!$B$52:$C$59,2))</f>
        <v>4103986</v>
      </c>
      <c r="F8" s="268">
        <f>IF('EE.FF Económicos'!$D$54="Soles",HLOOKUP(F$2,'Plantilla Usuario'!$B$10:$I$54,$B8),HLOOKUP(F$2,'Plantilla Usuario'!$B$10:$I$54,$B8)/VLOOKUP($H$2,Tablas!$B$52:$C$59,2))</f>
        <v>4490817</v>
      </c>
      <c r="G8" s="268">
        <f>IF('EE.FF Económicos'!$D$54="Soles",HLOOKUP(G$2,'Plantilla Usuario'!$B$10:$I$54,$B8),HLOOKUP(G$2,'Plantilla Usuario'!$B$10:$I$54,$B8)/VLOOKUP($H$2,Tablas!$B$52:$C$59,2))</f>
        <v>4618768</v>
      </c>
      <c r="H8" s="268">
        <f>IF('EE.FF Económicos'!$D$54="Soles",HLOOKUP(H$2,'Plantilla Usuario'!$B$10:$I$54,$B8),HLOOKUP(H$2,'Plantilla Usuario'!$B$10:$I$54,$B8)/VLOOKUP($H$2,Tablas!$B$52:$C$59,2))</f>
        <v>6509850</v>
      </c>
    </row>
    <row r="9" spans="1:11">
      <c r="B9" s="126">
        <v>7</v>
      </c>
      <c r="C9" s="127" t="s">
        <v>17</v>
      </c>
      <c r="D9" s="153">
        <f>IF('EE.FF Económicos'!$D$54="Soles",HLOOKUP(D$2,'Plantilla Usuario'!$B$10:$I$54,$B9),HLOOKUP(D$2,'Plantilla Usuario'!$B$10:$I$54,$B9)/VLOOKUP($H$2,Tablas!$B$52:$C$59,2))</f>
        <v>3826276</v>
      </c>
      <c r="E9" s="153">
        <f>IF('EE.FF Económicos'!$D$54="Soles",HLOOKUP(E$2,'Plantilla Usuario'!$B$10:$I$54,$B9),HLOOKUP(E$2,'Plantilla Usuario'!$B$10:$I$54,$B9)/VLOOKUP($H$2,Tablas!$B$52:$C$59,2))</f>
        <v>4955240</v>
      </c>
      <c r="F9" s="153">
        <f>IF('EE.FF Económicos'!$D$54="Soles",HLOOKUP(F$2,'Plantilla Usuario'!$B$10:$I$54,$B9),HLOOKUP(F$2,'Plantilla Usuario'!$B$10:$I$54,$B9)/VLOOKUP($H$2,Tablas!$B$52:$C$59,2))</f>
        <v>6751464</v>
      </c>
      <c r="G9" s="153">
        <f>IF('EE.FF Económicos'!$D$54="Soles",HLOOKUP(G$2,'Plantilla Usuario'!$B$10:$I$54,$B9),HLOOKUP(G$2,'Plantilla Usuario'!$B$10:$I$54,$B9)/VLOOKUP($H$2,Tablas!$B$52:$C$59,2))</f>
        <v>7031343</v>
      </c>
      <c r="H9" s="153">
        <f>IF('EE.FF Económicos'!$D$54="Soles",HLOOKUP(H$2,'Plantilla Usuario'!$B$10:$I$54,$B9),HLOOKUP(H$2,'Plantilla Usuario'!$B$10:$I$54,$B9)/VLOOKUP($H$2,Tablas!$B$52:$C$59,2))</f>
        <v>6898453</v>
      </c>
    </row>
    <row r="10" spans="1:11">
      <c r="B10" s="126">
        <v>8</v>
      </c>
      <c r="C10" s="127" t="s">
        <v>21</v>
      </c>
      <c r="D10" s="153">
        <f>IF('EE.FF Económicos'!$D$54="Soles",HLOOKUP(D$2,'Plantilla Usuario'!$B$10:$I$54,$B10),HLOOKUP(D$2,'Plantilla Usuario'!$B$10:$I$54,$B10)/VLOOKUP($H$2,Tablas!$B$52:$C$59,2))</f>
        <v>0</v>
      </c>
      <c r="E10" s="153">
        <f>IF('EE.FF Económicos'!$D$54="Soles",HLOOKUP(E$2,'Plantilla Usuario'!$B$10:$I$54,$B10),HLOOKUP(E$2,'Plantilla Usuario'!$B$10:$I$54,$B10)/VLOOKUP($H$2,Tablas!$B$52:$C$59,2))</f>
        <v>0</v>
      </c>
      <c r="F10" s="153">
        <f>IF('EE.FF Económicos'!$D$54="Soles",HLOOKUP(F$2,'Plantilla Usuario'!$B$10:$I$54,$B10),HLOOKUP(F$2,'Plantilla Usuario'!$B$10:$I$54,$B10)/VLOOKUP($H$2,Tablas!$B$52:$C$59,2))</f>
        <v>0</v>
      </c>
      <c r="G10" s="153">
        <f>IF('EE.FF Económicos'!$D$54="Soles",HLOOKUP(G$2,'Plantilla Usuario'!$B$10:$I$54,$B10),HLOOKUP(G$2,'Plantilla Usuario'!$B$10:$I$54,$B10)/VLOOKUP($H$2,Tablas!$B$52:$C$59,2))</f>
        <v>0</v>
      </c>
      <c r="H10" s="153">
        <f>IF('EE.FF Económicos'!$D$54="Soles",HLOOKUP(H$2,'Plantilla Usuario'!$B$10:$I$54,$B10),HLOOKUP(H$2,'Plantilla Usuario'!$B$10:$I$54,$B10)/VLOOKUP($H$2,Tablas!$B$52:$C$59,2))</f>
        <v>0</v>
      </c>
    </row>
    <row r="11" spans="1:11">
      <c r="B11" s="126">
        <v>9</v>
      </c>
      <c r="C11" s="127" t="s">
        <v>22</v>
      </c>
      <c r="D11" s="153">
        <f>IF('EE.FF Económicos'!$D$54="Soles",HLOOKUP(D$2,'Plantilla Usuario'!$B$10:$I$54,$B11),HLOOKUP(D$2,'Plantilla Usuario'!$B$10:$I$54,$B11)/VLOOKUP($H$2,Tablas!$B$52:$C$59,2))</f>
        <v>1865624</v>
      </c>
      <c r="E11" s="153">
        <f>IF('EE.FF Económicos'!$D$54="Soles",HLOOKUP(E$2,'Plantilla Usuario'!$B$10:$I$54,$B11),HLOOKUP(E$2,'Plantilla Usuario'!$B$10:$I$54,$B11)/VLOOKUP($H$2,Tablas!$B$52:$C$59,2))</f>
        <v>2537852</v>
      </c>
      <c r="F11" s="153">
        <f>IF('EE.FF Económicos'!$D$54="Soles",HLOOKUP(F$2,'Plantilla Usuario'!$B$10:$I$54,$B11),HLOOKUP(F$2,'Plantilla Usuario'!$B$10:$I$54,$B11)/VLOOKUP($H$2,Tablas!$B$52:$C$59,2))</f>
        <v>3323015</v>
      </c>
      <c r="G11" s="153">
        <f>IF('EE.FF Económicos'!$D$54="Soles",HLOOKUP(G$2,'Plantilla Usuario'!$B$10:$I$54,$B11),HLOOKUP(G$2,'Plantilla Usuario'!$B$10:$I$54,$B11)/VLOOKUP($H$2,Tablas!$B$52:$C$59,2))</f>
        <v>3410774</v>
      </c>
      <c r="H11" s="153">
        <f>IF('EE.FF Económicos'!$D$54="Soles",HLOOKUP(H$2,'Plantilla Usuario'!$B$10:$I$54,$B11),HLOOKUP(H$2,'Plantilla Usuario'!$B$10:$I$54,$B11)/VLOOKUP($H$2,Tablas!$B$52:$C$59,2))</f>
        <v>3343589</v>
      </c>
    </row>
    <row r="12" spans="1:11">
      <c r="B12" s="126">
        <v>10</v>
      </c>
      <c r="C12" s="127" t="s">
        <v>482</v>
      </c>
      <c r="D12" s="153">
        <f>IF('EE.FF Económicos'!$D$54="Soles",HLOOKUP(D$2,'Plantilla Usuario'!$B$10:$I$54,$B12),HLOOKUP(D$2,'Plantilla Usuario'!$B$10:$I$54,$B12)/VLOOKUP($H$2,Tablas!$B$52:$C$59,2))</f>
        <v>1198090</v>
      </c>
      <c r="E12" s="153">
        <f>IF('EE.FF Económicos'!$D$54="Soles",HLOOKUP(E$2,'Plantilla Usuario'!$B$10:$I$54,$B12),HLOOKUP(E$2,'Plantilla Usuario'!$B$10:$I$54,$B12)/VLOOKUP($H$2,Tablas!$B$52:$C$59,2))</f>
        <v>1361126</v>
      </c>
      <c r="F12" s="153">
        <f>IF('EE.FF Económicos'!$D$54="Soles",HLOOKUP(F$2,'Plantilla Usuario'!$B$10:$I$54,$B12),HLOOKUP(F$2,'Plantilla Usuario'!$B$10:$I$54,$B12)/VLOOKUP($H$2,Tablas!$B$52:$C$59,2))</f>
        <v>1540298</v>
      </c>
      <c r="G12" s="153">
        <f>IF('EE.FF Económicos'!$D$54="Soles",HLOOKUP(G$2,'Plantilla Usuario'!$B$10:$I$54,$B12),HLOOKUP(G$2,'Plantilla Usuario'!$B$10:$I$54,$B12)/VLOOKUP($H$2,Tablas!$B$52:$C$59,2))</f>
        <v>1801309</v>
      </c>
      <c r="H12" s="153">
        <f>IF('EE.FF Económicos'!$D$54="Soles",HLOOKUP(H$2,'Plantilla Usuario'!$B$10:$I$54,$B12),HLOOKUP(H$2,'Plantilla Usuario'!$B$10:$I$54,$B12)/VLOOKUP($H$2,Tablas!$B$52:$C$59,2))</f>
        <v>1973854</v>
      </c>
    </row>
    <row r="13" spans="1:11">
      <c r="B13" s="126">
        <v>11</v>
      </c>
      <c r="C13" s="127" t="s">
        <v>24</v>
      </c>
      <c r="D13" s="153">
        <f>IF('EE.FF Económicos'!$D$54="Soles",HLOOKUP(D$2,'Plantilla Usuario'!$B$10:$I$54,$B13),HLOOKUP(D$2,'Plantilla Usuario'!$B$10:$I$54,$B13)/VLOOKUP($H$2,Tablas!$B$52:$C$59,2))</f>
        <v>0</v>
      </c>
      <c r="E13" s="153">
        <f>IF('EE.FF Económicos'!$D$54="Soles",HLOOKUP(E$2,'Plantilla Usuario'!$B$10:$I$54,$B13),HLOOKUP(E$2,'Plantilla Usuario'!$B$10:$I$54,$B13)/VLOOKUP($H$2,Tablas!$B$52:$C$59,2))</f>
        <v>0</v>
      </c>
      <c r="F13" s="153">
        <f>IF('EE.FF Económicos'!$D$54="Soles",HLOOKUP(F$2,'Plantilla Usuario'!$B$10:$I$54,$B13),HLOOKUP(F$2,'Plantilla Usuario'!$B$10:$I$54,$B13)/VLOOKUP($H$2,Tablas!$B$52:$C$59,2))</f>
        <v>0</v>
      </c>
      <c r="G13" s="153">
        <f>IF('EE.FF Económicos'!$D$54="Soles",HLOOKUP(G$2,'Plantilla Usuario'!$B$10:$I$54,$B13),HLOOKUP(G$2,'Plantilla Usuario'!$B$10:$I$54,$B13)/VLOOKUP($H$2,Tablas!$B$52:$C$59,2))</f>
        <v>0</v>
      </c>
      <c r="H13" s="153">
        <f>IF('EE.FF Económicos'!$D$54="Soles",HLOOKUP(H$2,'Plantilla Usuario'!$B$10:$I$54,$B13),HLOOKUP(H$2,'Plantilla Usuario'!$B$10:$I$54,$B13)/VLOOKUP($H$2,Tablas!$B$52:$C$59,2))</f>
        <v>0</v>
      </c>
    </row>
    <row r="14" spans="1:11">
      <c r="B14" s="126">
        <v>12</v>
      </c>
      <c r="C14" s="127" t="s">
        <v>19</v>
      </c>
      <c r="D14" s="153">
        <f>IF('EE.FF Económicos'!$D$54="Soles",HLOOKUP(D$2,'Plantilla Usuario'!$B$10:$I$54,$B14),HLOOKUP(D$2,'Plantilla Usuario'!$B$10:$I$54,$B14)/VLOOKUP($H$2,Tablas!$B$52:$C$59,2))</f>
        <v>0</v>
      </c>
      <c r="E14" s="153">
        <f>IF('EE.FF Económicos'!$D$54="Soles",HLOOKUP(E$2,'Plantilla Usuario'!$B$10:$I$54,$B14),HLOOKUP(E$2,'Plantilla Usuario'!$B$10:$I$54,$B14)/VLOOKUP($H$2,Tablas!$B$52:$C$59,2))</f>
        <v>0</v>
      </c>
      <c r="F14" s="153">
        <f>IF('EE.FF Económicos'!$D$54="Soles",HLOOKUP(F$2,'Plantilla Usuario'!$B$10:$I$54,$B14),HLOOKUP(F$2,'Plantilla Usuario'!$B$10:$I$54,$B14)/VLOOKUP($H$2,Tablas!$B$52:$C$59,2))</f>
        <v>0</v>
      </c>
      <c r="G14" s="153">
        <f>IF('EE.FF Económicos'!$D$54="Soles",HLOOKUP(G$2,'Plantilla Usuario'!$B$10:$I$54,$B14),HLOOKUP(G$2,'Plantilla Usuario'!$B$10:$I$54,$B14)/VLOOKUP($H$2,Tablas!$B$52:$C$59,2))</f>
        <v>0</v>
      </c>
      <c r="H14" s="153">
        <f>IF('EE.FF Económicos'!$D$54="Soles",HLOOKUP(H$2,'Plantilla Usuario'!$B$10:$I$54,$B14),HLOOKUP(H$2,'Plantilla Usuario'!$B$10:$I$54,$B14)/VLOOKUP($H$2,Tablas!$B$52:$C$59,2))</f>
        <v>0</v>
      </c>
    </row>
    <row r="15" spans="1:11">
      <c r="B15" s="126">
        <v>13</v>
      </c>
      <c r="C15" s="129" t="s">
        <v>25</v>
      </c>
      <c r="D15" s="268">
        <f>IF('EE.FF Económicos'!$D$54="Soles",HLOOKUP(D$2,'Plantilla Usuario'!$B$10:$I$54,$B15),HLOOKUP(D$2,'Plantilla Usuario'!$B$10:$I$54,$B15)/VLOOKUP($H$2,Tablas!$B$52:$C$59,2))</f>
        <v>3826276</v>
      </c>
      <c r="E15" s="268">
        <f>IF('EE.FF Económicos'!$D$54="Soles",HLOOKUP(E$2,'Plantilla Usuario'!$B$10:$I$54,$B15),HLOOKUP(E$2,'Plantilla Usuario'!$B$10:$I$54,$B15)/VLOOKUP($H$2,Tablas!$B$52:$C$59,2))</f>
        <v>4955240</v>
      </c>
      <c r="F15" s="268">
        <f>IF('EE.FF Económicos'!$D$54="Soles",HLOOKUP(F$2,'Plantilla Usuario'!$B$10:$I$54,$B15),HLOOKUP(F$2,'Plantilla Usuario'!$B$10:$I$54,$B15)/VLOOKUP($H$2,Tablas!$B$52:$C$59,2))</f>
        <v>6751464</v>
      </c>
      <c r="G15" s="268">
        <f>IF('EE.FF Económicos'!$D$54="Soles",HLOOKUP(G$2,'Plantilla Usuario'!$B$10:$I$54,$B15),HLOOKUP(G$2,'Plantilla Usuario'!$B$10:$I$54,$B15)/VLOOKUP($H$2,Tablas!$B$52:$C$59,2))</f>
        <v>7031343</v>
      </c>
      <c r="H15" s="268">
        <f>IF('EE.FF Económicos'!$D$54="Soles",HLOOKUP(H$2,'Plantilla Usuario'!$B$10:$I$54,$B15),HLOOKUP(H$2,'Plantilla Usuario'!$B$10:$I$54,$B15)/VLOOKUP($H$2,Tablas!$B$52:$C$59,2))</f>
        <v>6898453</v>
      </c>
    </row>
    <row r="16" spans="1:11">
      <c r="B16" s="126">
        <v>14</v>
      </c>
      <c r="C16" s="154" t="s">
        <v>26</v>
      </c>
      <c r="D16" s="155">
        <f>IF('EE.FF Económicos'!$D$54="Soles",HLOOKUP(D$2,'Plantilla Usuario'!$B$10:$I$54,$B16),HLOOKUP(D$2,'Plantilla Usuario'!$B$10:$I$54,$B16)/VLOOKUP($H$2,Tablas!$B$52:$C$59,2))</f>
        <v>7115995</v>
      </c>
      <c r="E16" s="155">
        <f>IF('EE.FF Económicos'!$D$54="Soles",HLOOKUP(E$2,'Plantilla Usuario'!$B$10:$I$54,$B16),HLOOKUP(E$2,'Plantilla Usuario'!$B$10:$I$54,$B16)/VLOOKUP($H$2,Tablas!$B$52:$C$59,2))</f>
        <v>9059226</v>
      </c>
      <c r="F16" s="155">
        <f>IF('EE.FF Económicos'!$D$54="Soles",HLOOKUP(F$2,'Plantilla Usuario'!$B$10:$I$54,$B16),HLOOKUP(F$2,'Plantilla Usuario'!$B$10:$I$54,$B16)/VLOOKUP($H$2,Tablas!$B$52:$C$59,2))</f>
        <v>11242281</v>
      </c>
      <c r="G16" s="155">
        <f>IF('EE.FF Económicos'!$D$54="Soles",HLOOKUP(G$2,'Plantilla Usuario'!$B$10:$I$54,$B16),HLOOKUP(G$2,'Plantilla Usuario'!$B$10:$I$54,$B16)/VLOOKUP($H$2,Tablas!$B$52:$C$59,2))</f>
        <v>11650111</v>
      </c>
      <c r="H16" s="155">
        <f>IF('EE.FF Económicos'!$D$54="Soles",HLOOKUP(H$2,'Plantilla Usuario'!$B$10:$I$54,$B16),HLOOKUP(H$2,'Plantilla Usuario'!$B$10:$I$54,$B16)/VLOOKUP($H$2,Tablas!$B$52:$C$59,2))</f>
        <v>13408303</v>
      </c>
    </row>
    <row r="17" spans="1:11">
      <c r="B17" s="126">
        <v>15</v>
      </c>
      <c r="C17" s="127" t="s">
        <v>27</v>
      </c>
      <c r="D17" s="153">
        <f>IF('EE.FF Económicos'!$D$54="Soles",HLOOKUP(D$2,'Plantilla Usuario'!$B$10:$I$54,$B17),HLOOKUP(D$2,'Plantilla Usuario'!$B$10:$I$54,$B17)/VLOOKUP($H$2,Tablas!$B$52:$C$59,2))</f>
        <v>0</v>
      </c>
      <c r="E17" s="153">
        <f>IF('EE.FF Económicos'!$D$54="Soles",HLOOKUP(E$2,'Plantilla Usuario'!$B$10:$I$54,$B17),HLOOKUP(E$2,'Plantilla Usuario'!$B$10:$I$54,$B17)/VLOOKUP($H$2,Tablas!$B$52:$C$59,2))</f>
        <v>0</v>
      </c>
      <c r="F17" s="153">
        <f>IF('EE.FF Económicos'!$D$54="Soles",HLOOKUP(F$2,'Plantilla Usuario'!$B$10:$I$54,$B17),HLOOKUP(F$2,'Plantilla Usuario'!$B$10:$I$54,$B17)/VLOOKUP($H$2,Tablas!$B$52:$C$59,2))</f>
        <v>0</v>
      </c>
      <c r="G17" s="153">
        <f>IF('EE.FF Económicos'!$D$54="Soles",HLOOKUP(G$2,'Plantilla Usuario'!$B$10:$I$54,$B17),HLOOKUP(G$2,'Plantilla Usuario'!$B$10:$I$54,$B17)/VLOOKUP($H$2,Tablas!$B$52:$C$59,2))</f>
        <v>558545</v>
      </c>
      <c r="H17" s="153">
        <f>IF('EE.FF Económicos'!$D$54="Soles",HLOOKUP(H$2,'Plantilla Usuario'!$B$10:$I$54,$B17),HLOOKUP(H$2,'Plantilla Usuario'!$B$10:$I$54,$B17)/VLOOKUP($H$2,Tablas!$B$52:$C$59,2))</f>
        <v>639174</v>
      </c>
    </row>
    <row r="18" spans="1:11">
      <c r="B18" s="126">
        <v>16</v>
      </c>
      <c r="C18" s="127" t="s">
        <v>28</v>
      </c>
      <c r="D18" s="153">
        <f>IF('EE.FF Económicos'!$D$54="Soles",HLOOKUP(D$2,'Plantilla Usuario'!$B$10:$I$54,$B18),HLOOKUP(D$2,'Plantilla Usuario'!$B$10:$I$54,$B18)/VLOOKUP($H$2,Tablas!$B$52:$C$59,2))</f>
        <v>0</v>
      </c>
      <c r="E18" s="153">
        <f>IF('EE.FF Económicos'!$D$54="Soles",HLOOKUP(E$2,'Plantilla Usuario'!$B$10:$I$54,$B18),HLOOKUP(E$2,'Plantilla Usuario'!$B$10:$I$54,$B18)/VLOOKUP($H$2,Tablas!$B$52:$C$59,2))</f>
        <v>0</v>
      </c>
      <c r="F18" s="153">
        <f>IF('EE.FF Económicos'!$D$54="Soles",HLOOKUP(F$2,'Plantilla Usuario'!$B$10:$I$54,$B18),HLOOKUP(F$2,'Plantilla Usuario'!$B$10:$I$54,$B18)/VLOOKUP($H$2,Tablas!$B$52:$C$59,2))</f>
        <v>0</v>
      </c>
      <c r="G18" s="153">
        <f>IF('EE.FF Económicos'!$D$54="Soles",HLOOKUP(G$2,'Plantilla Usuario'!$B$10:$I$54,$B18),HLOOKUP(G$2,'Plantilla Usuario'!$B$10:$I$54,$B18)/VLOOKUP($H$2,Tablas!$B$52:$C$59,2))</f>
        <v>0</v>
      </c>
      <c r="H18" s="153">
        <f>IF('EE.FF Económicos'!$D$54="Soles",HLOOKUP(H$2,'Plantilla Usuario'!$B$10:$I$54,$B18),HLOOKUP(H$2,'Plantilla Usuario'!$B$10:$I$54,$B18)/VLOOKUP($H$2,Tablas!$B$52:$C$59,2))</f>
        <v>0</v>
      </c>
    </row>
    <row r="19" spans="1:11">
      <c r="B19" s="126">
        <v>17</v>
      </c>
      <c r="C19" s="127" t="s">
        <v>29</v>
      </c>
      <c r="D19" s="153">
        <f>IF('EE.FF Económicos'!$D$54="Soles",HLOOKUP(D$2,'Plantilla Usuario'!$B$10:$I$54,$B19),HLOOKUP(D$2,'Plantilla Usuario'!$B$10:$I$54,$B19)/VLOOKUP($H$2,Tablas!$B$52:$C$59,2))</f>
        <v>0</v>
      </c>
      <c r="E19" s="153">
        <f>IF('EE.FF Económicos'!$D$54="Soles",HLOOKUP(E$2,'Plantilla Usuario'!$B$10:$I$54,$B19),HLOOKUP(E$2,'Plantilla Usuario'!$B$10:$I$54,$B19)/VLOOKUP($H$2,Tablas!$B$52:$C$59,2))</f>
        <v>0</v>
      </c>
      <c r="F19" s="153">
        <f>IF('EE.FF Económicos'!$D$54="Soles",HLOOKUP(F$2,'Plantilla Usuario'!$B$10:$I$54,$B19),HLOOKUP(F$2,'Plantilla Usuario'!$B$10:$I$54,$B19)/VLOOKUP($H$2,Tablas!$B$52:$C$59,2))</f>
        <v>0</v>
      </c>
      <c r="G19" s="153">
        <f>IF('EE.FF Económicos'!$D$54="Soles",HLOOKUP(G$2,'Plantilla Usuario'!$B$10:$I$54,$B19),HLOOKUP(G$2,'Plantilla Usuario'!$B$10:$I$54,$B19)/VLOOKUP($H$2,Tablas!$B$52:$C$59,2))</f>
        <v>0</v>
      </c>
      <c r="H19" s="153">
        <f>IF('EE.FF Económicos'!$D$54="Soles",HLOOKUP(H$2,'Plantilla Usuario'!$B$10:$I$54,$B19),HLOOKUP(H$2,'Plantilla Usuario'!$B$10:$I$54,$B19)/VLOOKUP($H$2,Tablas!$B$52:$C$59,2))</f>
        <v>0</v>
      </c>
    </row>
    <row r="20" spans="1:11">
      <c r="B20" s="126">
        <v>18</v>
      </c>
      <c r="C20" s="129" t="s">
        <v>30</v>
      </c>
      <c r="D20" s="268">
        <f>IF('EE.FF Económicos'!$D$54="Soles",HLOOKUP(D$2,'Plantilla Usuario'!$B$10:$I$54,$B20),HLOOKUP(D$2,'Plantilla Usuario'!$B$10:$I$54,$B20)/VLOOKUP($H$2,Tablas!$B$52:$C$59,2))</f>
        <v>2823965</v>
      </c>
      <c r="E20" s="268">
        <f>IF('EE.FF Económicos'!$D$54="Soles",HLOOKUP(E$2,'Plantilla Usuario'!$B$10:$I$54,$B20),HLOOKUP(E$2,'Plantilla Usuario'!$B$10:$I$54,$B20)/VLOOKUP($H$2,Tablas!$B$52:$C$59,2))</f>
        <v>3084554</v>
      </c>
      <c r="F20" s="268">
        <f>IF('EE.FF Económicos'!$D$54="Soles",HLOOKUP(F$2,'Plantilla Usuario'!$B$10:$I$54,$B20),HLOOKUP(F$2,'Plantilla Usuario'!$B$10:$I$54,$B20)/VLOOKUP($H$2,Tablas!$B$52:$C$59,2))</f>
        <v>3462553</v>
      </c>
      <c r="G20" s="268">
        <f>IF('EE.FF Económicos'!$D$54="Soles",HLOOKUP(G$2,'Plantilla Usuario'!$B$10:$I$54,$B20),HLOOKUP(G$2,'Plantilla Usuario'!$B$10:$I$54,$B20)/VLOOKUP($H$2,Tablas!$B$52:$C$59,2))</f>
        <v>3604331</v>
      </c>
      <c r="H20" s="268">
        <f>IF('EE.FF Económicos'!$D$54="Soles",HLOOKUP(H$2,'Plantilla Usuario'!$B$10:$I$54,$B20),HLOOKUP(H$2,'Plantilla Usuario'!$B$10:$I$54,$B20)/VLOOKUP($H$2,Tablas!$B$52:$C$59,2))</f>
        <v>4645551</v>
      </c>
    </row>
    <row r="21" spans="1:11">
      <c r="B21" s="126">
        <v>19</v>
      </c>
      <c r="C21" s="127" t="s">
        <v>27</v>
      </c>
      <c r="D21" s="153">
        <f>IF('EE.FF Económicos'!$D$54="Soles",HLOOKUP(D$2,'Plantilla Usuario'!$B$10:$I$54,$B21),HLOOKUP(D$2,'Plantilla Usuario'!$B$10:$I$54,$B21)/VLOOKUP($H$2,Tablas!$B$52:$C$59,2))</f>
        <v>0</v>
      </c>
      <c r="E21" s="153">
        <f>IF('EE.FF Económicos'!$D$54="Soles",HLOOKUP(E$2,'Plantilla Usuario'!$B$10:$I$54,$B21),HLOOKUP(E$2,'Plantilla Usuario'!$B$10:$I$54,$B21)/VLOOKUP($H$2,Tablas!$B$52:$C$59,2))</f>
        <v>0</v>
      </c>
      <c r="F21" s="153">
        <f>IF('EE.FF Económicos'!$D$54="Soles",HLOOKUP(F$2,'Plantilla Usuario'!$B$10:$I$54,$B21),HLOOKUP(F$2,'Plantilla Usuario'!$B$10:$I$54,$B21)/VLOOKUP($H$2,Tablas!$B$52:$C$59,2))</f>
        <v>0</v>
      </c>
      <c r="G21" s="153">
        <f>IF('EE.FF Económicos'!$D$54="Soles",HLOOKUP(G$2,'Plantilla Usuario'!$B$10:$I$54,$B21),HLOOKUP(G$2,'Plantilla Usuario'!$B$10:$I$54,$B21)/VLOOKUP($H$2,Tablas!$B$52:$C$59,2))</f>
        <v>3515304</v>
      </c>
      <c r="H21" s="153">
        <f>IF('EE.FF Económicos'!$D$54="Soles",HLOOKUP(H$2,'Plantilla Usuario'!$B$10:$I$54,$B21),HLOOKUP(H$2,'Plantilla Usuario'!$B$10:$I$54,$B21)/VLOOKUP($H$2,Tablas!$B$52:$C$59,2))</f>
        <v>4676131</v>
      </c>
    </row>
    <row r="22" spans="1:11">
      <c r="B22" s="126">
        <v>20</v>
      </c>
      <c r="C22" s="127" t="s">
        <v>28</v>
      </c>
      <c r="D22" s="153">
        <f>IF('EE.FF Económicos'!$D$54="Soles",HLOOKUP(D$2,'Plantilla Usuario'!$B$10:$I$54,$B22),HLOOKUP(D$2,'Plantilla Usuario'!$B$10:$I$54,$B22)/VLOOKUP($H$2,Tablas!$B$52:$C$59,2))</f>
        <v>0</v>
      </c>
      <c r="E22" s="153">
        <f>IF('EE.FF Económicos'!$D$54="Soles",HLOOKUP(E$2,'Plantilla Usuario'!$B$10:$I$54,$B22),HLOOKUP(E$2,'Plantilla Usuario'!$B$10:$I$54,$B22)/VLOOKUP($H$2,Tablas!$B$52:$C$59,2))</f>
        <v>0</v>
      </c>
      <c r="F22" s="153">
        <f>IF('EE.FF Económicos'!$D$54="Soles",HLOOKUP(F$2,'Plantilla Usuario'!$B$10:$I$54,$B22),HLOOKUP(F$2,'Plantilla Usuario'!$B$10:$I$54,$B22)/VLOOKUP($H$2,Tablas!$B$52:$C$59,2))</f>
        <v>0</v>
      </c>
      <c r="G22" s="153">
        <f>IF('EE.FF Económicos'!$D$54="Soles",HLOOKUP(G$2,'Plantilla Usuario'!$B$10:$I$54,$B22),HLOOKUP(G$2,'Plantilla Usuario'!$B$10:$I$54,$B22)/VLOOKUP($H$2,Tablas!$B$52:$C$59,2))</f>
        <v>0</v>
      </c>
      <c r="H22" s="153">
        <f>IF('EE.FF Económicos'!$D$54="Soles",HLOOKUP(H$2,'Plantilla Usuario'!$B$10:$I$54,$B22),HLOOKUP(H$2,'Plantilla Usuario'!$B$10:$I$54,$B22)/VLOOKUP($H$2,Tablas!$B$52:$C$59,2))</f>
        <v>0</v>
      </c>
    </row>
    <row r="23" spans="1:11">
      <c r="B23" s="126">
        <v>21</v>
      </c>
      <c r="C23" s="127" t="s">
        <v>29</v>
      </c>
      <c r="D23" s="153">
        <f>IF('EE.FF Económicos'!$D$54="Soles",HLOOKUP(D$2,'Plantilla Usuario'!$B$10:$I$54,$B23),HLOOKUP(D$2,'Plantilla Usuario'!$B$10:$I$54,$B23)/VLOOKUP($H$2,Tablas!$B$52:$C$59,2))</f>
        <v>0</v>
      </c>
      <c r="E23" s="153">
        <f>IF('EE.FF Económicos'!$D$54="Soles",HLOOKUP(E$2,'Plantilla Usuario'!$B$10:$I$54,$B23),HLOOKUP(E$2,'Plantilla Usuario'!$B$10:$I$54,$B23)/VLOOKUP($H$2,Tablas!$B$52:$C$59,2))</f>
        <v>0</v>
      </c>
      <c r="F23" s="153">
        <f>IF('EE.FF Económicos'!$D$54="Soles",HLOOKUP(F$2,'Plantilla Usuario'!$B$10:$I$54,$B23),HLOOKUP(F$2,'Plantilla Usuario'!$B$10:$I$54,$B23)/VLOOKUP($H$2,Tablas!$B$52:$C$59,2))</f>
        <v>0</v>
      </c>
      <c r="G23" s="153">
        <f>IF('EE.FF Económicos'!$D$54="Soles",HLOOKUP(G$2,'Plantilla Usuario'!$B$10:$I$54,$B23),HLOOKUP(G$2,'Plantilla Usuario'!$B$10:$I$54,$B23)/VLOOKUP($H$2,Tablas!$B$52:$C$59,2))</f>
        <v>0</v>
      </c>
      <c r="H23" s="153">
        <f>IF('EE.FF Económicos'!$D$54="Soles",HLOOKUP(H$2,'Plantilla Usuario'!$B$10:$I$54,$B23),HLOOKUP(H$2,'Plantilla Usuario'!$B$10:$I$54,$B23)/VLOOKUP($H$2,Tablas!$B$52:$C$59,2))</f>
        <v>0</v>
      </c>
    </row>
    <row r="24" spans="1:11">
      <c r="B24" s="126">
        <v>22</v>
      </c>
      <c r="C24" s="129" t="s">
        <v>31</v>
      </c>
      <c r="D24" s="268">
        <f>IF('EE.FF Económicos'!$D$54="Soles",HLOOKUP(D$2,'Plantilla Usuario'!$B$10:$I$54,$B24),HLOOKUP(D$2,'Plantilla Usuario'!$B$10:$I$54,$B24)/VLOOKUP($H$2,Tablas!$B$52:$C$59,2))</f>
        <v>1391745</v>
      </c>
      <c r="E24" s="268">
        <f>IF('EE.FF Económicos'!$D$54="Soles",HLOOKUP(E$2,'Plantilla Usuario'!$B$10:$I$54,$B24),HLOOKUP(E$2,'Plantilla Usuario'!$B$10:$I$54,$B24)/VLOOKUP($H$2,Tablas!$B$52:$C$59,2))</f>
        <v>2729104</v>
      </c>
      <c r="F24" s="268">
        <f>IF('EE.FF Económicos'!$D$54="Soles",HLOOKUP(F$2,'Plantilla Usuario'!$B$10:$I$54,$B24),HLOOKUP(F$2,'Plantilla Usuario'!$B$10:$I$54,$B24)/VLOOKUP($H$2,Tablas!$B$52:$C$59,2))</f>
        <v>4321222</v>
      </c>
      <c r="G24" s="268">
        <f>IF('EE.FF Económicos'!$D$54="Soles",HLOOKUP(G$2,'Plantilla Usuario'!$B$10:$I$54,$B24),HLOOKUP(G$2,'Plantilla Usuario'!$B$10:$I$54,$B24)/VLOOKUP($H$2,Tablas!$B$52:$C$59,2))</f>
        <v>4364956</v>
      </c>
      <c r="H24" s="268">
        <f>IF('EE.FF Económicos'!$D$54="Soles",HLOOKUP(H$2,'Plantilla Usuario'!$B$10:$I$54,$B24),HLOOKUP(H$2,'Plantilla Usuario'!$B$10:$I$54,$B24)/VLOOKUP($H$2,Tablas!$B$52:$C$59,2))</f>
        <v>5437375</v>
      </c>
    </row>
    <row r="25" spans="1:11">
      <c r="B25" s="126">
        <v>23</v>
      </c>
      <c r="C25" s="154" t="s">
        <v>32</v>
      </c>
      <c r="D25" s="155">
        <f>IF('EE.FF Económicos'!$D$54="Soles",HLOOKUP(D$2,'Plantilla Usuario'!$B$10:$I$54,$B25),HLOOKUP(D$2,'Plantilla Usuario'!$B$10:$I$54,$B25)/VLOOKUP($H$2,Tablas!$B$52:$C$59,2))</f>
        <v>4215710</v>
      </c>
      <c r="E25" s="155">
        <f>IF('EE.FF Económicos'!$D$54="Soles",HLOOKUP(E$2,'Plantilla Usuario'!$B$10:$I$54,$B25),HLOOKUP(E$2,'Plantilla Usuario'!$B$10:$I$54,$B25)/VLOOKUP($H$2,Tablas!$B$52:$C$59,2))</f>
        <v>5813658</v>
      </c>
      <c r="F25" s="155">
        <f>IF('EE.FF Económicos'!$D$54="Soles",HLOOKUP(F$2,'Plantilla Usuario'!$B$10:$I$54,$B25),HLOOKUP(F$2,'Plantilla Usuario'!$B$10:$I$54,$B25)/VLOOKUP($H$2,Tablas!$B$52:$C$59,2))</f>
        <v>7783775</v>
      </c>
      <c r="G25" s="155">
        <f>IF('EE.FF Económicos'!$D$54="Soles",HLOOKUP(G$2,'Plantilla Usuario'!$B$10:$I$54,$B25),HLOOKUP(G$2,'Plantilla Usuario'!$B$10:$I$54,$B25)/VLOOKUP($H$2,Tablas!$B$52:$C$59,2))</f>
        <v>7969287</v>
      </c>
      <c r="H25" s="155">
        <f>IF('EE.FF Económicos'!$D$54="Soles",HLOOKUP(H$2,'Plantilla Usuario'!$B$10:$I$54,$B25),HLOOKUP(H$2,'Plantilla Usuario'!$B$10:$I$54,$B25)/VLOOKUP($H$2,Tablas!$B$52:$C$59,2))</f>
        <v>10082926</v>
      </c>
    </row>
    <row r="26" spans="1:11">
      <c r="B26" s="126">
        <v>24</v>
      </c>
      <c r="C26" s="127" t="s">
        <v>33</v>
      </c>
      <c r="D26" s="153">
        <f>IF('EE.FF Económicos'!$D$54="Soles",HLOOKUP(D$2,'Plantilla Usuario'!$B$10:$I$54,$B26),HLOOKUP(D$2,'Plantilla Usuario'!$B$10:$I$54,$B26)/VLOOKUP($H$2,Tablas!$B$52:$C$59,2))</f>
        <v>2900285</v>
      </c>
      <c r="E26" s="153">
        <f>IF('EE.FF Económicos'!$D$54="Soles",HLOOKUP(E$2,'Plantilla Usuario'!$B$10:$I$54,$B26),HLOOKUP(E$2,'Plantilla Usuario'!$B$10:$I$54,$B26)/VLOOKUP($H$2,Tablas!$B$52:$C$59,2))</f>
        <v>3245568</v>
      </c>
      <c r="F26" s="153">
        <f>IF('EE.FF Económicos'!$D$54="Soles",HLOOKUP(F$2,'Plantilla Usuario'!$B$10:$I$54,$B26),HLOOKUP(F$2,'Plantilla Usuario'!$B$10:$I$54,$B26)/VLOOKUP($H$2,Tablas!$B$52:$C$59,2))</f>
        <v>3458506</v>
      </c>
      <c r="G26" s="153">
        <f>IF('EE.FF Económicos'!$D$54="Soles",HLOOKUP(G$2,'Plantilla Usuario'!$B$10:$I$54,$B26),HLOOKUP(G$2,'Plantilla Usuario'!$B$10:$I$54,$B26)/VLOOKUP($H$2,Tablas!$B$52:$C$59,2))</f>
        <v>3680824</v>
      </c>
      <c r="H26" s="153">
        <f>IF('EE.FF Económicos'!$D$54="Soles",HLOOKUP(H$2,'Plantilla Usuario'!$B$10:$I$54,$B26),HLOOKUP(H$2,'Plantilla Usuario'!$B$10:$I$54,$B26)/VLOOKUP($H$2,Tablas!$B$52:$C$59,2))</f>
        <v>3325377</v>
      </c>
    </row>
    <row r="27" spans="1:11">
      <c r="B27" s="126">
        <v>25</v>
      </c>
      <c r="C27" s="127" t="s">
        <v>34</v>
      </c>
      <c r="D27" s="153">
        <f>IF('EE.FF Económicos'!$D$54="Soles",HLOOKUP(D$2,'Plantilla Usuario'!$B$10:$I$54,$B27),HLOOKUP(D$2,'Plantilla Usuario'!$B$10:$I$54,$B27)/VLOOKUP($H$2,Tablas!$B$52:$C$59,2))</f>
        <v>0</v>
      </c>
      <c r="E27" s="153">
        <f>IF('EE.FF Económicos'!$D$54="Soles",HLOOKUP(E$2,'Plantilla Usuario'!$B$10:$I$54,$B27),HLOOKUP(E$2,'Plantilla Usuario'!$B$10:$I$54,$B27)/VLOOKUP($H$2,Tablas!$B$52:$C$59,2))</f>
        <v>0</v>
      </c>
      <c r="F27" s="153">
        <f>IF('EE.FF Económicos'!$D$54="Soles",HLOOKUP(F$2,'Plantilla Usuario'!$B$10:$I$54,$B27),HLOOKUP(F$2,'Plantilla Usuario'!$B$10:$I$54,$B27)/VLOOKUP($H$2,Tablas!$B$52:$C$59,2))</f>
        <v>0</v>
      </c>
      <c r="G27" s="153">
        <f>IF('EE.FF Económicos'!$D$54="Soles",HLOOKUP(G$2,'Plantilla Usuario'!$B$10:$I$54,$B27),HLOOKUP(G$2,'Plantilla Usuario'!$B$10:$I$54,$B27)/VLOOKUP($H$2,Tablas!$B$52:$C$59,2))</f>
        <v>0</v>
      </c>
      <c r="H27" s="153">
        <f>IF('EE.FF Económicos'!$D$54="Soles",HLOOKUP(H$2,'Plantilla Usuario'!$B$10:$I$54,$B27),HLOOKUP(H$2,'Plantilla Usuario'!$B$10:$I$54,$B27)/VLOOKUP($H$2,Tablas!$B$52:$C$59,2))</f>
        <v>0</v>
      </c>
    </row>
    <row r="28" spans="1:11">
      <c r="B28" s="126">
        <v>26</v>
      </c>
      <c r="C28" s="127" t="s">
        <v>35</v>
      </c>
      <c r="D28" s="153">
        <f>IF('EE.FF Económicos'!$D$54="Soles",HLOOKUP(D$2,'Plantilla Usuario'!$B$10:$I$54,$B28),HLOOKUP(D$2,'Plantilla Usuario'!$B$10:$I$54,$B28)/VLOOKUP($H$2,Tablas!$B$52:$C$59,2))</f>
        <v>0</v>
      </c>
      <c r="E28" s="153">
        <f>IF('EE.FF Económicos'!$D$54="Soles",HLOOKUP(E$2,'Plantilla Usuario'!$B$10:$I$54,$B28),HLOOKUP(E$2,'Plantilla Usuario'!$B$10:$I$54,$B28)/VLOOKUP($H$2,Tablas!$B$52:$C$59,2))</f>
        <v>0</v>
      </c>
      <c r="F28" s="153">
        <f>IF('EE.FF Económicos'!$D$54="Soles",HLOOKUP(F$2,'Plantilla Usuario'!$B$10:$I$54,$B28),HLOOKUP(F$2,'Plantilla Usuario'!$B$10:$I$54,$B28)/VLOOKUP($H$2,Tablas!$B$52:$C$59,2))</f>
        <v>0</v>
      </c>
      <c r="G28" s="153">
        <f>IF('EE.FF Económicos'!$D$54="Soles",HLOOKUP(G$2,'Plantilla Usuario'!$B$10:$I$54,$B28),HLOOKUP(G$2,'Plantilla Usuario'!$B$10:$I$54,$B28)/VLOOKUP($H$2,Tablas!$B$52:$C$59,2))</f>
        <v>0</v>
      </c>
      <c r="H28" s="153">
        <f>IF('EE.FF Económicos'!$D$54="Soles",HLOOKUP(H$2,'Plantilla Usuario'!$B$10:$I$54,$B28),HLOOKUP(H$2,'Plantilla Usuario'!$B$10:$I$54,$B28)/VLOOKUP($H$2,Tablas!$B$52:$C$59,2))</f>
        <v>0</v>
      </c>
    </row>
    <row r="29" spans="1:11">
      <c r="B29" s="126">
        <v>27</v>
      </c>
      <c r="C29" s="127" t="s">
        <v>36</v>
      </c>
      <c r="D29" s="153">
        <f>IF('EE.FF Económicos'!$D$54="Soles",HLOOKUP(D$2,'Plantilla Usuario'!$B$10:$I$54,$B29),HLOOKUP(D$2,'Plantilla Usuario'!$B$10:$I$54,$B29)/VLOOKUP($H$2,Tablas!$B$52:$C$59,2))</f>
        <v>0</v>
      </c>
      <c r="E29" s="153">
        <f>IF('EE.FF Económicos'!$D$54="Soles",HLOOKUP(E$2,'Plantilla Usuario'!$B$10:$I$54,$B29),HLOOKUP(E$2,'Plantilla Usuario'!$B$10:$I$54,$B29)/VLOOKUP($H$2,Tablas!$B$52:$C$59,2))</f>
        <v>0</v>
      </c>
      <c r="F29" s="153">
        <f>IF('EE.FF Económicos'!$D$54="Soles",HLOOKUP(F$2,'Plantilla Usuario'!$B$10:$I$54,$B29),HLOOKUP(F$2,'Plantilla Usuario'!$B$10:$I$54,$B29)/VLOOKUP($H$2,Tablas!$B$52:$C$59,2))</f>
        <v>0</v>
      </c>
      <c r="G29" s="153">
        <f>IF('EE.FF Económicos'!$D$54="Soles",HLOOKUP(G$2,'Plantilla Usuario'!$B$10:$I$54,$B29),HLOOKUP(G$2,'Plantilla Usuario'!$B$10:$I$54,$B29)/VLOOKUP($H$2,Tablas!$B$52:$C$59,2))</f>
        <v>0</v>
      </c>
      <c r="H29" s="153">
        <f>IF('EE.FF Económicos'!$D$54="Soles",HLOOKUP(H$2,'Plantilla Usuario'!$B$10:$I$54,$B29),HLOOKUP(H$2,'Plantilla Usuario'!$B$10:$I$54,$B29)/VLOOKUP($H$2,Tablas!$B$52:$C$59,2))</f>
        <v>0</v>
      </c>
    </row>
    <row r="30" spans="1:11">
      <c r="B30" s="126">
        <v>28</v>
      </c>
      <c r="C30" s="129" t="s">
        <v>37</v>
      </c>
      <c r="D30" s="268">
        <f>IF('EE.FF Económicos'!$D$54="Soles",HLOOKUP(D$2,'Plantilla Usuario'!$B$10:$I$54,$B30),HLOOKUP(D$2,'Plantilla Usuario'!$B$10:$I$54,$B30)/VLOOKUP($H$2,Tablas!$B$52:$C$59,2))</f>
        <v>2900285</v>
      </c>
      <c r="E30" s="268">
        <f>IF('EE.FF Económicos'!$D$54="Soles",HLOOKUP(E$2,'Plantilla Usuario'!$B$10:$I$54,$B30),HLOOKUP(E$2,'Plantilla Usuario'!$B$10:$I$54,$B30)/VLOOKUP($H$2,Tablas!$B$52:$C$59,2))</f>
        <v>3245568</v>
      </c>
      <c r="F30" s="268">
        <f>IF('EE.FF Económicos'!$D$54="Soles",HLOOKUP(F$2,'Plantilla Usuario'!$B$10:$I$54,$B30),HLOOKUP(F$2,'Plantilla Usuario'!$B$10:$I$54,$B30)/VLOOKUP($H$2,Tablas!$B$52:$C$59,2))</f>
        <v>3458506</v>
      </c>
      <c r="G30" s="268">
        <f>IF('EE.FF Económicos'!$D$54="Soles",HLOOKUP(G$2,'Plantilla Usuario'!$B$10:$I$54,$B30),HLOOKUP(G$2,'Plantilla Usuario'!$B$10:$I$54,$B30)/VLOOKUP($H$2,Tablas!$B$52:$C$59,2))</f>
        <v>3680824</v>
      </c>
      <c r="H30" s="268">
        <f>IF('EE.FF Económicos'!$D$54="Soles",HLOOKUP(H$2,'Plantilla Usuario'!$B$10:$I$54,$B30),HLOOKUP(H$2,'Plantilla Usuario'!$B$10:$I$54,$B30)/VLOOKUP($H$2,Tablas!$B$52:$C$59,2))</f>
        <v>3325377</v>
      </c>
    </row>
    <row r="31" spans="1:11">
      <c r="B31" s="126">
        <v>29</v>
      </c>
      <c r="C31" s="154" t="s">
        <v>38</v>
      </c>
      <c r="D31" s="155">
        <f>IF('EE.FF Económicos'!$D$54="Soles",HLOOKUP(D$2,'Plantilla Usuario'!$B$10:$I$54,$B31),HLOOKUP(D$2,'Plantilla Usuario'!$B$10:$I$54,$B31)/VLOOKUP($H$2,Tablas!$B$52:$C$59,2))</f>
        <v>7115995</v>
      </c>
      <c r="E31" s="155">
        <f>IF('EE.FF Económicos'!$D$54="Soles",HLOOKUP(E$2,'Plantilla Usuario'!$B$10:$I$54,$B31),HLOOKUP(E$2,'Plantilla Usuario'!$B$10:$I$54,$B31)/VLOOKUP($H$2,Tablas!$B$52:$C$59,2))</f>
        <v>9059226</v>
      </c>
      <c r="F31" s="155">
        <f>IF('EE.FF Económicos'!$D$54="Soles",HLOOKUP(F$2,'Plantilla Usuario'!$B$10:$I$54,$B31),HLOOKUP(F$2,'Plantilla Usuario'!$B$10:$I$54,$B31)/VLOOKUP($H$2,Tablas!$B$52:$C$59,2))</f>
        <v>11242281</v>
      </c>
      <c r="G31" s="155">
        <f>IF('EE.FF Económicos'!$D$54="Soles",HLOOKUP(G$2,'Plantilla Usuario'!$B$10:$I$54,$B31),HLOOKUP(G$2,'Plantilla Usuario'!$B$10:$I$54,$B31)/VLOOKUP($H$2,Tablas!$B$52:$C$59,2))</f>
        <v>11650111</v>
      </c>
      <c r="H31" s="155">
        <f>IF('EE.FF Económicos'!$D$54="Soles",HLOOKUP(H$2,'Plantilla Usuario'!$B$10:$I$54,$B31),HLOOKUP(H$2,'Plantilla Usuario'!$B$10:$I$54,$B31)/VLOOKUP($H$2,Tablas!$B$52:$C$59,2))</f>
        <v>13408303</v>
      </c>
    </row>
    <row r="32" spans="1:11">
      <c r="B32" s="126">
        <v>30</v>
      </c>
    </row>
    <row r="33" spans="1:11">
      <c r="B33" s="126">
        <v>31</v>
      </c>
    </row>
    <row r="34" spans="1:11">
      <c r="B34" s="126">
        <v>32</v>
      </c>
      <c r="C34" s="148" t="s">
        <v>45</v>
      </c>
      <c r="D34" s="149">
        <f>D2</f>
        <v>2017</v>
      </c>
      <c r="E34" s="149">
        <f>E2</f>
        <v>2018</v>
      </c>
      <c r="F34" s="149">
        <f>F2</f>
        <v>2019</v>
      </c>
      <c r="G34" s="149">
        <f>G2</f>
        <v>2020</v>
      </c>
      <c r="H34" s="149">
        <f>H2</f>
        <v>2021</v>
      </c>
    </row>
    <row r="35" spans="1:11">
      <c r="B35" s="126">
        <v>33</v>
      </c>
      <c r="C35" s="127" t="s">
        <v>46</v>
      </c>
      <c r="D35" s="623">
        <f>VALUE(IF('EE.FF Económicos'!$D$54="Soles",HLOOKUP(D$2,'Plantilla Usuario'!$B$10:$I$54,$B35),HLOOKUP(D$2,'Plantilla Usuario'!$B$10:$I$54,$B35)/VLOOKUP($H$2,Tablas!$B$52:$C$59,2)))</f>
        <v>6949265</v>
      </c>
      <c r="E35" s="623">
        <f>VALUE(IF('EE.FF Económicos'!$D$54="Soles",HLOOKUP(E$2,'Plantilla Usuario'!$B$10:$I$54,$B35),HLOOKUP(E$2,'Plantilla Usuario'!$B$10:$I$54,$B35)/VLOOKUP($H$2,Tablas!$B$52:$C$59,2)))</f>
        <v>8288702</v>
      </c>
      <c r="F35" s="623">
        <f>VALUE(IF('EE.FF Económicos'!$D$54="Soles",HLOOKUP(F$2,'Plantilla Usuario'!$B$10:$I$54,$B35),HLOOKUP(F$2,'Plantilla Usuario'!$B$10:$I$54,$B35)/VLOOKUP($H$2,Tablas!$B$52:$C$59,2)))</f>
        <v>9872187</v>
      </c>
      <c r="G35" s="623">
        <f>VALUE(IF('EE.FF Económicos'!$D$54="Soles",HLOOKUP(G$2,'Plantilla Usuario'!$B$10:$I$54,$B35),HLOOKUP(G$2,'Plantilla Usuario'!$B$10:$I$54,$B35)/VLOOKUP($H$2,Tablas!$B$52:$C$59,2)))</f>
        <v>10131767</v>
      </c>
      <c r="H35" s="623">
        <f>VALUE(IF('EE.FF Económicos'!$D$54="Soles",HLOOKUP(H$2,'Plantilla Usuario'!$B$10:$I$54,$B35),HLOOKUP(H$2,'Plantilla Usuario'!$B$10:$I$54,$B35)/VLOOKUP($H$2,Tablas!$B$52:$C$59,2)))</f>
        <v>12227663</v>
      </c>
    </row>
    <row r="36" spans="1:11">
      <c r="B36" s="126">
        <v>34</v>
      </c>
      <c r="C36" s="127" t="s">
        <v>47</v>
      </c>
      <c r="D36" s="153">
        <f>IF('EE.FF Económicos'!$D$54="Soles",HLOOKUP(D$2,'Plantilla Usuario'!$B$10:$I$54,$B36),HLOOKUP(D$2,'Plantilla Usuario'!$B$10:$I$54,$B36)/VLOOKUP($H$2,Tablas!$B$52:$C$59,2))</f>
        <v>-5042402</v>
      </c>
      <c r="E36" s="153">
        <f>IF('EE.FF Económicos'!$D$54="Soles",HLOOKUP(E$2,'Plantilla Usuario'!$B$10:$I$54,$B36),HLOOKUP(E$2,'Plantilla Usuario'!$B$10:$I$54,$B36)/VLOOKUP($H$2,Tablas!$B$52:$C$59,2))</f>
        <v>-6244012</v>
      </c>
      <c r="F36" s="153">
        <f>IF('EE.FF Económicos'!$D$54="Soles",HLOOKUP(F$2,'Plantilla Usuario'!$B$10:$I$54,$B36),HLOOKUP(F$2,'Plantilla Usuario'!$B$10:$I$54,$B36)/VLOOKUP($H$2,Tablas!$B$52:$C$59,2))</f>
        <v>-7420013</v>
      </c>
      <c r="G36" s="153">
        <f>IF('EE.FF Económicos'!$D$54="Soles",HLOOKUP(G$2,'Plantilla Usuario'!$B$10:$I$54,$B36),HLOOKUP(G$2,'Plantilla Usuario'!$B$10:$I$54,$B36)/VLOOKUP($H$2,Tablas!$B$52:$C$59,2))</f>
        <v>-7712254</v>
      </c>
      <c r="H36" s="153">
        <f>IF('EE.FF Económicos'!$D$54="Soles",HLOOKUP(H$2,'Plantilla Usuario'!$B$10:$I$54,$B36),HLOOKUP(H$2,'Plantilla Usuario'!$B$10:$I$54,$B36)/VLOOKUP($H$2,Tablas!$B$52:$C$59,2))</f>
        <v>-9831454</v>
      </c>
    </row>
    <row r="37" spans="1:11">
      <c r="B37" s="126">
        <v>35</v>
      </c>
      <c r="C37" s="146" t="s">
        <v>48</v>
      </c>
      <c r="D37" s="156">
        <f>IF('EE.FF Económicos'!$D$54="Soles",HLOOKUP(D$2,'Plantilla Usuario'!$B$10:$I$54,$B37),HLOOKUP(D$2,'Plantilla Usuario'!$B$10:$I$54,$B37)/VLOOKUP($H$2,Tablas!$B$52:$C$59,2))</f>
        <v>1906863</v>
      </c>
      <c r="E37" s="156">
        <f>IF('EE.FF Económicos'!$D$54="Soles",HLOOKUP(E$2,'Plantilla Usuario'!$B$10:$I$54,$B37),HLOOKUP(E$2,'Plantilla Usuario'!$B$10:$I$54,$B37)/VLOOKUP($H$2,Tablas!$B$52:$C$59,2))</f>
        <v>2044690</v>
      </c>
      <c r="F37" s="156">
        <f>IF('EE.FF Económicos'!$D$54="Soles",HLOOKUP(F$2,'Plantilla Usuario'!$B$10:$I$54,$B37),HLOOKUP(F$2,'Plantilla Usuario'!$B$10:$I$54,$B37)/VLOOKUP($H$2,Tablas!$B$52:$C$59,2))</f>
        <v>2452174</v>
      </c>
      <c r="G37" s="156">
        <f>IF('EE.FF Económicos'!$D$54="Soles",HLOOKUP(G$2,'Plantilla Usuario'!$B$10:$I$54,$B37),HLOOKUP(G$2,'Plantilla Usuario'!$B$10:$I$54,$B37)/VLOOKUP($H$2,Tablas!$B$52:$C$59,2))</f>
        <v>2419513</v>
      </c>
      <c r="H37" s="156">
        <f>IF('EE.FF Económicos'!$D$54="Soles",HLOOKUP(H$2,'Plantilla Usuario'!$B$10:$I$54,$B37),HLOOKUP(H$2,'Plantilla Usuario'!$B$10:$I$54,$B37)/VLOOKUP($H$2,Tablas!$B$52:$C$59,2))</f>
        <v>2396209</v>
      </c>
    </row>
    <row r="38" spans="1:11">
      <c r="B38" s="126">
        <v>36</v>
      </c>
      <c r="C38" s="127" t="s">
        <v>49</v>
      </c>
      <c r="D38" s="153">
        <f>IF('EE.FF Económicos'!$D$54="Soles",HLOOKUP(D$2,'Plantilla Usuario'!$B$10:$I$54,$B38),HLOOKUP(D$2,'Plantilla Usuario'!$B$10:$I$54,$B38)/VLOOKUP($H$2,Tablas!$B$52:$C$59,2))</f>
        <v>-633605</v>
      </c>
      <c r="E38" s="153">
        <f>IF('EE.FF Económicos'!$D$54="Soles",HLOOKUP(E$2,'Plantilla Usuario'!$B$10:$I$54,$B38),HLOOKUP(E$2,'Plantilla Usuario'!$B$10:$I$54,$B38)/VLOOKUP($H$2,Tablas!$B$52:$C$59,2))</f>
        <v>-681336</v>
      </c>
      <c r="F38" s="153">
        <f>IF('EE.FF Económicos'!$D$54="Soles",HLOOKUP(F$2,'Plantilla Usuario'!$B$10:$I$54,$B38),HLOOKUP(F$2,'Plantilla Usuario'!$B$10:$I$54,$B38)/VLOOKUP($H$2,Tablas!$B$52:$C$59,2))</f>
        <v>-801905</v>
      </c>
      <c r="G38" s="153">
        <f>IF('EE.FF Económicos'!$D$54="Soles",HLOOKUP(G$2,'Plantilla Usuario'!$B$10:$I$54,$B38),HLOOKUP(G$2,'Plantilla Usuario'!$B$10:$I$54,$B38)/VLOOKUP($H$2,Tablas!$B$52:$C$59,2))</f>
        <v>-862157</v>
      </c>
      <c r="H38" s="153">
        <f>IF('EE.FF Económicos'!$D$54="Soles",HLOOKUP(H$2,'Plantilla Usuario'!$B$10:$I$54,$B38),HLOOKUP(H$2,'Plantilla Usuario'!$B$10:$I$54,$B38)/VLOOKUP($H$2,Tablas!$B$52:$C$59,2))</f>
        <v>-786246</v>
      </c>
    </row>
    <row r="39" spans="1:11">
      <c r="B39" s="126">
        <v>37</v>
      </c>
      <c r="C39" s="127" t="s">
        <v>51</v>
      </c>
      <c r="D39" s="153">
        <f>IF('EE.FF Económicos'!$D$54="Soles",HLOOKUP(D$2,'Plantilla Usuario'!$B$10:$I$54,$B40),HLOOKUP(D$2,'Plantilla Usuario'!$B$10:$I$54,$B40)/VLOOKUP($H$2,Tablas!$B$52:$C$59,2))</f>
        <v>-487579</v>
      </c>
      <c r="E39" s="153">
        <f>IF('EE.FF Económicos'!$D$54="Soles",HLOOKUP(E$2,'Plantilla Usuario'!$B$10:$I$54,$B40),HLOOKUP(E$2,'Plantilla Usuario'!$B$10:$I$54,$B40)/VLOOKUP($H$2,Tablas!$B$52:$C$59,2))</f>
        <v>-603139</v>
      </c>
      <c r="F39" s="153">
        <f>IF('EE.FF Económicos'!$D$54="Soles",HLOOKUP(F$2,'Plantilla Usuario'!$B$10:$I$54,$B40),HLOOKUP(F$2,'Plantilla Usuario'!$B$10:$I$54,$B40)/VLOOKUP($H$2,Tablas!$B$52:$C$59,2))</f>
        <v>-651838</v>
      </c>
      <c r="G39" s="153">
        <f>IF('EE.FF Económicos'!$D$54="Soles",HLOOKUP(G$2,'Plantilla Usuario'!$B$10:$I$54,$B40),HLOOKUP(G$2,'Plantilla Usuario'!$B$10:$I$54,$B40)/VLOOKUP($H$2,Tablas!$B$52:$C$59,2))</f>
        <v>-688428</v>
      </c>
      <c r="H39" s="153">
        <f>IF('EE.FF Económicos'!$D$54="Soles",HLOOKUP(H$2,'Plantilla Usuario'!$B$10:$I$54,$B40),HLOOKUP(H$2,'Plantilla Usuario'!$B$10:$I$54,$B40)/VLOOKUP($H$2,Tablas!$B$52:$C$59,2))</f>
        <v>-732928</v>
      </c>
    </row>
    <row r="40" spans="1:11">
      <c r="B40" s="126">
        <v>38</v>
      </c>
      <c r="C40" s="127" t="s">
        <v>52</v>
      </c>
      <c r="D40" s="153">
        <f>IF('EE.FF Económicos'!$D$54="Soles",HLOOKUP(D$2,'Plantilla Usuario'!$B$10:$I$54,$B41),HLOOKUP(D$2,'Plantilla Usuario'!$B$10:$I$54,$B41)/VLOOKUP($H$2,Tablas!$B$52:$C$59,2))</f>
        <v>-42607</v>
      </c>
      <c r="E40" s="153">
        <f>IF('EE.FF Económicos'!$D$54="Soles",HLOOKUP(E$2,'Plantilla Usuario'!$B$10:$I$54,$B41),HLOOKUP(E$2,'Plantilla Usuario'!$B$10:$I$54,$B41)/VLOOKUP($H$2,Tablas!$B$52:$C$59,2))</f>
        <v>26059</v>
      </c>
      <c r="F40" s="153">
        <f>IF('EE.FF Económicos'!$D$54="Soles",HLOOKUP(F$2,'Plantilla Usuario'!$B$10:$I$54,$B41),HLOOKUP(F$2,'Plantilla Usuario'!$B$10:$I$54,$B41)/VLOOKUP($H$2,Tablas!$B$52:$C$59,2))</f>
        <v>-49856</v>
      </c>
      <c r="G40" s="153">
        <f>IF('EE.FF Económicos'!$D$54="Soles",HLOOKUP(G$2,'Plantilla Usuario'!$B$10:$I$54,$B41),HLOOKUP(G$2,'Plantilla Usuario'!$B$10:$I$54,$B41)/VLOOKUP($H$2,Tablas!$B$52:$C$59,2))</f>
        <v>-75085</v>
      </c>
      <c r="H40" s="153">
        <f>IF('EE.FF Económicos'!$D$54="Soles",HLOOKUP(H$2,'Plantilla Usuario'!$B$10:$I$54,$B41),HLOOKUP(H$2,'Plantilla Usuario'!$B$10:$I$54,$B41)/VLOOKUP($H$2,Tablas!$B$52:$C$59,2))</f>
        <v>39531</v>
      </c>
    </row>
    <row r="41" spans="1:11">
      <c r="B41" s="126">
        <v>39</v>
      </c>
      <c r="C41" s="146" t="s">
        <v>53</v>
      </c>
      <c r="D41" s="156">
        <f>SUM(D37:D40)</f>
        <v>743072</v>
      </c>
      <c r="E41" s="156">
        <f>SUM(E37:E40)</f>
        <v>786274</v>
      </c>
      <c r="F41" s="156">
        <f>SUM(F37:F40)</f>
        <v>948575</v>
      </c>
      <c r="G41" s="156">
        <f>SUM(G37:G40)</f>
        <v>793843</v>
      </c>
      <c r="H41" s="156">
        <f>SUM(H37:H40)</f>
        <v>916566</v>
      </c>
    </row>
    <row r="42" spans="1:11">
      <c r="B42" s="126">
        <v>41</v>
      </c>
      <c r="C42" s="127" t="s">
        <v>483</v>
      </c>
      <c r="D42" s="153">
        <f>-29.5%*D41</f>
        <v>-219206.24</v>
      </c>
      <c r="E42" s="153">
        <f>-29.5%*E41</f>
        <v>-231950.83</v>
      </c>
      <c r="F42" s="153">
        <f>-29.5%*F41</f>
        <v>-279829.625</v>
      </c>
      <c r="G42" s="153">
        <f>-29.5%*G41</f>
        <v>-234183.685</v>
      </c>
      <c r="H42" s="153">
        <f>-29.5%*H41</f>
        <v>-270386.97</v>
      </c>
    </row>
    <row r="43" spans="1:11">
      <c r="B43" s="126">
        <v>42</v>
      </c>
      <c r="C43" s="364" t="s">
        <v>449</v>
      </c>
      <c r="D43" s="153">
        <f>IF('EE.FF Económicos'!$D$54="Soles",HLOOKUP(D$2,'Plantilla Usuario'!$B$10:$I$54,$B39),HLOOKUP(D$2,'Plantilla Usuario'!$B$10:$I$54,$B39)/VLOOKUP($H$2,Tablas!$B$52:$C$59,2))</f>
        <v>164314</v>
      </c>
      <c r="E43" s="153">
        <f>IF('EE.FF Económicos'!$D$54="Soles",HLOOKUP(E$2,'Plantilla Usuario'!$B$10:$I$54,$B39),HLOOKUP(E$2,'Plantilla Usuario'!$B$10:$I$54,$B39)/VLOOKUP($H$2,Tablas!$B$52:$C$59,2))</f>
        <v>202775</v>
      </c>
      <c r="F43" s="153">
        <f>IF('EE.FF Económicos'!$D$54="Soles",HLOOKUP(F$2,'Plantilla Usuario'!$B$10:$I$54,$B39),HLOOKUP(F$2,'Plantilla Usuario'!$B$10:$I$54,$B39)/VLOOKUP($H$2,Tablas!$B$52:$C$59,2))</f>
        <v>298028</v>
      </c>
      <c r="G43" s="153">
        <f>IF('EE.FF Económicos'!$D$54="Soles",HLOOKUP(G$2,'Plantilla Usuario'!$B$10:$I$54,$B39),HLOOKUP(G$2,'Plantilla Usuario'!$B$10:$I$54,$B39)/VLOOKUP($H$2,Tablas!$B$52:$C$59,2))</f>
        <v>286071</v>
      </c>
      <c r="H43" s="153">
        <f>IF('EE.FF Económicos'!$D$54="Soles",HLOOKUP(H$2,'Plantilla Usuario'!$B$10:$I$54,$B39),HLOOKUP(H$2,'Plantilla Usuario'!$B$10:$I$54,$B39)/VLOOKUP($H$2,Tablas!$B$52:$C$59,2))</f>
        <v>232476</v>
      </c>
    </row>
    <row r="44" spans="1:11">
      <c r="B44" s="126">
        <v>43</v>
      </c>
      <c r="C44" s="154" t="s">
        <v>484</v>
      </c>
      <c r="D44" s="155">
        <f>D41+D42+D43</f>
        <v>688179.76</v>
      </c>
      <c r="E44" s="155">
        <f>E41+E42+E43</f>
        <v>757098.17</v>
      </c>
      <c r="F44" s="155">
        <f>F41+F42+F43</f>
        <v>966773.375</v>
      </c>
      <c r="G44" s="155">
        <f>G41+G42+G43</f>
        <v>845730.315</v>
      </c>
      <c r="H44" s="155">
        <f>H41+H42+H43</f>
        <v>878655.03</v>
      </c>
    </row>
    <row r="45" spans="1:11">
      <c r="B45" s="126">
        <v>44</v>
      </c>
    </row>
    <row r="46" spans="1:11">
      <c r="B46" s="126">
        <v>45</v>
      </c>
      <c r="C46" s="128"/>
      <c r="D46" s="157"/>
      <c r="E46" s="157"/>
      <c r="F46" s="157"/>
      <c r="G46" s="157"/>
      <c r="H46" s="157"/>
    </row>
    <row r="47" spans="1:11">
      <c r="B47" s="126">
        <v>46</v>
      </c>
      <c r="C47" s="148" t="s">
        <v>485</v>
      </c>
      <c r="D47" s="149">
        <f>D34</f>
        <v>2017</v>
      </c>
      <c r="E47" s="149">
        <f>E34</f>
        <v>2018</v>
      </c>
      <c r="F47" s="149">
        <f>F34</f>
        <v>2019</v>
      </c>
      <c r="G47" s="149">
        <f>G34</f>
        <v>2020</v>
      </c>
      <c r="H47" s="149">
        <f>H34</f>
        <v>2021</v>
      </c>
    </row>
    <row r="48" spans="1:11">
      <c r="B48" s="126">
        <v>47</v>
      </c>
      <c r="C48" s="128" t="s">
        <v>486</v>
      </c>
      <c r="D48" s="157">
        <f>IF('EE.FF Económicos'!$D$54="Soles",HLOOKUP(D$2,'Plantilla Usuario'!$B$10:$I$54,$B11),HLOOKUP(D$2,'Plantilla Usuario'!$B$10:$I$54,$B11)/VLOOKUP($H$2,Tablas!$B$52:$C$59,2))</f>
        <v>1865624</v>
      </c>
      <c r="E48" s="157">
        <f>IF('EE.FF Económicos'!$D$54="Soles",HLOOKUP(E$2,'Plantilla Usuario'!$B$10:$I$54,$B11),HLOOKUP(E$2,'Plantilla Usuario'!$B$10:$I$54,$B11)/VLOOKUP($H$2,Tablas!$B$52:$C$59,2))</f>
        <v>2537852</v>
      </c>
      <c r="F48" s="157">
        <f>IF('EE.FF Económicos'!$D$54="Soles",HLOOKUP(F$2,'Plantilla Usuario'!$B$10:$I$54,$B11),HLOOKUP(F$2,'Plantilla Usuario'!$B$10:$I$54,$B11)/VLOOKUP($H$2,Tablas!$B$52:$C$59,2))</f>
        <v>3323015</v>
      </c>
      <c r="G48" s="157">
        <f>IF('EE.FF Económicos'!$D$54="Soles",HLOOKUP(G$2,'Plantilla Usuario'!$B$10:$I$54,$B11),HLOOKUP(G$2,'Plantilla Usuario'!$B$10:$I$54,$B11)/VLOOKUP($H$2,Tablas!$B$52:$C$59,2))</f>
        <v>3410774</v>
      </c>
      <c r="H48" s="157">
        <f>IF('EE.FF Económicos'!$D$54="Soles",HLOOKUP(H$2,'Plantilla Usuario'!$B$10:$I$54,$B11),HLOOKUP(H$2,'Plantilla Usuario'!$B$10:$I$54,$B11)/VLOOKUP($H$2,Tablas!$B$52:$C$59,2))</f>
        <v>3343589</v>
      </c>
    </row>
    <row r="49" spans="1:11">
      <c r="B49" s="126">
        <v>48</v>
      </c>
      <c r="C49" s="364" t="s">
        <v>487</v>
      </c>
      <c r="D49" s="157">
        <f>IF('EE.FF Económicos'!$D$54="Soles",HLOOKUP(D$2,'Plantilla Usuario'!$B$10:$I$54,$B12),HLOOKUP(D$2,'Plantilla Usuario'!$B$10:$I$54,$B12)/VLOOKUP($H$2,Tablas!$B$52:$C$59,2))</f>
        <v>1198090</v>
      </c>
      <c r="E49" s="157">
        <f>IF('EE.FF Económicos'!$D$54="Soles",HLOOKUP(E$2,'Plantilla Usuario'!$B$10:$I$54,$B12),HLOOKUP(E$2,'Plantilla Usuario'!$B$10:$I$54,$B12)/VLOOKUP($H$2,Tablas!$B$52:$C$59,2))</f>
        <v>1361126</v>
      </c>
      <c r="F49" s="157">
        <f>IF('EE.FF Económicos'!$D$54="Soles",HLOOKUP(F$2,'Plantilla Usuario'!$B$10:$I$54,$B12),HLOOKUP(F$2,'Plantilla Usuario'!$B$10:$I$54,$B12)/VLOOKUP($H$2,Tablas!$B$52:$C$59,2))</f>
        <v>1540298</v>
      </c>
      <c r="G49" s="157">
        <f>IF('EE.FF Económicos'!$D$54="Soles",HLOOKUP(G$2,'Plantilla Usuario'!$B$10:$I$54,$B12),HLOOKUP(G$2,'Plantilla Usuario'!$B$10:$I$54,$B12)/VLOOKUP($H$2,Tablas!$B$52:$C$59,2))</f>
        <v>1801309</v>
      </c>
      <c r="H49" s="157">
        <f>IF('EE.FF Económicos'!$D$54="Soles",HLOOKUP(H$2,'Plantilla Usuario'!$B$10:$I$54,$B12),HLOOKUP(H$2,'Plantilla Usuario'!$B$10:$I$54,$B12)/VLOOKUP($H$2,Tablas!$B$52:$C$59,2))</f>
        <v>1973854</v>
      </c>
    </row>
    <row r="50" spans="1:11">
      <c r="B50" s="126">
        <v>49</v>
      </c>
      <c r="C50" s="158" t="s">
        <v>488</v>
      </c>
      <c r="D50" s="159">
        <f>D48+D49</f>
        <v>3063714</v>
      </c>
      <c r="E50" s="159">
        <f>E48+E49</f>
        <v>3898978</v>
      </c>
      <c r="F50" s="159">
        <f>F48+F49</f>
        <v>4863313</v>
      </c>
      <c r="G50" s="159">
        <f>G48+G49</f>
        <v>5212083</v>
      </c>
      <c r="H50" s="159">
        <f>H48+H49</f>
        <v>5317443</v>
      </c>
    </row>
    <row r="53" spans="1:11">
      <c r="C53" s="129" t="s">
        <v>489</v>
      </c>
      <c r="D53" s="408">
        <v>0.015</v>
      </c>
    </row>
    <row r="54" spans="1:11">
      <c r="C54" s="409" t="s">
        <v>490</v>
      </c>
      <c r="D54" s="435" t="s">
        <v>300</v>
      </c>
    </row>
    <row r="55" spans="1:11">
      <c r="C55" s="432"/>
      <c r="D55" s="433"/>
      <c r="I55" s="362"/>
    </row>
    <row r="56" spans="1:11">
      <c r="I56" s="362"/>
    </row>
    <row r="57" spans="1:11">
      <c r="C57" s="128"/>
      <c r="D57" s="128"/>
      <c r="E57" s="128"/>
      <c r="I57" s="362"/>
    </row>
    <row r="58" spans="1:11">
      <c r="C58" s="128"/>
      <c r="D58" s="164"/>
      <c r="E58" s="128"/>
      <c r="I58" s="362"/>
    </row>
    <row r="59" spans="1:11">
      <c r="C59" s="128"/>
      <c r="D59" s="165"/>
      <c r="E59" s="128"/>
      <c r="I59" s="362"/>
    </row>
    <row r="60" spans="1:11">
      <c r="C60" s="128"/>
      <c r="D60" s="165"/>
      <c r="E60" s="128"/>
    </row>
  </sheetData>
  <dataValidations count="1">
    <dataValidation type="list" allowBlank="1" showDropDown="0" showInputMessage="1" showErrorMessage="1" sqref="D54">
      <formula1>Tablas!$L$2:$L$3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BL164"/>
  <sheetViews>
    <sheetView tabSelected="0" workbookViewId="0" zoomScale="55" zoomScaleNormal="55" showGridLines="true" showRowColHeaders="1" topLeftCell="AG1">
      <selection activeCell="L17" sqref="L17"/>
    </sheetView>
  </sheetViews>
  <sheetFormatPr defaultRowHeight="14.4" defaultColWidth="11.44140625" outlineLevelRow="0" outlineLevelCol="0"/>
  <cols>
    <col min="1" max="1" width="14.6640625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8.33203125" customWidth="true" style="366"/>
    <col min="11" max="11" width="31" customWidth="true" style="366"/>
    <col min="12" max="12" width="11.44140625" style="366"/>
    <col min="13" max="13" width="11.44140625" style="366"/>
    <col min="14" max="14" width="14.6640625" customWidth="true" style="0"/>
    <col min="15" max="15" width="22" customWidth="true" style="0"/>
    <col min="16" max="16" width="22" customWidth="true" style="0"/>
    <col min="17" max="17" width="22" customWidth="true" style="0"/>
    <col min="18" max="18" width="22" customWidth="true" style="0"/>
    <col min="19" max="19" width="22" customWidth="true" style="0"/>
    <col min="20" max="20" width="22" customWidth="true" style="0"/>
    <col min="21" max="21" width="22" customWidth="true" style="0"/>
    <col min="22" max="22" width="22" customWidth="true" style="0"/>
    <col min="23" max="23" width="8.33203125" customWidth="true" style="366"/>
    <col min="24" max="24" width="31" customWidth="true" style="366"/>
    <col min="25" max="25" width="11.44140625" style="366"/>
  </cols>
  <sheetData>
    <row r="1" spans="1:64">
      <c r="A1" s="781">
        <v>2021</v>
      </c>
      <c r="B1" s="782"/>
      <c r="C1" s="782"/>
      <c r="D1" s="782"/>
      <c r="E1" s="782"/>
      <c r="F1" s="782"/>
      <c r="G1" s="782"/>
      <c r="H1" s="782"/>
      <c r="I1" s="783"/>
      <c r="J1" s="552"/>
      <c r="N1" s="781">
        <v>2022</v>
      </c>
      <c r="O1" s="782"/>
      <c r="P1" s="782"/>
      <c r="Q1" s="782"/>
      <c r="R1" s="782"/>
      <c r="S1" s="782"/>
      <c r="T1" s="782"/>
      <c r="U1" s="782"/>
      <c r="V1" s="783"/>
      <c r="W1" s="552"/>
      <c r="AA1" s="781">
        <v>2023</v>
      </c>
      <c r="AB1" s="782"/>
      <c r="AC1" s="782"/>
      <c r="AD1" s="782"/>
      <c r="AE1" s="782"/>
      <c r="AF1" s="782"/>
      <c r="AG1" s="782"/>
      <c r="AH1" s="782"/>
      <c r="AI1" s="783"/>
      <c r="AJ1" s="552"/>
      <c r="AN1" s="781">
        <v>2024</v>
      </c>
      <c r="AO1" s="782"/>
      <c r="AP1" s="782"/>
      <c r="AQ1" s="782"/>
      <c r="AR1" s="782"/>
      <c r="AS1" s="782"/>
      <c r="AT1" s="782"/>
      <c r="AU1" s="782"/>
      <c r="AV1" s="783"/>
      <c r="AW1" s="552"/>
      <c r="BA1" s="781">
        <v>2025</v>
      </c>
      <c r="BB1" s="782"/>
      <c r="BC1" s="782"/>
      <c r="BD1" s="782"/>
      <c r="BE1" s="782"/>
      <c r="BF1" s="782"/>
      <c r="BG1" s="782"/>
      <c r="BH1" s="782"/>
      <c r="BI1" s="783"/>
      <c r="BJ1" s="552"/>
    </row>
    <row r="2" spans="1:64" customHeight="1" ht="34.5">
      <c r="A2" s="519" t="s">
        <v>491</v>
      </c>
      <c r="B2" s="519" t="s">
        <v>492</v>
      </c>
      <c r="C2" s="519" t="s">
        <v>493</v>
      </c>
      <c r="D2" s="519" t="s">
        <v>494</v>
      </c>
      <c r="E2" s="519" t="s">
        <v>495</v>
      </c>
      <c r="F2" s="519" t="s">
        <v>496</v>
      </c>
      <c r="G2" s="519" t="s">
        <v>497</v>
      </c>
      <c r="H2" s="519" t="s">
        <v>2</v>
      </c>
      <c r="I2" s="519" t="s">
        <v>498</v>
      </c>
      <c r="J2" s="367"/>
      <c r="K2" s="525" t="s">
        <v>499</v>
      </c>
      <c r="L2" s="10">
        <f>WACC!$C$6</f>
        <v>1</v>
      </c>
      <c r="N2" s="519" t="s">
        <v>491</v>
      </c>
      <c r="O2" s="519" t="s">
        <v>492</v>
      </c>
      <c r="P2" s="519" t="s">
        <v>493</v>
      </c>
      <c r="Q2" s="519" t="s">
        <v>494</v>
      </c>
      <c r="R2" s="519" t="s">
        <v>495</v>
      </c>
      <c r="S2" s="519" t="s">
        <v>496</v>
      </c>
      <c r="T2" s="519" t="s">
        <v>497</v>
      </c>
      <c r="U2" s="519" t="s">
        <v>2</v>
      </c>
      <c r="V2" s="519" t="s">
        <v>498</v>
      </c>
      <c r="W2" s="367"/>
      <c r="X2" s="525" t="s">
        <v>499</v>
      </c>
      <c r="Y2" s="10">
        <f>WACC!$C$6</f>
        <v>1</v>
      </c>
      <c r="AA2" s="519" t="s">
        <v>491</v>
      </c>
      <c r="AB2" s="519" t="s">
        <v>492</v>
      </c>
      <c r="AC2" s="519" t="s">
        <v>493</v>
      </c>
      <c r="AD2" s="519" t="s">
        <v>494</v>
      </c>
      <c r="AE2" s="519" t="s">
        <v>495</v>
      </c>
      <c r="AF2" s="519" t="s">
        <v>496</v>
      </c>
      <c r="AG2" s="519" t="s">
        <v>497</v>
      </c>
      <c r="AH2" s="519" t="s">
        <v>2</v>
      </c>
      <c r="AI2" s="519" t="s">
        <v>498</v>
      </c>
      <c r="AJ2" s="367"/>
      <c r="AK2" s="525" t="s">
        <v>499</v>
      </c>
      <c r="AL2" s="10">
        <f>WACC!$C$6</f>
        <v>1</v>
      </c>
      <c r="AN2" s="519" t="s">
        <v>491</v>
      </c>
      <c r="AO2" s="519" t="s">
        <v>492</v>
      </c>
      <c r="AP2" s="519" t="s">
        <v>493</v>
      </c>
      <c r="AQ2" s="519" t="s">
        <v>494</v>
      </c>
      <c r="AR2" s="519" t="s">
        <v>495</v>
      </c>
      <c r="AS2" s="519" t="s">
        <v>496</v>
      </c>
      <c r="AT2" s="519" t="s">
        <v>497</v>
      </c>
      <c r="AU2" s="519" t="s">
        <v>2</v>
      </c>
      <c r="AV2" s="519" t="s">
        <v>498</v>
      </c>
      <c r="AW2" s="367"/>
      <c r="AX2" s="525" t="s">
        <v>499</v>
      </c>
      <c r="AY2" s="10">
        <f>WACC!$C$6</f>
        <v>1</v>
      </c>
      <c r="BA2" s="519" t="s">
        <v>491</v>
      </c>
      <c r="BB2" s="519" t="s">
        <v>492</v>
      </c>
      <c r="BC2" s="519" t="s">
        <v>493</v>
      </c>
      <c r="BD2" s="519" t="s">
        <v>494</v>
      </c>
      <c r="BE2" s="519" t="s">
        <v>495</v>
      </c>
      <c r="BF2" s="519" t="s">
        <v>496</v>
      </c>
      <c r="BG2" s="519" t="s">
        <v>497</v>
      </c>
      <c r="BH2" s="519" t="s">
        <v>2</v>
      </c>
      <c r="BI2" s="519" t="s">
        <v>498</v>
      </c>
      <c r="BJ2" s="367"/>
      <c r="BK2" s="525" t="s">
        <v>499</v>
      </c>
      <c r="BL2" s="10">
        <f>WACC!$C$6</f>
        <v>1</v>
      </c>
    </row>
    <row r="3" spans="1:64">
      <c r="A3" s="520"/>
      <c r="B3" s="520">
        <v>1</v>
      </c>
      <c r="C3" s="520">
        <v>2</v>
      </c>
      <c r="D3" s="520">
        <v>3</v>
      </c>
      <c r="E3" s="520">
        <v>4</v>
      </c>
      <c r="F3" s="520">
        <v>5</v>
      </c>
      <c r="G3" s="520">
        <v>6</v>
      </c>
      <c r="H3" s="520">
        <v>7</v>
      </c>
      <c r="I3" s="520">
        <v>8</v>
      </c>
      <c r="J3" s="368"/>
      <c r="N3" s="520"/>
      <c r="O3" s="520">
        <v>1</v>
      </c>
      <c r="P3" s="520">
        <v>2</v>
      </c>
      <c r="Q3" s="520">
        <v>3</v>
      </c>
      <c r="R3" s="520">
        <v>4</v>
      </c>
      <c r="S3" s="520">
        <v>5</v>
      </c>
      <c r="T3" s="520">
        <v>6</v>
      </c>
      <c r="U3" s="520">
        <v>7</v>
      </c>
      <c r="V3" s="520">
        <v>8</v>
      </c>
      <c r="W3" s="368"/>
      <c r="AA3" s="520"/>
      <c r="AB3" s="520">
        <v>1</v>
      </c>
      <c r="AC3" s="520">
        <v>2</v>
      </c>
      <c r="AD3" s="520">
        <v>3</v>
      </c>
      <c r="AE3" s="520">
        <v>4</v>
      </c>
      <c r="AF3" s="520">
        <v>5</v>
      </c>
      <c r="AG3" s="520">
        <v>6</v>
      </c>
      <c r="AH3" s="520">
        <v>7</v>
      </c>
      <c r="AI3" s="520">
        <v>8</v>
      </c>
      <c r="AJ3" s="368"/>
      <c r="AN3" s="520"/>
      <c r="AO3" s="520">
        <v>1</v>
      </c>
      <c r="AP3" s="520">
        <v>2</v>
      </c>
      <c r="AQ3" s="520">
        <v>3</v>
      </c>
      <c r="AR3" s="520">
        <v>4</v>
      </c>
      <c r="AS3" s="520">
        <v>5</v>
      </c>
      <c r="AT3" s="520">
        <v>6</v>
      </c>
      <c r="AU3" s="520">
        <v>7</v>
      </c>
      <c r="AV3" s="520">
        <v>8</v>
      </c>
      <c r="AW3" s="368"/>
      <c r="BA3" s="520"/>
      <c r="BB3" s="520">
        <v>1</v>
      </c>
      <c r="BC3" s="520">
        <v>2</v>
      </c>
      <c r="BD3" s="520">
        <v>3</v>
      </c>
      <c r="BE3" s="520">
        <v>4</v>
      </c>
      <c r="BF3" s="520">
        <v>5</v>
      </c>
      <c r="BG3" s="520">
        <v>6</v>
      </c>
      <c r="BH3" s="520">
        <v>7</v>
      </c>
      <c r="BI3" s="520">
        <v>8</v>
      </c>
      <c r="BJ3" s="368"/>
    </row>
    <row r="4" spans="1:64">
      <c r="A4" s="521">
        <v>0</v>
      </c>
      <c r="B4" s="522"/>
      <c r="C4" s="447"/>
      <c r="D4" s="447"/>
      <c r="E4" s="447"/>
      <c r="F4" s="447"/>
      <c r="G4" s="447"/>
      <c r="H4" s="447">
        <v>0.021662294222397</v>
      </c>
      <c r="I4" s="447">
        <v>0</v>
      </c>
      <c r="J4" s="368"/>
      <c r="K4" s="526" t="s">
        <v>1</v>
      </c>
      <c r="L4" s="518" t="str">
        <f>WACC!$F$6</f>
        <v>Peru</v>
      </c>
      <c r="N4" s="521">
        <v>0</v>
      </c>
      <c r="O4" s="522"/>
      <c r="P4" s="447"/>
      <c r="Q4" s="447"/>
      <c r="R4" s="447"/>
      <c r="S4" s="447"/>
      <c r="T4" s="447"/>
      <c r="U4" s="447">
        <v>0.024774919390157</v>
      </c>
      <c r="V4" s="447">
        <v>0</v>
      </c>
      <c r="W4" s="368"/>
      <c r="X4" s="526" t="s">
        <v>1</v>
      </c>
      <c r="Y4" s="518" t="str">
        <f>WACC!$F$6</f>
        <v>Peru</v>
      </c>
      <c r="AA4" s="521">
        <v>0</v>
      </c>
      <c r="AB4" s="522"/>
      <c r="AC4" s="447"/>
      <c r="AD4" s="447"/>
      <c r="AE4" s="447"/>
      <c r="AF4" s="447"/>
      <c r="AG4" s="447"/>
      <c r="AH4" s="447">
        <v>0.0098310077404113</v>
      </c>
      <c r="AI4" s="447">
        <v>0</v>
      </c>
      <c r="AJ4" s="368"/>
      <c r="AK4" s="526" t="s">
        <v>1</v>
      </c>
      <c r="AL4" s="518" t="str">
        <f>WACC!$F$6</f>
        <v>Peru</v>
      </c>
      <c r="AN4" s="521">
        <v>0</v>
      </c>
      <c r="AO4" s="522"/>
      <c r="AP4" s="447">
        <v>0</v>
      </c>
      <c r="AQ4" s="447">
        <v>0</v>
      </c>
      <c r="AR4" s="447">
        <v>0</v>
      </c>
      <c r="AS4" s="447"/>
      <c r="AT4" s="447">
        <v>0</v>
      </c>
      <c r="AU4" s="635">
        <v>-0.001</v>
      </c>
      <c r="AV4" s="447">
        <v>0</v>
      </c>
      <c r="AW4" s="368"/>
      <c r="AX4" s="526" t="s">
        <v>1</v>
      </c>
      <c r="AY4" s="518" t="str">
        <f>WACC!$F$6</f>
        <v>Peru</v>
      </c>
      <c r="BA4" s="521">
        <v>0</v>
      </c>
      <c r="BB4" s="522"/>
      <c r="BC4" s="447"/>
      <c r="BD4" s="447"/>
      <c r="BE4" s="447"/>
      <c r="BF4" s="447"/>
      <c r="BG4" s="447"/>
      <c r="BH4" s="760">
        <v>0.0029292816225095</v>
      </c>
      <c r="BI4" s="447">
        <v>0</v>
      </c>
      <c r="BJ4" s="368"/>
      <c r="BK4" s="526" t="s">
        <v>1</v>
      </c>
      <c r="BL4" s="518" t="str">
        <f>WACC!$F$6</f>
        <v>Peru</v>
      </c>
    </row>
    <row r="5" spans="1:64">
      <c r="A5" s="521">
        <v>0.24657534246575</v>
      </c>
      <c r="B5" s="522"/>
      <c r="C5" s="447"/>
      <c r="D5" s="447"/>
      <c r="E5" s="447"/>
      <c r="F5" s="447"/>
      <c r="G5" s="447"/>
      <c r="H5" s="447">
        <v>0.022852123725223</v>
      </c>
      <c r="I5" s="447">
        <v>0</v>
      </c>
      <c r="J5" s="368"/>
      <c r="M5" s="369"/>
      <c r="N5" s="521">
        <v>0.24657534246575</v>
      </c>
      <c r="O5" s="522"/>
      <c r="P5" s="447"/>
      <c r="Q5" s="447"/>
      <c r="R5" s="447"/>
      <c r="S5" s="447"/>
      <c r="T5" s="447"/>
      <c r="U5" s="447">
        <v>0.021018341244844</v>
      </c>
      <c r="V5" s="447">
        <v>0</v>
      </c>
      <c r="W5" s="368"/>
      <c r="AA5" s="521">
        <v>0.24657534246575</v>
      </c>
      <c r="AB5" s="522"/>
      <c r="AC5" s="447"/>
      <c r="AD5" s="447"/>
      <c r="AE5" s="447"/>
      <c r="AF5" s="447"/>
      <c r="AG5" s="447"/>
      <c r="AH5" s="447">
        <v>0.005378154077311</v>
      </c>
      <c r="AI5" s="447">
        <v>0</v>
      </c>
      <c r="AJ5" s="368"/>
      <c r="AN5" s="521">
        <v>0.24657534246575</v>
      </c>
      <c r="AO5" s="522"/>
      <c r="AP5" s="447">
        <v>0.0384</v>
      </c>
      <c r="AQ5" s="447">
        <v>0.008</v>
      </c>
      <c r="AR5" s="447">
        <v>0.0145</v>
      </c>
      <c r="AS5" s="447"/>
      <c r="AT5" s="447">
        <v>0.0626</v>
      </c>
      <c r="AU5" s="635">
        <v>-0.0027</v>
      </c>
      <c r="AV5" s="447">
        <v>0</v>
      </c>
      <c r="AW5" s="368"/>
      <c r="BA5" s="521">
        <v>0.24657534246575</v>
      </c>
      <c r="BB5" s="522"/>
      <c r="BC5" s="447"/>
      <c r="BD5" s="447"/>
      <c r="BE5" s="447"/>
      <c r="BF5" s="447"/>
      <c r="BG5" s="447"/>
      <c r="BH5" s="760">
        <v>0.00060164758697012</v>
      </c>
      <c r="BI5" s="447">
        <v>0</v>
      </c>
      <c r="BJ5" s="368"/>
    </row>
    <row r="6" spans="1:64">
      <c r="A6" s="521">
        <v>0.49315068493151</v>
      </c>
      <c r="B6" s="522"/>
      <c r="C6" s="447"/>
      <c r="D6" s="447"/>
      <c r="E6" s="447"/>
      <c r="F6" s="447"/>
      <c r="G6" s="447"/>
      <c r="H6" s="447">
        <v>0.023929122580828</v>
      </c>
      <c r="I6" s="447">
        <v>0</v>
      </c>
      <c r="J6" s="368"/>
      <c r="K6" s="527" t="s">
        <v>500</v>
      </c>
      <c r="L6" s="10">
        <f>HLOOKUP(L4,B2:I3,2)</f>
        <v>7</v>
      </c>
      <c r="N6" s="521">
        <v>0.49315068493151</v>
      </c>
      <c r="O6" s="522"/>
      <c r="P6" s="447"/>
      <c r="Q6" s="447"/>
      <c r="R6" s="447"/>
      <c r="S6" s="447"/>
      <c r="T6" s="447"/>
      <c r="U6" s="447">
        <v>0.018361111246769</v>
      </c>
      <c r="V6" s="447">
        <v>0</v>
      </c>
      <c r="W6" s="368"/>
      <c r="X6" s="527" t="s">
        <v>500</v>
      </c>
      <c r="Y6" s="10">
        <f>HLOOKUP(Y4,O2:V3,2)</f>
        <v>7</v>
      </c>
      <c r="AA6" s="521">
        <v>0.49315068493151</v>
      </c>
      <c r="AB6" s="522"/>
      <c r="AC6" s="447"/>
      <c r="AD6" s="447"/>
      <c r="AE6" s="447"/>
      <c r="AF6" s="447"/>
      <c r="AG6" s="447"/>
      <c r="AH6" s="447">
        <v>0.0025582538645439</v>
      </c>
      <c r="AI6" s="447">
        <v>0</v>
      </c>
      <c r="AJ6" s="368"/>
      <c r="AK6" s="527" t="s">
        <v>500</v>
      </c>
      <c r="AL6" s="10">
        <f>HLOOKUP(AL4,AB2:AI3,2)</f>
        <v>7</v>
      </c>
      <c r="AN6" s="521">
        <v>0.49315068493151</v>
      </c>
      <c r="AO6" s="522"/>
      <c r="AP6" s="447">
        <v>0.0414</v>
      </c>
      <c r="AQ6" s="447">
        <v>0.0067</v>
      </c>
      <c r="AR6" s="447">
        <v>0.0169</v>
      </c>
      <c r="AS6" s="447"/>
      <c r="AT6" s="447">
        <v>0.0616</v>
      </c>
      <c r="AU6" s="635">
        <v>-0.0037</v>
      </c>
      <c r="AV6" s="447">
        <v>0</v>
      </c>
      <c r="AW6" s="368"/>
      <c r="AX6" s="527" t="s">
        <v>500</v>
      </c>
      <c r="AY6" s="10">
        <f>HLOOKUP(AY4,AO2:AV3,2)</f>
        <v>7</v>
      </c>
      <c r="BA6" s="521">
        <v>0.49315068493151</v>
      </c>
      <c r="BB6" s="522"/>
      <c r="BC6" s="447"/>
      <c r="BD6" s="447"/>
      <c r="BE6" s="447"/>
      <c r="BF6" s="447"/>
      <c r="BG6" s="447"/>
      <c r="BH6" s="760">
        <v>-0.0011902241083034</v>
      </c>
      <c r="BI6" s="447">
        <v>0</v>
      </c>
      <c r="BJ6" s="368"/>
      <c r="BK6" s="527" t="s">
        <v>500</v>
      </c>
      <c r="BL6" s="10">
        <f>HLOOKUP(BL4,BB2:BI3,2)</f>
        <v>7</v>
      </c>
    </row>
    <row r="7" spans="1:64">
      <c r="A7" s="521">
        <v>0.73972602739726</v>
      </c>
      <c r="B7" s="522"/>
      <c r="C7" s="447"/>
      <c r="D7" s="447"/>
      <c r="E7" s="447"/>
      <c r="F7" s="447"/>
      <c r="G7" s="447"/>
      <c r="H7" s="447">
        <v>0.024902279081006</v>
      </c>
      <c r="I7" s="447">
        <v>0</v>
      </c>
      <c r="J7" s="368"/>
      <c r="N7" s="521">
        <v>0.73972602739726</v>
      </c>
      <c r="O7" s="522"/>
      <c r="P7" s="447"/>
      <c r="Q7" s="447"/>
      <c r="R7" s="447"/>
      <c r="S7" s="447"/>
      <c r="T7" s="447"/>
      <c r="U7" s="447">
        <v>0.016535070547022</v>
      </c>
      <c r="V7" s="447">
        <v>0</v>
      </c>
      <c r="W7" s="368"/>
      <c r="AA7" s="521">
        <v>0.73972602739726</v>
      </c>
      <c r="AB7" s="522"/>
      <c r="AC7" s="447"/>
      <c r="AD7" s="447"/>
      <c r="AE7" s="447"/>
      <c r="AF7" s="447"/>
      <c r="AG7" s="447"/>
      <c r="AH7" s="447">
        <v>0.00091154423085293</v>
      </c>
      <c r="AI7" s="447">
        <v>0</v>
      </c>
      <c r="AJ7" s="368"/>
      <c r="AN7" s="521">
        <v>0.73972602739726</v>
      </c>
      <c r="AO7" s="522"/>
      <c r="AP7" s="447">
        <v>0.044</v>
      </c>
      <c r="AQ7" s="447">
        <v>0.0056</v>
      </c>
      <c r="AR7" s="447">
        <v>0.0189</v>
      </c>
      <c r="AS7" s="447"/>
      <c r="AT7" s="447">
        <v>0.0607</v>
      </c>
      <c r="AU7" s="635">
        <v>-0.0043</v>
      </c>
      <c r="AV7" s="447">
        <v>0</v>
      </c>
      <c r="AW7" s="368"/>
      <c r="BA7" s="521">
        <v>0.73972602739726</v>
      </c>
      <c r="BB7" s="522"/>
      <c r="BC7" s="447"/>
      <c r="BD7" s="447"/>
      <c r="BE7" s="447"/>
      <c r="BF7" s="447"/>
      <c r="BG7" s="447"/>
      <c r="BH7" s="760">
        <v>-0.0025338990041954</v>
      </c>
      <c r="BI7" s="447">
        <v>0</v>
      </c>
      <c r="BJ7" s="368"/>
    </row>
    <row r="8" spans="1:64" customHeight="1" ht="15.75">
      <c r="A8" s="521">
        <v>0.98630136986301</v>
      </c>
      <c r="B8" s="522"/>
      <c r="C8" s="447"/>
      <c r="D8" s="447"/>
      <c r="E8" s="447"/>
      <c r="F8" s="447"/>
      <c r="G8" s="447"/>
      <c r="H8" s="447">
        <v>0.02577994391325</v>
      </c>
      <c r="I8" s="447">
        <v>0</v>
      </c>
      <c r="J8" s="368"/>
      <c r="K8" s="523" t="s">
        <v>501</v>
      </c>
      <c r="L8" s="524">
        <f t="array" ref="L8" aca="1" ca="1">+IF(L$2="0.25 (3 m)",INDEX($B$4:$I$144,MATCH(0.25,$A$4:$A$144,1),HLOOKUP(L4,B2:I3,2)),IF(L$2="0.5 (6 m)",INDEX($B$4:$I$144,MATCH(0.5,$A$4:$A$144,1),HLOOKUP(L4,B2:I3,2)),INDEX($B$4:$I$144,MATCH(L2,$A$4:$A$144,1),HLOOKUP(L4,B2:I3,2))))</f>
      </c>
      <c r="N8" s="521">
        <v>0.98630136986301</v>
      </c>
      <c r="O8" s="522"/>
      <c r="P8" s="447"/>
      <c r="Q8" s="447"/>
      <c r="R8" s="447"/>
      <c r="S8" s="447"/>
      <c r="T8" s="447"/>
      <c r="U8" s="447">
        <v>0.015334342197171</v>
      </c>
      <c r="V8" s="447">
        <v>0</v>
      </c>
      <c r="W8" s="368"/>
      <c r="X8" s="523" t="s">
        <v>196</v>
      </c>
      <c r="Y8" s="524">
        <f t="array" ref="Y8" aca="1" ca="1">+IF(Y$2="0.25 (3 m)",INDEX($O$4:$V$144,MATCH(0.25,$N$4:$N$144,1),HLOOKUP(Y4,O2:V3,2)),IF(Y$2="0.5 (6 m)",INDEX($O$4:$V$144,MATCH(0.5,$N$4:$N$144,1),HLOOKUP(Y4,O2:V3,2)),INDEX($O$4:$V$144,MATCH(Y2,$N$4:$N$144,1),HLOOKUP(Y4,O2:V3,2))))</f>
      </c>
      <c r="AA8" s="521">
        <v>0.98630136986301</v>
      </c>
      <c r="AB8" s="522"/>
      <c r="AC8" s="447"/>
      <c r="AD8" s="447"/>
      <c r="AE8" s="447"/>
      <c r="AF8" s="447"/>
      <c r="AG8" s="447"/>
      <c r="AH8" s="447">
        <v>0.00010161782885909</v>
      </c>
      <c r="AI8" s="447">
        <v>0</v>
      </c>
      <c r="AJ8" s="368"/>
      <c r="AK8" s="523" t="s">
        <v>196</v>
      </c>
      <c r="AL8" s="524">
        <f t="array" ref="AL8" aca="1" ca="1">+IF(AL$2="0.25 (3 m)",INDEX($AB$4:$AI$144,MATCH(0.25,$AA$4:$AA$144,1),HLOOKUP(AL4,AB2:AI3,2)),IF(AL$2="0.5 (6 m)",INDEX($AB$4:$AI$144,MATCH(0.5,$AA$4:$AA$144,1),HLOOKUP(AL4,AB2:AI3,2)),INDEX($AB$4:$AI$144,MATCH(AL2,$AA$4:$AA$144,1),HLOOKUP(AL4,AB2:AI3,2))))</f>
      </c>
      <c r="AN8" s="521">
        <v>0.98630136986301</v>
      </c>
      <c r="AO8" s="522"/>
      <c r="AP8" s="447">
        <v>0.0464</v>
      </c>
      <c r="AQ8" s="447">
        <v>0.0047</v>
      </c>
      <c r="AR8" s="447">
        <v>0.0206</v>
      </c>
      <c r="AS8" s="447"/>
      <c r="AT8" s="447">
        <v>0.06</v>
      </c>
      <c r="AU8" s="635">
        <v>-0.0045</v>
      </c>
      <c r="AV8" s="447">
        <v>0</v>
      </c>
      <c r="AW8" s="368"/>
      <c r="AX8" s="523" t="s">
        <v>196</v>
      </c>
      <c r="AY8" s="637">
        <f t="array" ref="AY8" aca="1" ca="1">+IF(AY$2="0.25 (3 m)",INDEX($AO$4:$AV$144,MATCH(0.25,$AN$4:$AN$144,1),HLOOKUP(AY4,AO2:AV3,2)),IF(AY$2="0.5 (6 m)",INDEX($AO$4:$AV$144,MATCH(0.5,$AN$4:$AN$144,1),HLOOKUP(AY4,AO2:AV3,2)),INDEX($AO$4:$AV$144,MATCH(AY2,$AN$4:$AN$144,1),HLOOKUP(AY4,AO2:AV3,2))))</f>
      </c>
      <c r="BA8" s="521">
        <v>0.98630136986301</v>
      </c>
      <c r="BB8" s="522"/>
      <c r="BC8" s="447"/>
      <c r="BD8" s="447"/>
      <c r="BE8" s="447"/>
      <c r="BF8" s="447"/>
      <c r="BG8" s="447"/>
      <c r="BH8" s="760">
        <v>-0.0035034675097561</v>
      </c>
      <c r="BI8" s="447">
        <v>0</v>
      </c>
      <c r="BJ8" s="368"/>
      <c r="BK8" s="523" t="s">
        <v>196</v>
      </c>
      <c r="BL8" s="637">
        <f t="array" ref="BL8" aca="1" ca="1">+IF(BL$2="0.25 (3 m)",INDEX($AO$4:$AV$144,MATCH(0.25,$AN$4:$AN$144,1),HLOOKUP(BL4,BB2:BI3,2)),IF(BL$2="0.5 (6 m)",INDEX($AO$4:$AV$144,MATCH(0.5,$AN$4:$AN$144,1),HLOOKUP(BL4,BB2:BI3,2)),INDEX($AO$4:$AV$144,MATCH(BL2,$AN$4:$AN$144,1),HLOOKUP(BL4,BB2:BI3,2))))</f>
      </c>
    </row>
    <row r="9" spans="1:64" customHeight="1" ht="15.75">
      <c r="A9" s="521">
        <v>1.2328767123288</v>
      </c>
      <c r="B9" s="522"/>
      <c r="C9" s="447"/>
      <c r="D9" s="447"/>
      <c r="E9" s="447"/>
      <c r="F9" s="447"/>
      <c r="G9" s="447"/>
      <c r="H9" s="447">
        <v>0.026569862400412</v>
      </c>
      <c r="I9" s="447">
        <v>0</v>
      </c>
      <c r="J9" s="368"/>
      <c r="N9" s="521">
        <v>1.2328767123288</v>
      </c>
      <c r="O9" s="522"/>
      <c r="P9" s="447"/>
      <c r="Q9" s="447"/>
      <c r="R9" s="447"/>
      <c r="S9" s="447"/>
      <c r="T9" s="447"/>
      <c r="U9" s="447">
        <v>0.014600744719076</v>
      </c>
      <c r="V9" s="447">
        <v>0</v>
      </c>
      <c r="W9" s="368"/>
      <c r="AA9" s="521">
        <v>1.2328767123288</v>
      </c>
      <c r="AB9" s="522"/>
      <c r="AC9" s="447"/>
      <c r="AD9" s="447"/>
      <c r="AE9" s="447"/>
      <c r="AF9" s="447"/>
      <c r="AG9" s="447"/>
      <c r="AH9" s="447">
        <v>-0.00011796595799163</v>
      </c>
      <c r="AI9" s="447">
        <v>0</v>
      </c>
      <c r="AJ9" s="368"/>
      <c r="AN9" s="521">
        <v>1.2328767123288</v>
      </c>
      <c r="AO9" s="522"/>
      <c r="AP9" s="447">
        <v>0.0485</v>
      </c>
      <c r="AQ9" s="447">
        <v>0.0039</v>
      </c>
      <c r="AR9" s="447">
        <v>0.0221</v>
      </c>
      <c r="AS9" s="447"/>
      <c r="AT9" s="447">
        <v>0.0594</v>
      </c>
      <c r="AU9" s="635">
        <v>-0.0044</v>
      </c>
      <c r="AV9" s="447">
        <v>0</v>
      </c>
      <c r="AW9" s="368"/>
      <c r="BA9" s="521">
        <v>1.2328767123288</v>
      </c>
      <c r="BB9" s="522"/>
      <c r="BC9" s="447"/>
      <c r="BD9" s="447"/>
      <c r="BE9" s="447"/>
      <c r="BF9" s="447"/>
      <c r="BG9" s="447"/>
      <c r="BH9" s="760">
        <v>-0.0041616750813389</v>
      </c>
      <c r="BI9" s="447">
        <v>0</v>
      </c>
      <c r="BJ9" s="368"/>
    </row>
    <row r="10" spans="1:64">
      <c r="A10" s="521">
        <v>1.4794520547945</v>
      </c>
      <c r="B10" s="522"/>
      <c r="C10" s="447"/>
      <c r="D10" s="447"/>
      <c r="E10" s="447"/>
      <c r="F10" s="447"/>
      <c r="G10" s="447"/>
      <c r="H10" s="447">
        <v>0.027279223411746</v>
      </c>
      <c r="I10" s="447">
        <v>0</v>
      </c>
      <c r="J10" s="368"/>
      <c r="N10" s="521">
        <v>1.4794520547945</v>
      </c>
      <c r="O10" s="522"/>
      <c r="P10" s="447"/>
      <c r="Q10" s="447"/>
      <c r="R10" s="447"/>
      <c r="S10" s="447"/>
      <c r="T10" s="447"/>
      <c r="U10" s="447">
        <v>0.014212776086932</v>
      </c>
      <c r="V10" s="447">
        <v>0</v>
      </c>
      <c r="W10" s="368"/>
      <c r="AA10" s="521">
        <v>1.4794520547945</v>
      </c>
      <c r="AB10" s="522"/>
      <c r="AC10" s="447"/>
      <c r="AD10" s="447"/>
      <c r="AE10" s="447"/>
      <c r="AF10" s="447"/>
      <c r="AG10" s="447"/>
      <c r="AH10" s="447">
        <v>7.2366445432737E-5</v>
      </c>
      <c r="AI10" s="447">
        <v>0</v>
      </c>
      <c r="AJ10" s="368"/>
      <c r="AN10" s="521">
        <v>1.4794520547945</v>
      </c>
      <c r="AO10" s="522"/>
      <c r="AP10" s="447">
        <v>0.0503</v>
      </c>
      <c r="AQ10" s="447">
        <v>0.0032</v>
      </c>
      <c r="AR10" s="447">
        <v>0.0232</v>
      </c>
      <c r="AS10" s="447"/>
      <c r="AT10" s="447">
        <v>0.0588</v>
      </c>
      <c r="AU10" s="635">
        <v>-0.0041</v>
      </c>
      <c r="AV10" s="447">
        <v>0</v>
      </c>
      <c r="AW10" s="368"/>
      <c r="BA10" s="521">
        <v>1.4794520547945</v>
      </c>
      <c r="BB10" s="522"/>
      <c r="BC10" s="447"/>
      <c r="BD10" s="447"/>
      <c r="BE10" s="447"/>
      <c r="BF10" s="447"/>
      <c r="BG10" s="447"/>
      <c r="BH10" s="760">
        <v>-0.0045616817839778</v>
      </c>
      <c r="BI10" s="447">
        <v>0</v>
      </c>
      <c r="BJ10" s="368"/>
    </row>
    <row r="11" spans="1:64">
      <c r="A11" s="521">
        <v>1.7260273972603</v>
      </c>
      <c r="B11" s="522"/>
      <c r="C11" s="447"/>
      <c r="D11" s="447"/>
      <c r="E11" s="447"/>
      <c r="F11" s="447"/>
      <c r="G11" s="447"/>
      <c r="H11" s="447">
        <v>0.027914685442485</v>
      </c>
      <c r="I11" s="447">
        <v>0</v>
      </c>
      <c r="J11" s="368"/>
      <c r="N11" s="521">
        <v>1.7260273972603</v>
      </c>
      <c r="O11" s="522"/>
      <c r="P11" s="447"/>
      <c r="Q11" s="447"/>
      <c r="R11" s="447"/>
      <c r="S11" s="447"/>
      <c r="T11" s="447"/>
      <c r="U11" s="447">
        <v>0.014077236962492</v>
      </c>
      <c r="V11" s="447">
        <v>0</v>
      </c>
      <c r="W11" s="368"/>
      <c r="AA11" s="521">
        <v>1.7260273972603</v>
      </c>
      <c r="AB11" s="522"/>
      <c r="AC11" s="447"/>
      <c r="AD11" s="447"/>
      <c r="AE11" s="447"/>
      <c r="AF11" s="447"/>
      <c r="AG11" s="447"/>
      <c r="AH11" s="447">
        <v>0.00054081905428793</v>
      </c>
      <c r="AI11" s="447">
        <v>0</v>
      </c>
      <c r="AJ11" s="368"/>
      <c r="AN11" s="521">
        <v>1.7260273972603</v>
      </c>
      <c r="AO11" s="522"/>
      <c r="AP11" s="447">
        <v>0.052</v>
      </c>
      <c r="AQ11" s="447">
        <v>0.0027</v>
      </c>
      <c r="AR11" s="447">
        <v>0.0242</v>
      </c>
      <c r="AS11" s="447"/>
      <c r="AT11" s="447">
        <v>0.0583</v>
      </c>
      <c r="AU11" s="635">
        <v>-0.0036</v>
      </c>
      <c r="AV11" s="447">
        <v>0</v>
      </c>
      <c r="AW11" s="368"/>
      <c r="BA11" s="521">
        <v>1.7260273972603</v>
      </c>
      <c r="BB11" s="522"/>
      <c r="BC11" s="447"/>
      <c r="BD11" s="447"/>
      <c r="BE11" s="447"/>
      <c r="BF11" s="447"/>
      <c r="BG11" s="447"/>
      <c r="BH11" s="760">
        <v>-0.00474853666794</v>
      </c>
      <c r="BI11" s="447">
        <v>0</v>
      </c>
      <c r="BJ11" s="368"/>
    </row>
    <row r="12" spans="1:64">
      <c r="A12" s="521">
        <v>1.972602739726</v>
      </c>
      <c r="B12" s="522"/>
      <c r="C12" s="447"/>
      <c r="D12" s="447"/>
      <c r="E12" s="447"/>
      <c r="F12" s="447"/>
      <c r="G12" s="447"/>
      <c r="H12" s="447">
        <v>0.028482423260285</v>
      </c>
      <c r="I12" s="447">
        <v>0</v>
      </c>
      <c r="J12" s="368"/>
      <c r="N12" s="521">
        <v>1.972602739726</v>
      </c>
      <c r="O12" s="522"/>
      <c r="P12" s="447"/>
      <c r="Q12" s="447"/>
      <c r="R12" s="447"/>
      <c r="S12" s="447"/>
      <c r="T12" s="447"/>
      <c r="U12" s="447">
        <v>0.014122797544195</v>
      </c>
      <c r="V12" s="447">
        <v>0</v>
      </c>
      <c r="W12" s="368"/>
      <c r="AA12" s="521">
        <v>1.972602739726</v>
      </c>
      <c r="AB12" s="522"/>
      <c r="AC12" s="447"/>
      <c r="AD12" s="447"/>
      <c r="AE12" s="447"/>
      <c r="AF12" s="447"/>
      <c r="AG12" s="447"/>
      <c r="AH12" s="447">
        <v>0.0011914957338761</v>
      </c>
      <c r="AI12" s="447">
        <v>0</v>
      </c>
      <c r="AJ12" s="368"/>
      <c r="AN12" s="521">
        <v>1.972602739726</v>
      </c>
      <c r="AO12" s="522"/>
      <c r="AP12" s="447">
        <v>0.0535</v>
      </c>
      <c r="AQ12" s="447">
        <v>0.0023</v>
      </c>
      <c r="AR12" s="447">
        <v>0.025</v>
      </c>
      <c r="AS12" s="447"/>
      <c r="AT12" s="447">
        <v>0.0579</v>
      </c>
      <c r="AU12" s="635">
        <v>-0.0031</v>
      </c>
      <c r="AV12" s="447">
        <v>0</v>
      </c>
      <c r="AW12" s="368"/>
      <c r="BA12" s="521">
        <v>1.972602739726</v>
      </c>
      <c r="BB12" s="522"/>
      <c r="BC12" s="447"/>
      <c r="BD12" s="447"/>
      <c r="BE12" s="447"/>
      <c r="BF12" s="447"/>
      <c r="BG12" s="447"/>
      <c r="BH12" s="760">
        <v>-0.0047604096813517</v>
      </c>
      <c r="BI12" s="447">
        <v>0</v>
      </c>
      <c r="BJ12" s="368"/>
    </row>
    <row r="13" spans="1:64">
      <c r="A13" s="521">
        <v>2.2191780821918</v>
      </c>
      <c r="B13" s="522"/>
      <c r="C13" s="447"/>
      <c r="D13" s="447"/>
      <c r="E13" s="447"/>
      <c r="F13" s="447"/>
      <c r="G13" s="447"/>
      <c r="H13" s="447">
        <v>0.028988151107618</v>
      </c>
      <c r="I13" s="447">
        <v>0</v>
      </c>
      <c r="J13" s="368"/>
      <c r="K13" s="553">
        <v>2021</v>
      </c>
      <c r="L13" s="447">
        <f>$L$8</f>
        <v>0.02577994391325</v>
      </c>
      <c r="N13" s="521">
        <v>2.2191780821918</v>
      </c>
      <c r="O13" s="522"/>
      <c r="P13" s="447"/>
      <c r="Q13" s="447"/>
      <c r="R13" s="447"/>
      <c r="S13" s="447"/>
      <c r="T13" s="447"/>
      <c r="U13" s="447">
        <v>0.014295059706923</v>
      </c>
      <c r="V13" s="447">
        <v>0</v>
      </c>
      <c r="W13" s="368"/>
      <c r="AA13" s="521">
        <v>2.2191780821918</v>
      </c>
      <c r="AB13" s="522"/>
      <c r="AC13" s="447"/>
      <c r="AD13" s="447"/>
      <c r="AE13" s="447"/>
      <c r="AF13" s="447"/>
      <c r="AG13" s="447"/>
      <c r="AH13" s="447">
        <v>0.0019550318913484</v>
      </c>
      <c r="AI13" s="447">
        <v>0</v>
      </c>
      <c r="AJ13" s="368"/>
      <c r="AN13" s="521">
        <v>2.2191780821918</v>
      </c>
      <c r="AO13" s="522"/>
      <c r="AP13" s="447">
        <v>0.0548</v>
      </c>
      <c r="AQ13" s="447">
        <v>0.0021</v>
      </c>
      <c r="AR13" s="447">
        <v>0.0256</v>
      </c>
      <c r="AS13" s="447"/>
      <c r="AT13" s="447">
        <v>0.0575</v>
      </c>
      <c r="AU13" s="635">
        <v>-0.0024</v>
      </c>
      <c r="AV13" s="447">
        <v>0</v>
      </c>
      <c r="AW13" s="368"/>
      <c r="BA13" s="521">
        <v>2.2191780821918</v>
      </c>
      <c r="BB13" s="522"/>
      <c r="BC13" s="447"/>
      <c r="BD13" s="447"/>
      <c r="BE13" s="447"/>
      <c r="BF13" s="447"/>
      <c r="BG13" s="447"/>
      <c r="BH13" s="760">
        <v>-0.0046296255633007</v>
      </c>
      <c r="BI13" s="447">
        <v>0</v>
      </c>
      <c r="BJ13" s="368"/>
    </row>
    <row r="14" spans="1:64">
      <c r="A14" s="521">
        <v>2.4657534246575</v>
      </c>
      <c r="B14" s="522"/>
      <c r="C14" s="447"/>
      <c r="D14" s="447"/>
      <c r="E14" s="447"/>
      <c r="F14" s="447"/>
      <c r="G14" s="447"/>
      <c r="H14" s="447">
        <v>0.029437158387399</v>
      </c>
      <c r="I14" s="447">
        <v>0</v>
      </c>
      <c r="J14" s="368"/>
      <c r="K14" s="553">
        <v>2022</v>
      </c>
      <c r="L14" s="447">
        <f>$Y$8</f>
        <v>0.015334342197171</v>
      </c>
      <c r="N14" s="521">
        <v>2.4657534246575</v>
      </c>
      <c r="O14" s="522"/>
      <c r="P14" s="447"/>
      <c r="Q14" s="447"/>
      <c r="R14" s="447"/>
      <c r="S14" s="447"/>
      <c r="T14" s="447"/>
      <c r="U14" s="447">
        <v>0.014552729143087</v>
      </c>
      <c r="V14" s="447">
        <v>0</v>
      </c>
      <c r="W14" s="368"/>
      <c r="X14" s="370"/>
      <c r="AA14" s="521">
        <v>2.4657534246575</v>
      </c>
      <c r="AB14" s="522"/>
      <c r="AC14" s="447"/>
      <c r="AD14" s="447"/>
      <c r="AE14" s="447"/>
      <c r="AF14" s="447"/>
      <c r="AG14" s="447"/>
      <c r="AH14" s="447">
        <v>0.0027816438807422</v>
      </c>
      <c r="AI14" s="447">
        <v>0</v>
      </c>
      <c r="AJ14" s="368"/>
      <c r="AK14" s="370"/>
      <c r="AN14" s="521">
        <v>2.4657534246575</v>
      </c>
      <c r="AO14" s="522"/>
      <c r="AP14" s="447">
        <v>0.0559</v>
      </c>
      <c r="AQ14" s="447">
        <v>0.0018</v>
      </c>
      <c r="AR14" s="447">
        <v>0.0261</v>
      </c>
      <c r="AS14" s="447"/>
      <c r="AT14" s="447">
        <v>0.0572</v>
      </c>
      <c r="AU14" s="635">
        <v>-0.0017</v>
      </c>
      <c r="AV14" s="447">
        <v>0</v>
      </c>
      <c r="AW14" s="368"/>
      <c r="AX14" s="370"/>
      <c r="BA14" s="521">
        <v>2.4657534246575</v>
      </c>
      <c r="BB14" s="522"/>
      <c r="BC14" s="447"/>
      <c r="BD14" s="447"/>
      <c r="BE14" s="447"/>
      <c r="BF14" s="447"/>
      <c r="BG14" s="447"/>
      <c r="BH14" s="760">
        <v>-0.0043835399934351</v>
      </c>
      <c r="BI14" s="447">
        <v>0</v>
      </c>
      <c r="BJ14" s="368"/>
      <c r="BK14" s="370"/>
    </row>
    <row r="15" spans="1:64">
      <c r="A15" s="521">
        <v>2.7123287671233</v>
      </c>
      <c r="B15" s="522"/>
      <c r="C15" s="447"/>
      <c r="D15" s="447"/>
      <c r="E15" s="447"/>
      <c r="F15" s="447"/>
      <c r="G15" s="447"/>
      <c r="H15" s="447">
        <v>0.029834340993619</v>
      </c>
      <c r="I15" s="447">
        <v>0</v>
      </c>
      <c r="J15" s="368"/>
      <c r="K15" s="553">
        <v>2023</v>
      </c>
      <c r="L15" s="447">
        <f>+$AL$8</f>
        <v>0.00010161782885909</v>
      </c>
      <c r="N15" s="521">
        <v>2.7123287671233</v>
      </c>
      <c r="O15" s="522"/>
      <c r="P15" s="447"/>
      <c r="Q15" s="447"/>
      <c r="R15" s="447"/>
      <c r="S15" s="447"/>
      <c r="T15" s="447"/>
      <c r="U15" s="447">
        <v>0.014864643248671</v>
      </c>
      <c r="V15" s="447">
        <v>0</v>
      </c>
      <c r="W15" s="368"/>
      <c r="X15" s="370"/>
      <c r="AA15" s="521">
        <v>2.7123287671233</v>
      </c>
      <c r="AB15" s="522"/>
      <c r="AC15" s="447"/>
      <c r="AD15" s="447"/>
      <c r="AE15" s="447"/>
      <c r="AF15" s="447"/>
      <c r="AG15" s="447"/>
      <c r="AH15" s="447">
        <v>0.0036359900887222</v>
      </c>
      <c r="AI15" s="447">
        <v>0</v>
      </c>
      <c r="AJ15" s="368"/>
      <c r="AK15" s="370"/>
      <c r="AN15" s="521">
        <v>2.7123287671233</v>
      </c>
      <c r="AO15" s="522"/>
      <c r="AP15" s="447">
        <v>0.057</v>
      </c>
      <c r="AQ15" s="447">
        <v>0.0017</v>
      </c>
      <c r="AR15" s="447">
        <v>0.0265</v>
      </c>
      <c r="AS15" s="447"/>
      <c r="AT15" s="447">
        <v>0.0568</v>
      </c>
      <c r="AU15" s="635">
        <v>-0.001</v>
      </c>
      <c r="AV15" s="447">
        <v>0</v>
      </c>
      <c r="AW15" s="368"/>
      <c r="AX15" s="370"/>
      <c r="BA15" s="521">
        <v>2.7123287671233</v>
      </c>
      <c r="BB15" s="522"/>
      <c r="BC15" s="447"/>
      <c r="BD15" s="447"/>
      <c r="BE15" s="447"/>
      <c r="BF15" s="447"/>
      <c r="BG15" s="447"/>
      <c r="BH15" s="760">
        <v>-0.0040452741418134</v>
      </c>
      <c r="BI15" s="447">
        <v>0</v>
      </c>
      <c r="BJ15" s="368"/>
      <c r="BK15" s="370"/>
    </row>
    <row r="16" spans="1:64">
      <c r="A16" s="521">
        <v>2.958904109589</v>
      </c>
      <c r="B16" s="522"/>
      <c r="C16" s="447"/>
      <c r="D16" s="447"/>
      <c r="E16" s="447"/>
      <c r="F16" s="447"/>
      <c r="G16" s="447"/>
      <c r="H16" s="447">
        <v>0.030184222342881</v>
      </c>
      <c r="I16" s="447">
        <v>0</v>
      </c>
      <c r="J16" s="368"/>
      <c r="K16" s="553">
        <v>2024</v>
      </c>
      <c r="L16" s="447">
        <f>+$AY$8</f>
        <v>-0.0045</v>
      </c>
      <c r="N16" s="521">
        <v>2.958904109589</v>
      </c>
      <c r="O16" s="522"/>
      <c r="P16" s="447"/>
      <c r="Q16" s="447"/>
      <c r="R16" s="447"/>
      <c r="S16" s="447"/>
      <c r="T16" s="447"/>
      <c r="U16" s="447">
        <v>0.015207473568968</v>
      </c>
      <c r="V16" s="447">
        <v>0</v>
      </c>
      <c r="W16" s="368"/>
      <c r="X16" s="370"/>
      <c r="AA16" s="521">
        <v>2.958904109589</v>
      </c>
      <c r="AB16" s="522"/>
      <c r="AC16" s="447"/>
      <c r="AD16" s="447"/>
      <c r="AE16" s="447"/>
      <c r="AF16" s="447"/>
      <c r="AG16" s="447"/>
      <c r="AH16" s="447">
        <v>0.0044933407029455</v>
      </c>
      <c r="AI16" s="447">
        <v>0</v>
      </c>
      <c r="AJ16" s="368"/>
      <c r="AK16" s="370"/>
      <c r="AN16" s="521">
        <v>2.958904109589</v>
      </c>
      <c r="AO16" s="522"/>
      <c r="AP16" s="447">
        <v>0.0579</v>
      </c>
      <c r="AQ16" s="447">
        <v>0.0016</v>
      </c>
      <c r="AR16" s="447">
        <v>0.0268</v>
      </c>
      <c r="AS16" s="447"/>
      <c r="AT16" s="447">
        <v>0.0565</v>
      </c>
      <c r="AU16" s="635">
        <v>-0.0002</v>
      </c>
      <c r="AV16" s="447">
        <v>0</v>
      </c>
      <c r="AW16" s="368"/>
      <c r="AX16" s="370"/>
      <c r="BA16" s="521">
        <v>2.958904109589</v>
      </c>
      <c r="BB16" s="522"/>
      <c r="BC16" s="447"/>
      <c r="BD16" s="447"/>
      <c r="BE16" s="447"/>
      <c r="BF16" s="447"/>
      <c r="BG16" s="447"/>
      <c r="BH16" s="760">
        <v>-0.0036343456478618</v>
      </c>
      <c r="BI16" s="447">
        <v>0</v>
      </c>
      <c r="BJ16" s="368"/>
      <c r="BK16" s="370"/>
    </row>
    <row r="17" spans="1:64">
      <c r="A17" s="521">
        <v>3.2054794520548</v>
      </c>
      <c r="B17" s="522"/>
      <c r="C17" s="447"/>
      <c r="D17" s="447"/>
      <c r="E17" s="447"/>
      <c r="F17" s="447"/>
      <c r="G17" s="447"/>
      <c r="H17" s="447">
        <v>0.030490986891731</v>
      </c>
      <c r="I17" s="447">
        <v>0</v>
      </c>
      <c r="J17" s="368"/>
      <c r="K17" s="553">
        <v>2025</v>
      </c>
      <c r="L17" s="447">
        <f>+$BL$8</f>
        <v>-0.0045</v>
      </c>
      <c r="N17" s="521">
        <v>3.2054794520548</v>
      </c>
      <c r="O17" s="522"/>
      <c r="P17" s="447"/>
      <c r="Q17" s="447"/>
      <c r="R17" s="447"/>
      <c r="S17" s="447"/>
      <c r="T17" s="447"/>
      <c r="U17" s="447">
        <v>0.015563930581655</v>
      </c>
      <c r="V17" s="447">
        <v>0</v>
      </c>
      <c r="W17" s="368"/>
      <c r="X17" s="370"/>
      <c r="AA17" s="521">
        <v>3.2054794520548</v>
      </c>
      <c r="AB17" s="522"/>
      <c r="AC17" s="447"/>
      <c r="AD17" s="447"/>
      <c r="AE17" s="447"/>
      <c r="AF17" s="447"/>
      <c r="AG17" s="447"/>
      <c r="AH17" s="447">
        <v>0.0053367359653052</v>
      </c>
      <c r="AI17" s="447">
        <v>0</v>
      </c>
      <c r="AJ17" s="368"/>
      <c r="AK17" s="370"/>
      <c r="AN17" s="521">
        <v>3.2054794520548</v>
      </c>
      <c r="AO17" s="522"/>
      <c r="AP17" s="447">
        <v>0.0587</v>
      </c>
      <c r="AQ17" s="447">
        <v>0.0016</v>
      </c>
      <c r="AR17" s="447">
        <v>0.027</v>
      </c>
      <c r="AS17" s="447"/>
      <c r="AT17" s="447">
        <v>0.0562</v>
      </c>
      <c r="AU17" s="635">
        <v>0.0006</v>
      </c>
      <c r="AV17" s="447">
        <v>0</v>
      </c>
      <c r="AW17" s="368"/>
      <c r="AX17" s="370"/>
      <c r="BA17" s="521">
        <v>3.2054794520548</v>
      </c>
      <c r="BB17" s="522"/>
      <c r="BC17" s="447"/>
      <c r="BD17" s="447"/>
      <c r="BE17" s="447"/>
      <c r="BF17" s="447"/>
      <c r="BG17" s="447"/>
      <c r="BH17" s="760">
        <v>-0.0031671994496879</v>
      </c>
      <c r="BI17" s="447">
        <v>0</v>
      </c>
      <c r="BJ17" s="368"/>
      <c r="BK17" s="370"/>
    </row>
    <row r="18" spans="1:64">
      <c r="A18" s="521">
        <v>3.4520547945205</v>
      </c>
      <c r="B18" s="522"/>
      <c r="C18" s="447"/>
      <c r="D18" s="447"/>
      <c r="E18" s="447"/>
      <c r="F18" s="447"/>
      <c r="G18" s="447"/>
      <c r="H18" s="447">
        <v>0.030758501647441</v>
      </c>
      <c r="I18" s="447">
        <v>0</v>
      </c>
      <c r="J18" s="368"/>
      <c r="K18" s="553">
        <v>2026</v>
      </c>
      <c r="L18" s="517"/>
      <c r="N18" s="521">
        <v>3.4520547945205</v>
      </c>
      <c r="O18" s="522"/>
      <c r="P18" s="447"/>
      <c r="Q18" s="447"/>
      <c r="R18" s="447"/>
      <c r="S18" s="447"/>
      <c r="T18" s="447"/>
      <c r="U18" s="447">
        <v>0.015921369788672</v>
      </c>
      <c r="V18" s="447">
        <v>0</v>
      </c>
      <c r="W18" s="368"/>
      <c r="AA18" s="521">
        <v>3.4520547945205</v>
      </c>
      <c r="AB18" s="522"/>
      <c r="AC18" s="447"/>
      <c r="AD18" s="447"/>
      <c r="AE18" s="447"/>
      <c r="AF18" s="447"/>
      <c r="AG18" s="447"/>
      <c r="AH18" s="447">
        <v>0.0061548732086036</v>
      </c>
      <c r="AI18" s="447">
        <v>0</v>
      </c>
      <c r="AJ18" s="368"/>
      <c r="AN18" s="521">
        <v>3.4520547945205</v>
      </c>
      <c r="AO18" s="522"/>
      <c r="AP18" s="447">
        <v>0.0594</v>
      </c>
      <c r="AQ18" s="447">
        <v>0.0017</v>
      </c>
      <c r="AR18" s="447">
        <v>0.0271</v>
      </c>
      <c r="AS18" s="447"/>
      <c r="AT18" s="447">
        <v>0.056</v>
      </c>
      <c r="AU18" s="635">
        <v>0.0013</v>
      </c>
      <c r="AV18" s="447">
        <v>0</v>
      </c>
      <c r="AW18" s="368"/>
      <c r="BA18" s="521">
        <v>3.4520547945205</v>
      </c>
      <c r="BB18" s="522"/>
      <c r="BC18" s="447"/>
      <c r="BD18" s="447"/>
      <c r="BE18" s="447"/>
      <c r="BF18" s="447"/>
      <c r="BG18" s="447"/>
      <c r="BH18" s="760">
        <v>-0.0026576618693438</v>
      </c>
      <c r="BI18" s="447">
        <v>0</v>
      </c>
      <c r="BJ18" s="368"/>
    </row>
    <row r="19" spans="1:64">
      <c r="A19" s="521">
        <v>3.6986301369863</v>
      </c>
      <c r="B19" s="522"/>
      <c r="C19" s="447"/>
      <c r="D19" s="447"/>
      <c r="E19" s="447"/>
      <c r="F19" s="447"/>
      <c r="G19" s="447"/>
      <c r="H19" s="447">
        <v>0.030990333146916</v>
      </c>
      <c r="I19" s="447">
        <v>0</v>
      </c>
      <c r="J19" s="368"/>
      <c r="K19" s="553">
        <v>2027</v>
      </c>
      <c r="L19" s="517"/>
      <c r="N19" s="521">
        <v>3.6986301369863</v>
      </c>
      <c r="O19" s="522"/>
      <c r="P19" s="447"/>
      <c r="Q19" s="447"/>
      <c r="R19" s="447"/>
      <c r="S19" s="447"/>
      <c r="T19" s="447"/>
      <c r="U19" s="447">
        <v>0.016270708582033</v>
      </c>
      <c r="V19" s="447">
        <v>0</v>
      </c>
      <c r="W19" s="368"/>
      <c r="AA19" s="521">
        <v>3.6986301369863</v>
      </c>
      <c r="AB19" s="522"/>
      <c r="AC19" s="447"/>
      <c r="AD19" s="447"/>
      <c r="AE19" s="447"/>
      <c r="AF19" s="447"/>
      <c r="AG19" s="447"/>
      <c r="AH19" s="447">
        <v>0.0069405430112925</v>
      </c>
      <c r="AI19" s="447">
        <v>0</v>
      </c>
      <c r="AJ19" s="368"/>
      <c r="AN19" s="521">
        <v>3.6986301369863</v>
      </c>
      <c r="AO19" s="522"/>
      <c r="AP19" s="447">
        <v>0.06</v>
      </c>
      <c r="AQ19" s="447">
        <v>0.0018</v>
      </c>
      <c r="AR19" s="447">
        <v>0.0272</v>
      </c>
      <c r="AS19" s="447"/>
      <c r="AT19" s="447">
        <v>0.0557</v>
      </c>
      <c r="AU19" s="635">
        <v>0.002</v>
      </c>
      <c r="AV19" s="447">
        <v>0</v>
      </c>
      <c r="AW19" s="368"/>
      <c r="BA19" s="521">
        <v>3.6986301369863</v>
      </c>
      <c r="BB19" s="522"/>
      <c r="BC19" s="447"/>
      <c r="BD19" s="447"/>
      <c r="BE19" s="447"/>
      <c r="BF19" s="447"/>
      <c r="BG19" s="447"/>
      <c r="BH19" s="760">
        <v>-0.0021173241183035</v>
      </c>
      <c r="BI19" s="447">
        <v>0</v>
      </c>
      <c r="BJ19" s="368"/>
    </row>
    <row r="20" spans="1:64" customHeight="1" ht="15.75">
      <c r="A20" s="521">
        <v>3.9452054794521</v>
      </c>
      <c r="B20" s="522"/>
      <c r="C20" s="447"/>
      <c r="D20" s="447"/>
      <c r="E20" s="447"/>
      <c r="F20" s="447"/>
      <c r="G20" s="447"/>
      <c r="H20" s="447">
        <v>0.031189778375073</v>
      </c>
      <c r="I20" s="447">
        <v>0</v>
      </c>
      <c r="J20" s="368"/>
      <c r="K20" s="553">
        <v>2028</v>
      </c>
      <c r="L20" s="517"/>
      <c r="N20" s="521">
        <v>3.9452054794521</v>
      </c>
      <c r="O20" s="522"/>
      <c r="P20" s="447"/>
      <c r="Q20" s="447"/>
      <c r="R20" s="447"/>
      <c r="S20" s="447"/>
      <c r="T20" s="447"/>
      <c r="U20" s="447">
        <v>0.016605584884223</v>
      </c>
      <c r="V20" s="447">
        <v>0</v>
      </c>
      <c r="W20" s="368"/>
      <c r="AA20" s="521">
        <v>3.9452054794521</v>
      </c>
      <c r="AB20" s="522"/>
      <c r="AC20" s="447"/>
      <c r="AD20" s="447"/>
      <c r="AE20" s="447"/>
      <c r="AF20" s="447"/>
      <c r="AG20" s="447"/>
      <c r="AH20" s="447">
        <v>0.0076894713704991</v>
      </c>
      <c r="AI20" s="447">
        <v>0</v>
      </c>
      <c r="AJ20" s="368"/>
      <c r="AN20" s="521">
        <v>3.9452054794521</v>
      </c>
      <c r="AO20" s="522"/>
      <c r="AP20" s="447">
        <v>0.0606</v>
      </c>
      <c r="AQ20" s="447">
        <v>0.0019</v>
      </c>
      <c r="AR20" s="447">
        <v>0.0273</v>
      </c>
      <c r="AS20" s="447"/>
      <c r="AT20" s="447">
        <v>0.0554</v>
      </c>
      <c r="AU20" s="635">
        <v>0.0027</v>
      </c>
      <c r="AV20" s="447">
        <v>0</v>
      </c>
      <c r="AW20" s="368"/>
      <c r="BA20" s="521">
        <v>3.9452054794521</v>
      </c>
      <c r="BB20" s="522"/>
      <c r="BC20" s="447"/>
      <c r="BD20" s="447"/>
      <c r="BE20" s="447"/>
      <c r="BF20" s="447"/>
      <c r="BG20" s="447"/>
      <c r="BH20" s="760">
        <v>-0.001555876505055</v>
      </c>
      <c r="BI20" s="447">
        <v>0</v>
      </c>
      <c r="BJ20" s="368"/>
    </row>
    <row r="21" spans="1:64" customHeight="1" ht="15.75">
      <c r="A21" s="521">
        <v>4.1917808219178</v>
      </c>
      <c r="B21" s="522"/>
      <c r="C21" s="447"/>
      <c r="D21" s="447"/>
      <c r="E21" s="447"/>
      <c r="F21" s="447"/>
      <c r="G21" s="447"/>
      <c r="H21" s="447">
        <v>0.031359876363545</v>
      </c>
      <c r="I21" s="447">
        <v>0</v>
      </c>
      <c r="J21" s="368"/>
      <c r="K21" s="553">
        <v>2029</v>
      </c>
      <c r="L21" s="517"/>
      <c r="N21" s="521">
        <v>4.1917808219178</v>
      </c>
      <c r="O21" s="522"/>
      <c r="P21" s="447"/>
      <c r="Q21" s="447"/>
      <c r="R21" s="447"/>
      <c r="S21" s="447"/>
      <c r="T21" s="447"/>
      <c r="U21" s="447">
        <v>0.016921695810109</v>
      </c>
      <c r="V21" s="447">
        <v>0</v>
      </c>
      <c r="W21" s="368"/>
      <c r="AA21" s="521">
        <v>4.1917808219178</v>
      </c>
      <c r="AB21" s="522"/>
      <c r="AC21" s="447"/>
      <c r="AD21" s="447"/>
      <c r="AE21" s="447"/>
      <c r="AF21" s="447"/>
      <c r="AG21" s="447"/>
      <c r="AH21" s="447">
        <v>0.0083994612716827</v>
      </c>
      <c r="AI21" s="447">
        <v>0</v>
      </c>
      <c r="AJ21" s="368"/>
      <c r="AN21" s="521">
        <v>4.1917808219178</v>
      </c>
      <c r="AO21" s="522"/>
      <c r="AP21" s="447">
        <v>0.061</v>
      </c>
      <c r="AQ21" s="447">
        <v>0.002</v>
      </c>
      <c r="AR21" s="447">
        <v>0.0273</v>
      </c>
      <c r="AS21" s="447"/>
      <c r="AT21" s="447">
        <v>0.0552</v>
      </c>
      <c r="AU21" s="635">
        <v>0.0034</v>
      </c>
      <c r="AV21" s="447">
        <v>0</v>
      </c>
      <c r="AW21" s="368"/>
      <c r="BA21" s="521">
        <v>4.1917808219178</v>
      </c>
      <c r="BB21" s="522"/>
      <c r="BC21" s="447"/>
      <c r="BD21" s="447"/>
      <c r="BE21" s="447"/>
      <c r="BF21" s="447"/>
      <c r="BG21" s="447"/>
      <c r="BH21" s="760">
        <v>-0.00098138601682207</v>
      </c>
      <c r="BI21" s="447">
        <v>0</v>
      </c>
      <c r="BJ21" s="368"/>
    </row>
    <row r="22" spans="1:64">
      <c r="A22" s="521">
        <v>4.4383561643836</v>
      </c>
      <c r="B22" s="522"/>
      <c r="C22" s="447"/>
      <c r="D22" s="447"/>
      <c r="E22" s="447"/>
      <c r="F22" s="447"/>
      <c r="G22" s="447"/>
      <c r="H22" s="447">
        <v>0.031503432699103</v>
      </c>
      <c r="I22" s="447">
        <v>0</v>
      </c>
      <c r="J22" s="368"/>
      <c r="K22" s="553">
        <v>2030</v>
      </c>
      <c r="L22" s="517"/>
      <c r="N22" s="521">
        <v>4.4383561643836</v>
      </c>
      <c r="O22" s="522"/>
      <c r="P22" s="447"/>
      <c r="Q22" s="447"/>
      <c r="R22" s="447"/>
      <c r="S22" s="447"/>
      <c r="T22" s="447"/>
      <c r="U22" s="447">
        <v>0.017216302113794</v>
      </c>
      <c r="V22" s="447">
        <v>0</v>
      </c>
      <c r="W22" s="368"/>
      <c r="AA22" s="521">
        <v>4.4383561643836</v>
      </c>
      <c r="AB22" s="522"/>
      <c r="AC22" s="447"/>
      <c r="AD22" s="447"/>
      <c r="AE22" s="447"/>
      <c r="AF22" s="447"/>
      <c r="AG22" s="447"/>
      <c r="AH22" s="447">
        <v>0.0090697688060981</v>
      </c>
      <c r="AI22" s="447">
        <v>0</v>
      </c>
      <c r="AJ22" s="368"/>
      <c r="AN22" s="521">
        <v>4.4383561643836</v>
      </c>
      <c r="AO22" s="522"/>
      <c r="AP22" s="447">
        <v>0.0615</v>
      </c>
      <c r="AQ22" s="447">
        <v>0.0022</v>
      </c>
      <c r="AR22" s="447">
        <v>0.0272</v>
      </c>
      <c r="AS22" s="447"/>
      <c r="AT22" s="447">
        <v>0.0549</v>
      </c>
      <c r="AU22" s="635">
        <v>0.0041</v>
      </c>
      <c r="AV22" s="447">
        <v>0</v>
      </c>
      <c r="AW22" s="368"/>
      <c r="BA22" s="521">
        <v>4.4383561643836</v>
      </c>
      <c r="BB22" s="522"/>
      <c r="BC22" s="447"/>
      <c r="BD22" s="447"/>
      <c r="BE22" s="447"/>
      <c r="BF22" s="447"/>
      <c r="BG22" s="447"/>
      <c r="BH22" s="760">
        <v>-0.0004005442090228</v>
      </c>
      <c r="BI22" s="447">
        <v>0</v>
      </c>
      <c r="BJ22" s="368"/>
    </row>
    <row r="23" spans="1:64">
      <c r="A23" s="521">
        <v>4.6849315068493</v>
      </c>
      <c r="B23" s="522"/>
      <c r="C23" s="447"/>
      <c r="D23" s="447"/>
      <c r="E23" s="447"/>
      <c r="F23" s="447"/>
      <c r="G23" s="447"/>
      <c r="H23" s="447">
        <v>0.031623030765691</v>
      </c>
      <c r="I23" s="447">
        <v>0</v>
      </c>
      <c r="J23" s="368"/>
      <c r="N23" s="521">
        <v>4.6849315068493</v>
      </c>
      <c r="O23" s="522"/>
      <c r="P23" s="447"/>
      <c r="Q23" s="447"/>
      <c r="R23" s="447"/>
      <c r="S23" s="447"/>
      <c r="T23" s="447"/>
      <c r="U23" s="447">
        <v>0.017487828367851</v>
      </c>
      <c r="V23" s="447">
        <v>0</v>
      </c>
      <c r="W23" s="368"/>
      <c r="AA23" s="521">
        <v>4.6849315068493</v>
      </c>
      <c r="AB23" s="522"/>
      <c r="AC23" s="447"/>
      <c r="AD23" s="447"/>
      <c r="AE23" s="447"/>
      <c r="AF23" s="447"/>
      <c r="AG23" s="447"/>
      <c r="AH23" s="447">
        <v>0.0097006419671901</v>
      </c>
      <c r="AI23" s="447">
        <v>0</v>
      </c>
      <c r="AJ23" s="368"/>
      <c r="AN23" s="521">
        <v>4.6849315068493</v>
      </c>
      <c r="AO23" s="522"/>
      <c r="AP23" s="447">
        <v>0.0618</v>
      </c>
      <c r="AQ23" s="447">
        <v>0.0024</v>
      </c>
      <c r="AR23" s="447">
        <v>0.0272</v>
      </c>
      <c r="AS23" s="447"/>
      <c r="AT23" s="447">
        <v>0.0546</v>
      </c>
      <c r="AU23" s="635">
        <v>0.0047</v>
      </c>
      <c r="AV23" s="447">
        <v>0</v>
      </c>
      <c r="AW23" s="368"/>
      <c r="BA23" s="521">
        <v>4.6849315068493</v>
      </c>
      <c r="BB23" s="522"/>
      <c r="BC23" s="447"/>
      <c r="BD23" s="447"/>
      <c r="BE23" s="447"/>
      <c r="BF23" s="447"/>
      <c r="BG23" s="447"/>
      <c r="BH23" s="760">
        <v>0.00018113348553461</v>
      </c>
      <c r="BI23" s="447">
        <v>0</v>
      </c>
      <c r="BJ23" s="368"/>
    </row>
    <row r="24" spans="1:64">
      <c r="A24" s="521">
        <v>4.9315068493151</v>
      </c>
      <c r="B24" s="522"/>
      <c r="C24" s="447"/>
      <c r="D24" s="447"/>
      <c r="E24" s="447"/>
      <c r="F24" s="447"/>
      <c r="G24" s="447"/>
      <c r="H24" s="447">
        <v>0.031721056859268</v>
      </c>
      <c r="I24" s="447">
        <v>0</v>
      </c>
      <c r="J24" s="368"/>
      <c r="N24" s="521">
        <v>4.9315068493151</v>
      </c>
      <c r="O24" s="522"/>
      <c r="P24" s="447"/>
      <c r="Q24" s="447"/>
      <c r="R24" s="447"/>
      <c r="S24" s="447"/>
      <c r="T24" s="447"/>
      <c r="U24" s="447">
        <v>0.017735559672281</v>
      </c>
      <c r="V24" s="447">
        <v>0</v>
      </c>
      <c r="W24" s="368"/>
      <c r="AA24" s="521">
        <v>4.9315068493151</v>
      </c>
      <c r="AB24" s="522"/>
      <c r="AC24" s="447"/>
      <c r="AD24" s="447"/>
      <c r="AE24" s="447"/>
      <c r="AF24" s="447"/>
      <c r="AG24" s="447"/>
      <c r="AH24" s="447">
        <v>0.010292991091894</v>
      </c>
      <c r="AI24" s="447">
        <v>0</v>
      </c>
      <c r="AJ24" s="368"/>
      <c r="AN24" s="521">
        <v>4.9315068493151</v>
      </c>
      <c r="AO24" s="522"/>
      <c r="AP24" s="447">
        <v>0.0622</v>
      </c>
      <c r="AQ24" s="447">
        <v>0.0026</v>
      </c>
      <c r="AR24" s="447">
        <v>0.0271</v>
      </c>
      <c r="AS24" s="447"/>
      <c r="AT24" s="447">
        <v>0.0544</v>
      </c>
      <c r="AU24" s="635">
        <v>0.0053</v>
      </c>
      <c r="AV24" s="447">
        <v>0</v>
      </c>
      <c r="AW24" s="368"/>
      <c r="BA24" s="521">
        <v>4.9315068493151</v>
      </c>
      <c r="BB24" s="522"/>
      <c r="BC24" s="447"/>
      <c r="BD24" s="447"/>
      <c r="BE24" s="447"/>
      <c r="BF24" s="447"/>
      <c r="BG24" s="447"/>
      <c r="BH24" s="760">
        <v>0.00075913112193793</v>
      </c>
      <c r="BI24" s="447">
        <v>0</v>
      </c>
      <c r="BJ24" s="368"/>
    </row>
    <row r="25" spans="1:64">
      <c r="A25" s="521">
        <v>5.1780821917808</v>
      </c>
      <c r="B25" s="522"/>
      <c r="C25" s="447"/>
      <c r="D25" s="447"/>
      <c r="E25" s="447"/>
      <c r="F25" s="447"/>
      <c r="G25" s="447"/>
      <c r="H25" s="447">
        <v>0.03179970127457</v>
      </c>
      <c r="I25" s="447">
        <v>0</v>
      </c>
      <c r="J25" s="368"/>
      <c r="N25" s="521">
        <v>5.1780821917808</v>
      </c>
      <c r="O25" s="522"/>
      <c r="P25" s="447"/>
      <c r="Q25" s="447"/>
      <c r="R25" s="447"/>
      <c r="S25" s="447"/>
      <c r="T25" s="447"/>
      <c r="U25" s="447">
        <v>0.01795941682927</v>
      </c>
      <c r="V25" s="447">
        <v>0</v>
      </c>
      <c r="W25" s="368"/>
      <c r="AA25" s="521">
        <v>5.1780821917808</v>
      </c>
      <c r="AB25" s="522"/>
      <c r="AC25" s="447"/>
      <c r="AD25" s="447"/>
      <c r="AE25" s="447"/>
      <c r="AF25" s="447"/>
      <c r="AG25" s="447"/>
      <c r="AH25" s="447">
        <v>0.010848142581831</v>
      </c>
      <c r="AI25" s="447">
        <v>0</v>
      </c>
      <c r="AJ25" s="368"/>
      <c r="AN25" s="521">
        <v>5.1780821917808</v>
      </c>
      <c r="AO25" s="522"/>
      <c r="AP25" s="447">
        <v>0.0625</v>
      </c>
      <c r="AQ25" s="447">
        <v>0.0029</v>
      </c>
      <c r="AR25" s="447">
        <v>0.027</v>
      </c>
      <c r="AS25" s="447"/>
      <c r="AT25" s="447">
        <v>0.0541</v>
      </c>
      <c r="AU25" s="635">
        <v>0.0058</v>
      </c>
      <c r="AV25" s="447">
        <v>0</v>
      </c>
      <c r="AW25" s="368"/>
      <c r="BA25" s="521">
        <v>5.1780821917808</v>
      </c>
      <c r="BB25" s="522"/>
      <c r="BC25" s="447"/>
      <c r="BD25" s="447"/>
      <c r="BE25" s="447"/>
      <c r="BF25" s="447"/>
      <c r="BG25" s="447"/>
      <c r="BH25" s="760">
        <v>0.0013297733806881</v>
      </c>
      <c r="BI25" s="447">
        <v>0</v>
      </c>
      <c r="BJ25" s="368"/>
    </row>
    <row r="26" spans="1:64">
      <c r="A26" s="521">
        <v>5.4246575342466</v>
      </c>
      <c r="B26" s="522"/>
      <c r="C26" s="447"/>
      <c r="D26" s="447"/>
      <c r="E26" s="447"/>
      <c r="F26" s="447"/>
      <c r="G26" s="447"/>
      <c r="H26" s="447">
        <v>0.03186098609142</v>
      </c>
      <c r="I26" s="447">
        <v>0</v>
      </c>
      <c r="J26" s="368"/>
      <c r="N26" s="521">
        <v>5.4246575342466</v>
      </c>
      <c r="O26" s="522"/>
      <c r="P26" s="447"/>
      <c r="Q26" s="447"/>
      <c r="R26" s="447"/>
      <c r="S26" s="447"/>
      <c r="T26" s="447"/>
      <c r="U26" s="447">
        <v>0.018159768783994</v>
      </c>
      <c r="V26" s="447">
        <v>0</v>
      </c>
      <c r="W26" s="368"/>
      <c r="AA26" s="521">
        <v>5.4246575342466</v>
      </c>
      <c r="AB26" s="522"/>
      <c r="AC26" s="447"/>
      <c r="AD26" s="447"/>
      <c r="AE26" s="447"/>
      <c r="AF26" s="447"/>
      <c r="AG26" s="447"/>
      <c r="AH26" s="447">
        <v>0.01136767138713</v>
      </c>
      <c r="AI26" s="447">
        <v>0</v>
      </c>
      <c r="AJ26" s="368"/>
      <c r="AN26" s="521">
        <v>5.4246575342466</v>
      </c>
      <c r="AO26" s="522"/>
      <c r="AP26" s="447">
        <v>0.0627</v>
      </c>
      <c r="AQ26" s="447">
        <v>0.0031</v>
      </c>
      <c r="AR26" s="447">
        <v>0.0269</v>
      </c>
      <c r="AS26" s="447"/>
      <c r="AT26" s="447">
        <v>0.0539</v>
      </c>
      <c r="AU26" s="635">
        <v>0.0064</v>
      </c>
      <c r="AV26" s="447">
        <v>0</v>
      </c>
      <c r="AW26" s="368"/>
      <c r="BA26" s="521">
        <v>5.4246575342466</v>
      </c>
      <c r="BB26" s="522"/>
      <c r="BC26" s="447"/>
      <c r="BD26" s="447"/>
      <c r="BE26" s="447"/>
      <c r="BF26" s="447"/>
      <c r="BG26" s="447"/>
      <c r="BH26" s="760">
        <v>0.0018901082002682</v>
      </c>
      <c r="BI26" s="447">
        <v>0</v>
      </c>
      <c r="BJ26" s="368"/>
    </row>
    <row r="27" spans="1:64">
      <c r="A27" s="521">
        <v>5.6712328767123</v>
      </c>
      <c r="B27" s="522"/>
      <c r="C27" s="447"/>
      <c r="D27" s="447"/>
      <c r="E27" s="447"/>
      <c r="F27" s="447"/>
      <c r="G27" s="447"/>
      <c r="H27" s="447">
        <v>0.031906769981539</v>
      </c>
      <c r="I27" s="447">
        <v>0</v>
      </c>
      <c r="J27" s="368"/>
      <c r="N27" s="521">
        <v>5.6712328767123</v>
      </c>
      <c r="O27" s="522"/>
      <c r="P27" s="447"/>
      <c r="Q27" s="447"/>
      <c r="R27" s="447"/>
      <c r="S27" s="447"/>
      <c r="T27" s="447"/>
      <c r="U27" s="447">
        <v>0.018337307079145</v>
      </c>
      <c r="V27" s="447">
        <v>0</v>
      </c>
      <c r="W27" s="368"/>
      <c r="AA27" s="521">
        <v>5.6712328767123</v>
      </c>
      <c r="AB27" s="522"/>
      <c r="AC27" s="447"/>
      <c r="AD27" s="447"/>
      <c r="AE27" s="447"/>
      <c r="AF27" s="447"/>
      <c r="AG27" s="447"/>
      <c r="AH27" s="447">
        <v>0.011853283804921</v>
      </c>
      <c r="AI27" s="447">
        <v>0</v>
      </c>
      <c r="AJ27" s="368"/>
      <c r="AN27" s="521">
        <v>5.6712328767123</v>
      </c>
      <c r="AO27" s="522"/>
      <c r="AP27" s="447">
        <v>0.0629</v>
      </c>
      <c r="AQ27" s="447">
        <v>0.0034</v>
      </c>
      <c r="AR27" s="447">
        <v>0.0268</v>
      </c>
      <c r="AS27" s="447"/>
      <c r="AT27" s="447">
        <v>0.0536</v>
      </c>
      <c r="AU27" s="635">
        <v>0.0069</v>
      </c>
      <c r="AV27" s="447">
        <v>0</v>
      </c>
      <c r="AW27" s="368"/>
      <c r="BA27" s="521">
        <v>5.6712328767123</v>
      </c>
      <c r="BB27" s="522"/>
      <c r="BC27" s="447"/>
      <c r="BD27" s="447"/>
      <c r="BE27" s="447"/>
      <c r="BF27" s="447"/>
      <c r="BG27" s="447"/>
      <c r="BH27" s="760">
        <v>0.0024377850706214</v>
      </c>
      <c r="BI27" s="447">
        <v>0</v>
      </c>
      <c r="BJ27" s="368"/>
    </row>
    <row r="28" spans="1:64">
      <c r="A28" s="521">
        <v>5.9178082191781</v>
      </c>
      <c r="B28" s="522"/>
      <c r="C28" s="447"/>
      <c r="D28" s="447"/>
      <c r="E28" s="447"/>
      <c r="F28" s="447"/>
      <c r="G28" s="447"/>
      <c r="H28" s="447">
        <v>0.031938762825925</v>
      </c>
      <c r="I28" s="447">
        <v>0</v>
      </c>
      <c r="J28" s="368"/>
      <c r="N28" s="521">
        <v>5.9178082191781</v>
      </c>
      <c r="O28" s="522"/>
      <c r="P28" s="447"/>
      <c r="Q28" s="447"/>
      <c r="R28" s="447"/>
      <c r="S28" s="447"/>
      <c r="T28" s="447"/>
      <c r="U28" s="447">
        <v>0.018492930810642</v>
      </c>
      <c r="V28" s="447">
        <v>0</v>
      </c>
      <c r="W28" s="368"/>
      <c r="AA28" s="521">
        <v>5.9178082191781</v>
      </c>
      <c r="AB28" s="522"/>
      <c r="AC28" s="447"/>
      <c r="AD28" s="447"/>
      <c r="AE28" s="447"/>
      <c r="AF28" s="447"/>
      <c r="AG28" s="447"/>
      <c r="AH28" s="447">
        <v>0.012306724844186</v>
      </c>
      <c r="AI28" s="447">
        <v>0</v>
      </c>
      <c r="AJ28" s="368"/>
      <c r="AN28" s="521">
        <v>5.9178082191781</v>
      </c>
      <c r="AO28" s="522"/>
      <c r="AP28" s="447">
        <v>0.0631</v>
      </c>
      <c r="AQ28" s="447">
        <v>0.0037</v>
      </c>
      <c r="AR28" s="447">
        <v>0.0267</v>
      </c>
      <c r="AS28" s="447"/>
      <c r="AT28" s="447">
        <v>0.0534</v>
      </c>
      <c r="AU28" s="635">
        <v>0.0073</v>
      </c>
      <c r="AV28" s="447">
        <v>0</v>
      </c>
      <c r="AW28" s="368"/>
      <c r="BA28" s="521">
        <v>5.9178082191781</v>
      </c>
      <c r="BB28" s="522"/>
      <c r="BC28" s="447"/>
      <c r="BD28" s="447"/>
      <c r="BE28" s="447"/>
      <c r="BF28" s="447"/>
      <c r="BG28" s="447"/>
      <c r="BH28" s="760">
        <v>0.002970967013298</v>
      </c>
      <c r="BI28" s="447">
        <v>0</v>
      </c>
      <c r="BJ28" s="368"/>
    </row>
    <row r="29" spans="1:64">
      <c r="A29" s="521">
        <v>6.1643835616438</v>
      </c>
      <c r="B29" s="522"/>
      <c r="C29" s="447"/>
      <c r="D29" s="447"/>
      <c r="E29" s="447"/>
      <c r="F29" s="447"/>
      <c r="G29" s="447"/>
      <c r="H29" s="447">
        <v>0.03195853634345</v>
      </c>
      <c r="I29" s="447">
        <v>0</v>
      </c>
      <c r="J29" s="368"/>
      <c r="N29" s="521">
        <v>6.1643835616438</v>
      </c>
      <c r="O29" s="522"/>
      <c r="P29" s="447"/>
      <c r="Q29" s="447"/>
      <c r="R29" s="447"/>
      <c r="S29" s="447"/>
      <c r="T29" s="447"/>
      <c r="U29" s="447">
        <v>0.018627683137365</v>
      </c>
      <c r="V29" s="447">
        <v>0</v>
      </c>
      <c r="W29" s="368"/>
      <c r="AA29" s="521">
        <v>6.1643835616438</v>
      </c>
      <c r="AB29" s="522"/>
      <c r="AC29" s="447"/>
      <c r="AD29" s="447"/>
      <c r="AE29" s="447"/>
      <c r="AF29" s="447"/>
      <c r="AG29" s="447"/>
      <c r="AH29" s="447">
        <v>0.012729729448987</v>
      </c>
      <c r="AI29" s="447">
        <v>0</v>
      </c>
      <c r="AJ29" s="368"/>
      <c r="AN29" s="521">
        <v>6.1643835616438</v>
      </c>
      <c r="AO29" s="522"/>
      <c r="AP29" s="447">
        <v>0.0633</v>
      </c>
      <c r="AQ29" s="447">
        <v>0.0039</v>
      </c>
      <c r="AR29" s="447">
        <v>0.0265</v>
      </c>
      <c r="AS29" s="447"/>
      <c r="AT29" s="447">
        <v>0.0531</v>
      </c>
      <c r="AU29" s="635">
        <v>0.0078</v>
      </c>
      <c r="AV29" s="447">
        <v>0</v>
      </c>
      <c r="AW29" s="368"/>
      <c r="BA29" s="521">
        <v>6.1643835616438</v>
      </c>
      <c r="BB29" s="522"/>
      <c r="BC29" s="447"/>
      <c r="BD29" s="447"/>
      <c r="BE29" s="447"/>
      <c r="BF29" s="447"/>
      <c r="BG29" s="447"/>
      <c r="BH29" s="760">
        <v>0.0034882485728418</v>
      </c>
      <c r="BI29" s="447">
        <v>0</v>
      </c>
      <c r="BJ29" s="368"/>
    </row>
    <row r="30" spans="1:64">
      <c r="A30" s="521">
        <v>6.4109589041096</v>
      </c>
      <c r="B30" s="522"/>
      <c r="C30" s="447"/>
      <c r="D30" s="447"/>
      <c r="E30" s="447"/>
      <c r="F30" s="447"/>
      <c r="G30" s="447"/>
      <c r="H30" s="447">
        <v>0.031967532644199</v>
      </c>
      <c r="I30" s="447">
        <v>0</v>
      </c>
      <c r="J30" s="368"/>
      <c r="N30" s="521">
        <v>6.4109589041096</v>
      </c>
      <c r="O30" s="522"/>
      <c r="P30" s="447"/>
      <c r="Q30" s="447"/>
      <c r="R30" s="447"/>
      <c r="S30" s="447"/>
      <c r="T30" s="447"/>
      <c r="U30" s="447">
        <v>0.018742683880546</v>
      </c>
      <c r="V30" s="447">
        <v>0</v>
      </c>
      <c r="W30" s="368"/>
      <c r="AA30" s="521">
        <v>6.4109589041096</v>
      </c>
      <c r="AB30" s="522"/>
      <c r="AC30" s="447"/>
      <c r="AD30" s="447"/>
      <c r="AE30" s="447"/>
      <c r="AF30" s="447"/>
      <c r="AG30" s="447"/>
      <c r="AH30" s="447">
        <v>0.013123980266073</v>
      </c>
      <c r="AI30" s="447">
        <v>0</v>
      </c>
      <c r="AJ30" s="368"/>
      <c r="AN30" s="521">
        <v>6.4109589041096</v>
      </c>
      <c r="AO30" s="522"/>
      <c r="AP30" s="447">
        <v>0.0635</v>
      </c>
      <c r="AQ30" s="447">
        <v>0.0042</v>
      </c>
      <c r="AR30" s="447">
        <v>0.0264</v>
      </c>
      <c r="AS30" s="447"/>
      <c r="AT30" s="447">
        <v>0.0528</v>
      </c>
      <c r="AU30" s="635">
        <v>0.0082</v>
      </c>
      <c r="AV30" s="447">
        <v>0</v>
      </c>
      <c r="AW30" s="368"/>
      <c r="BA30" s="521">
        <v>6.4109589041096</v>
      </c>
      <c r="BB30" s="522"/>
      <c r="BC30" s="447"/>
      <c r="BD30" s="447"/>
      <c r="BE30" s="447"/>
      <c r="BF30" s="447"/>
      <c r="BG30" s="447"/>
      <c r="BH30" s="760">
        <v>0.0039885864240661</v>
      </c>
      <c r="BI30" s="447">
        <v>0</v>
      </c>
      <c r="BJ30" s="368"/>
    </row>
    <row r="31" spans="1:64">
      <c r="A31" s="521">
        <v>6.6575342465753</v>
      </c>
      <c r="B31" s="522"/>
      <c r="C31" s="447"/>
      <c r="D31" s="447"/>
      <c r="E31" s="447"/>
      <c r="F31" s="447"/>
      <c r="G31" s="447"/>
      <c r="H31" s="447">
        <v>0.031967078558184</v>
      </c>
      <c r="I31" s="447">
        <v>0</v>
      </c>
      <c r="J31" s="368"/>
      <c r="N31" s="521">
        <v>6.6575342465753</v>
      </c>
      <c r="O31" s="522"/>
      <c r="P31" s="447"/>
      <c r="Q31" s="447"/>
      <c r="R31" s="447"/>
      <c r="S31" s="447"/>
      <c r="T31" s="447"/>
      <c r="U31" s="447">
        <v>0.018839087913</v>
      </c>
      <c r="V31" s="447">
        <v>0</v>
      </c>
      <c r="W31" s="368"/>
      <c r="AA31" s="521">
        <v>6.6575342465753</v>
      </c>
      <c r="AB31" s="522"/>
      <c r="AC31" s="447"/>
      <c r="AD31" s="447"/>
      <c r="AE31" s="447"/>
      <c r="AF31" s="447"/>
      <c r="AG31" s="447"/>
      <c r="AH31" s="447">
        <v>0.013491089340899</v>
      </c>
      <c r="AI31" s="447">
        <v>0</v>
      </c>
      <c r="AJ31" s="368"/>
      <c r="AN31" s="521">
        <v>6.6575342465753</v>
      </c>
      <c r="AO31" s="522"/>
      <c r="AP31" s="447">
        <v>0.0636</v>
      </c>
      <c r="AQ31" s="447">
        <v>0.0045</v>
      </c>
      <c r="AR31" s="447">
        <v>0.0263</v>
      </c>
      <c r="AS31" s="447"/>
      <c r="AT31" s="447">
        <v>0.0526</v>
      </c>
      <c r="AU31" s="635">
        <v>0.0085</v>
      </c>
      <c r="AV31" s="447">
        <v>0</v>
      </c>
      <c r="AW31" s="368"/>
      <c r="BA31" s="521">
        <v>6.6575342465753</v>
      </c>
      <c r="BB31" s="522"/>
      <c r="BC31" s="447"/>
      <c r="BD31" s="447"/>
      <c r="BE31" s="447"/>
      <c r="BF31" s="447"/>
      <c r="BG31" s="447"/>
      <c r="BH31" s="760">
        <v>0.0044712396923521</v>
      </c>
      <c r="BI31" s="447">
        <v>0</v>
      </c>
      <c r="BJ31" s="368"/>
    </row>
    <row r="32" spans="1:64">
      <c r="A32" s="521">
        <v>6.9041095890411</v>
      </c>
      <c r="B32" s="522"/>
      <c r="C32" s="447"/>
      <c r="D32" s="447"/>
      <c r="E32" s="447"/>
      <c r="F32" s="447"/>
      <c r="G32" s="447"/>
      <c r="H32" s="447">
        <v>0.031958390059026</v>
      </c>
      <c r="I32" s="447">
        <v>0</v>
      </c>
      <c r="J32" s="368"/>
      <c r="N32" s="521">
        <v>6.9041095890411</v>
      </c>
      <c r="O32" s="522"/>
      <c r="P32" s="447"/>
      <c r="Q32" s="447"/>
      <c r="R32" s="447"/>
      <c r="S32" s="447"/>
      <c r="T32" s="447"/>
      <c r="U32" s="447">
        <v>0.018918057765297</v>
      </c>
      <c r="V32" s="447">
        <v>0</v>
      </c>
      <c r="W32" s="368"/>
      <c r="AA32" s="521">
        <v>6.9041095890411</v>
      </c>
      <c r="AB32" s="522"/>
      <c r="AC32" s="447"/>
      <c r="AD32" s="447"/>
      <c r="AE32" s="447"/>
      <c r="AF32" s="447"/>
      <c r="AG32" s="447"/>
      <c r="AH32" s="447">
        <v>0.013832577730938</v>
      </c>
      <c r="AI32" s="447">
        <v>0</v>
      </c>
      <c r="AJ32" s="368"/>
      <c r="AN32" s="521">
        <v>6.9041095890411</v>
      </c>
      <c r="AO32" s="522"/>
      <c r="AP32" s="447">
        <v>0.0637</v>
      </c>
      <c r="AQ32" s="447">
        <v>0.0048</v>
      </c>
      <c r="AR32" s="447">
        <v>0.0262</v>
      </c>
      <c r="AS32" s="447"/>
      <c r="AT32" s="447">
        <v>0.0523</v>
      </c>
      <c r="AU32" s="635">
        <v>0.0089</v>
      </c>
      <c r="AV32" s="447">
        <v>0</v>
      </c>
      <c r="AW32" s="368"/>
      <c r="BA32" s="521">
        <v>6.9041095890411</v>
      </c>
      <c r="BB32" s="522"/>
      <c r="BC32" s="447"/>
      <c r="BD32" s="447"/>
      <c r="BE32" s="447"/>
      <c r="BF32" s="447"/>
      <c r="BG32" s="447"/>
      <c r="BH32" s="760">
        <v>0.0049357218583144</v>
      </c>
      <c r="BI32" s="447">
        <v>0</v>
      </c>
      <c r="BJ32" s="368"/>
    </row>
    <row r="33" spans="1:64">
      <c r="A33" s="521">
        <v>7.1506849315068</v>
      </c>
      <c r="B33" s="522"/>
      <c r="C33" s="447"/>
      <c r="D33" s="447"/>
      <c r="E33" s="447"/>
      <c r="F33" s="447"/>
      <c r="G33" s="447"/>
      <c r="H33" s="447">
        <v>0.031942580656819</v>
      </c>
      <c r="I33" s="447">
        <v>0</v>
      </c>
      <c r="J33" s="368"/>
      <c r="N33" s="521">
        <v>7.1506849315068</v>
      </c>
      <c r="O33" s="522"/>
      <c r="P33" s="447"/>
      <c r="Q33" s="447"/>
      <c r="R33" s="447"/>
      <c r="S33" s="447"/>
      <c r="T33" s="447"/>
      <c r="U33" s="447">
        <v>0.018980741018339</v>
      </c>
      <c r="V33" s="447">
        <v>0</v>
      </c>
      <c r="W33" s="368"/>
      <c r="AA33" s="521">
        <v>7.1506849315068</v>
      </c>
      <c r="AB33" s="522"/>
      <c r="AC33" s="447"/>
      <c r="AD33" s="447"/>
      <c r="AE33" s="447"/>
      <c r="AF33" s="447"/>
      <c r="AG33" s="447"/>
      <c r="AH33" s="447">
        <v>0.014149878225305</v>
      </c>
      <c r="AI33" s="447">
        <v>0</v>
      </c>
      <c r="AJ33" s="368"/>
      <c r="AN33" s="521">
        <v>7.1506849315068</v>
      </c>
      <c r="AO33" s="522"/>
      <c r="AP33" s="447">
        <v>0.0638</v>
      </c>
      <c r="AQ33" s="447">
        <v>0.005</v>
      </c>
      <c r="AR33" s="447">
        <v>0.0261</v>
      </c>
      <c r="AS33" s="447"/>
      <c r="AT33" s="447">
        <v>0.0521</v>
      </c>
      <c r="AU33" s="635">
        <v>0.0092</v>
      </c>
      <c r="AV33" s="447">
        <v>0</v>
      </c>
      <c r="AW33" s="368"/>
      <c r="BA33" s="521">
        <v>7.1506849315068</v>
      </c>
      <c r="BB33" s="522"/>
      <c r="BC33" s="447"/>
      <c r="BD33" s="447"/>
      <c r="BE33" s="447"/>
      <c r="BF33" s="447"/>
      <c r="BG33" s="447"/>
      <c r="BH33" s="760">
        <v>0.0053817537473508</v>
      </c>
      <c r="BI33" s="447">
        <v>0</v>
      </c>
      <c r="BJ33" s="368"/>
    </row>
    <row r="34" spans="1:64">
      <c r="A34" s="521">
        <v>7.3972602739726</v>
      </c>
      <c r="B34" s="522"/>
      <c r="C34" s="447"/>
      <c r="D34" s="447"/>
      <c r="E34" s="447"/>
      <c r="F34" s="447"/>
      <c r="G34" s="447"/>
      <c r="H34" s="447">
        <v>0.03192067155289</v>
      </c>
      <c r="I34" s="447">
        <v>0</v>
      </c>
      <c r="J34" s="368"/>
      <c r="N34" s="521">
        <v>7.3972602739726</v>
      </c>
      <c r="O34" s="522"/>
      <c r="P34" s="447"/>
      <c r="Q34" s="447"/>
      <c r="R34" s="447"/>
      <c r="S34" s="447"/>
      <c r="T34" s="447"/>
      <c r="U34" s="447">
        <v>0.019028250491425</v>
      </c>
      <c r="V34" s="447">
        <v>0</v>
      </c>
      <c r="W34" s="368"/>
      <c r="AA34" s="521">
        <v>7.3972602739726</v>
      </c>
      <c r="AB34" s="522"/>
      <c r="AC34" s="447"/>
      <c r="AD34" s="447"/>
      <c r="AE34" s="447"/>
      <c r="AF34" s="447"/>
      <c r="AG34" s="447"/>
      <c r="AH34" s="447">
        <v>0.014444325535105</v>
      </c>
      <c r="AI34" s="447">
        <v>0</v>
      </c>
      <c r="AJ34" s="368"/>
      <c r="AN34" s="521">
        <v>7.3972602739726</v>
      </c>
      <c r="AO34" s="522"/>
      <c r="AP34" s="447">
        <v>0.0639</v>
      </c>
      <c r="AQ34" s="447">
        <v>0.0053</v>
      </c>
      <c r="AR34" s="447">
        <v>0.0259</v>
      </c>
      <c r="AS34" s="447"/>
      <c r="AT34" s="447">
        <v>0.0518</v>
      </c>
      <c r="AU34" s="635">
        <v>0.0095</v>
      </c>
      <c r="AV34" s="447">
        <v>0</v>
      </c>
      <c r="AW34" s="368"/>
      <c r="BA34" s="521">
        <v>7.3972602739726</v>
      </c>
      <c r="BB34" s="522"/>
      <c r="BC34" s="447"/>
      <c r="BD34" s="447"/>
      <c r="BE34" s="447"/>
      <c r="BF34" s="447"/>
      <c r="BG34" s="447"/>
      <c r="BH34" s="760">
        <v>0.0058092318559757</v>
      </c>
      <c r="BI34" s="447">
        <v>0</v>
      </c>
      <c r="BJ34" s="368"/>
    </row>
    <row r="35" spans="1:64">
      <c r="A35" s="521">
        <v>7.6438356164384</v>
      </c>
      <c r="B35" s="522"/>
      <c r="C35" s="447"/>
      <c r="D35" s="447"/>
      <c r="E35" s="447"/>
      <c r="F35" s="447"/>
      <c r="G35" s="447"/>
      <c r="H35" s="447">
        <v>0.031893597992551</v>
      </c>
      <c r="I35" s="447">
        <v>0</v>
      </c>
      <c r="J35" s="368"/>
      <c r="N35" s="521">
        <v>7.6438356164384</v>
      </c>
      <c r="O35" s="522"/>
      <c r="P35" s="447"/>
      <c r="Q35" s="447"/>
      <c r="R35" s="447"/>
      <c r="S35" s="447"/>
      <c r="T35" s="447"/>
      <c r="U35" s="447">
        <v>0.019061656828669</v>
      </c>
      <c r="V35" s="447">
        <v>0</v>
      </c>
      <c r="W35" s="368"/>
      <c r="AA35" s="521">
        <v>7.6438356164384</v>
      </c>
      <c r="AB35" s="522"/>
      <c r="AC35" s="447"/>
      <c r="AD35" s="447"/>
      <c r="AE35" s="447"/>
      <c r="AF35" s="447"/>
      <c r="AG35" s="447"/>
      <c r="AH35" s="447">
        <v>0.014717164657291</v>
      </c>
      <c r="AI35" s="447">
        <v>0</v>
      </c>
      <c r="AJ35" s="368"/>
      <c r="AN35" s="521">
        <v>7.6438356164384</v>
      </c>
      <c r="AO35" s="522"/>
      <c r="AP35" s="447">
        <v>0.064</v>
      </c>
      <c r="AQ35" s="447">
        <v>0.0056</v>
      </c>
      <c r="AR35" s="447">
        <v>0.0258</v>
      </c>
      <c r="AS35" s="447"/>
      <c r="AT35" s="447">
        <v>0.0516</v>
      </c>
      <c r="AU35" s="635">
        <v>0.0097</v>
      </c>
      <c r="AV35" s="447">
        <v>0</v>
      </c>
      <c r="AW35" s="368"/>
      <c r="BA35" s="521">
        <v>7.6438356164384</v>
      </c>
      <c r="BB35" s="522"/>
      <c r="BC35" s="447"/>
      <c r="BD35" s="447"/>
      <c r="BE35" s="447"/>
      <c r="BF35" s="447"/>
      <c r="BG35" s="447"/>
      <c r="BH35" s="760">
        <v>0.006218194836731</v>
      </c>
      <c r="BI35" s="447">
        <v>0</v>
      </c>
      <c r="BJ35" s="368"/>
    </row>
    <row r="36" spans="1:64">
      <c r="A36" s="521">
        <v>7.8904109589041</v>
      </c>
      <c r="B36" s="522"/>
      <c r="C36" s="447"/>
      <c r="D36" s="447"/>
      <c r="E36" s="447"/>
      <c r="F36" s="447"/>
      <c r="G36" s="447"/>
      <c r="H36" s="447">
        <v>0.03186221635742</v>
      </c>
      <c r="I36" s="447">
        <v>0</v>
      </c>
      <c r="J36" s="368"/>
      <c r="N36" s="521">
        <v>7.8904109589041</v>
      </c>
      <c r="O36" s="522"/>
      <c r="P36" s="447"/>
      <c r="Q36" s="447"/>
      <c r="R36" s="447"/>
      <c r="S36" s="447"/>
      <c r="T36" s="447"/>
      <c r="U36" s="447">
        <v>0.019081987722829</v>
      </c>
      <c r="V36" s="447">
        <v>0</v>
      </c>
      <c r="W36" s="368"/>
      <c r="AA36" s="521">
        <v>7.8904109589041</v>
      </c>
      <c r="AB36" s="522"/>
      <c r="AC36" s="447"/>
      <c r="AD36" s="447"/>
      <c r="AE36" s="447"/>
      <c r="AF36" s="447"/>
      <c r="AG36" s="447"/>
      <c r="AH36" s="447">
        <v>0.014969546856271</v>
      </c>
      <c r="AI36" s="447">
        <v>0</v>
      </c>
      <c r="AJ36" s="368"/>
      <c r="AN36" s="521">
        <v>7.8904109589041</v>
      </c>
      <c r="AO36" s="522"/>
      <c r="AP36" s="447">
        <v>0.0641</v>
      </c>
      <c r="AQ36" s="447">
        <v>0.0059</v>
      </c>
      <c r="AR36" s="447">
        <v>0.0257</v>
      </c>
      <c r="AS36" s="447"/>
      <c r="AT36" s="447">
        <v>0.0513</v>
      </c>
      <c r="AU36" s="635">
        <v>0.01</v>
      </c>
      <c r="AV36" s="447">
        <v>0</v>
      </c>
      <c r="AW36" s="368"/>
      <c r="BA36" s="521">
        <v>7.8904109589041</v>
      </c>
      <c r="BB36" s="522"/>
      <c r="BC36" s="447"/>
      <c r="BD36" s="447"/>
      <c r="BE36" s="447"/>
      <c r="BF36" s="447"/>
      <c r="BG36" s="447"/>
      <c r="BH36" s="760">
        <v>0.0066087967509962</v>
      </c>
      <c r="BI36" s="447">
        <v>0</v>
      </c>
      <c r="BJ36" s="368"/>
    </row>
    <row r="37" spans="1:64">
      <c r="A37" s="521">
        <v>8.1369863013699</v>
      </c>
      <c r="B37" s="522"/>
      <c r="C37" s="447"/>
      <c r="D37" s="447"/>
      <c r="E37" s="447"/>
      <c r="F37" s="447"/>
      <c r="G37" s="447"/>
      <c r="H37" s="447">
        <v>0.031827305436662</v>
      </c>
      <c r="I37" s="447">
        <v>0</v>
      </c>
      <c r="J37" s="368"/>
      <c r="N37" s="521">
        <v>8.1369863013699</v>
      </c>
      <c r="O37" s="522"/>
      <c r="P37" s="447"/>
      <c r="Q37" s="447"/>
      <c r="R37" s="447"/>
      <c r="S37" s="447"/>
      <c r="T37" s="447"/>
      <c r="U37" s="447">
        <v>0.019090210899708</v>
      </c>
      <c r="V37" s="447">
        <v>0</v>
      </c>
      <c r="W37" s="368"/>
      <c r="AA37" s="521">
        <v>8.1369863013699</v>
      </c>
      <c r="AB37" s="522"/>
      <c r="AC37" s="447"/>
      <c r="AD37" s="447"/>
      <c r="AE37" s="447"/>
      <c r="AF37" s="447"/>
      <c r="AG37" s="447"/>
      <c r="AH37" s="447">
        <v>0.015202542905167</v>
      </c>
      <c r="AI37" s="447">
        <v>0</v>
      </c>
      <c r="AJ37" s="368"/>
      <c r="AN37" s="521">
        <v>8.1369863013699</v>
      </c>
      <c r="AO37" s="522"/>
      <c r="AP37" s="447">
        <v>0.0642</v>
      </c>
      <c r="AQ37" s="447">
        <v>0.0061</v>
      </c>
      <c r="AR37" s="447">
        <v>0.0256</v>
      </c>
      <c r="AS37" s="447"/>
      <c r="AT37" s="447">
        <v>0.051</v>
      </c>
      <c r="AU37" s="635">
        <v>0.0102</v>
      </c>
      <c r="AV37" s="447">
        <v>0</v>
      </c>
      <c r="AW37" s="368"/>
      <c r="BA37" s="521">
        <v>8.1369863013699</v>
      </c>
      <c r="BB37" s="522"/>
      <c r="BC37" s="447"/>
      <c r="BD37" s="447"/>
      <c r="BE37" s="447"/>
      <c r="BF37" s="447"/>
      <c r="BG37" s="447"/>
      <c r="BH37" s="760">
        <v>0.0069812860486207</v>
      </c>
      <c r="BI37" s="447">
        <v>0</v>
      </c>
      <c r="BJ37" s="368"/>
    </row>
    <row r="38" spans="1:64">
      <c r="A38" s="521">
        <v>8.3835616438356</v>
      </c>
      <c r="B38" s="522"/>
      <c r="C38" s="447"/>
      <c r="D38" s="447"/>
      <c r="E38" s="447"/>
      <c r="F38" s="447"/>
      <c r="G38" s="447"/>
      <c r="H38" s="447">
        <v>0.031789579496286</v>
      </c>
      <c r="I38" s="447">
        <v>0</v>
      </c>
      <c r="J38" s="368"/>
      <c r="N38" s="521">
        <v>8.3835616438356</v>
      </c>
      <c r="O38" s="522"/>
      <c r="P38" s="447"/>
      <c r="Q38" s="447"/>
      <c r="R38" s="447"/>
      <c r="S38" s="447"/>
      <c r="T38" s="447"/>
      <c r="U38" s="447">
        <v>0.019087247588382</v>
      </c>
      <c r="V38" s="447">
        <v>0</v>
      </c>
      <c r="W38" s="368"/>
      <c r="AA38" s="521">
        <v>8.3835616438356</v>
      </c>
      <c r="AB38" s="522"/>
      <c r="AC38" s="447"/>
      <c r="AD38" s="447"/>
      <c r="AE38" s="447"/>
      <c r="AF38" s="447"/>
      <c r="AG38" s="447"/>
      <c r="AH38" s="447">
        <v>0.015417142862263</v>
      </c>
      <c r="AI38" s="447">
        <v>0</v>
      </c>
      <c r="AJ38" s="368"/>
      <c r="AN38" s="521">
        <v>8.3835616438356</v>
      </c>
      <c r="AO38" s="522"/>
      <c r="AP38" s="447">
        <v>0.0642</v>
      </c>
      <c r="AQ38" s="447">
        <v>0.0064</v>
      </c>
      <c r="AR38" s="447">
        <v>0.0255</v>
      </c>
      <c r="AS38" s="447"/>
      <c r="AT38" s="447">
        <v>0.0508</v>
      </c>
      <c r="AU38" s="635">
        <v>0.0104</v>
      </c>
      <c r="AV38" s="447">
        <v>0</v>
      </c>
      <c r="AW38" s="368"/>
      <c r="BA38" s="521">
        <v>8.3835616438356</v>
      </c>
      <c r="BB38" s="522"/>
      <c r="BC38" s="447"/>
      <c r="BD38" s="447"/>
      <c r="BE38" s="447"/>
      <c r="BF38" s="447"/>
      <c r="BG38" s="447"/>
      <c r="BH38" s="760">
        <v>0.0073359874669969</v>
      </c>
      <c r="BI38" s="447">
        <v>0</v>
      </c>
      <c r="BJ38" s="368"/>
    </row>
    <row r="39" spans="1:64">
      <c r="A39" s="521">
        <v>8.6301369863014</v>
      </c>
      <c r="B39" s="522"/>
      <c r="C39" s="447"/>
      <c r="D39" s="447"/>
      <c r="E39" s="447"/>
      <c r="F39" s="447"/>
      <c r="G39" s="447"/>
      <c r="H39" s="447">
        <v>0.031749687435719</v>
      </c>
      <c r="I39" s="447">
        <v>0</v>
      </c>
      <c r="J39" s="368"/>
      <c r="N39" s="521">
        <v>8.6301369863014</v>
      </c>
      <c r="O39" s="522"/>
      <c r="P39" s="447"/>
      <c r="Q39" s="447"/>
      <c r="R39" s="447"/>
      <c r="S39" s="447"/>
      <c r="T39" s="447"/>
      <c r="U39" s="447">
        <v>0.01907395739512</v>
      </c>
      <c r="V39" s="447">
        <v>0</v>
      </c>
      <c r="W39" s="368"/>
      <c r="AA39" s="521">
        <v>8.6301369863014</v>
      </c>
      <c r="AB39" s="522"/>
      <c r="AC39" s="447"/>
      <c r="AD39" s="447"/>
      <c r="AE39" s="447"/>
      <c r="AF39" s="447"/>
      <c r="AG39" s="447"/>
      <c r="AH39" s="447">
        <v>0.015614263571155</v>
      </c>
      <c r="AI39" s="447">
        <v>0</v>
      </c>
      <c r="AJ39" s="368"/>
      <c r="AN39" s="521">
        <v>8.6301369863014</v>
      </c>
      <c r="AO39" s="522"/>
      <c r="AP39" s="447">
        <v>0.0643</v>
      </c>
      <c r="AQ39" s="447">
        <v>0.0066</v>
      </c>
      <c r="AR39" s="447">
        <v>0.0255</v>
      </c>
      <c r="AS39" s="447"/>
      <c r="AT39" s="447">
        <v>0.0505</v>
      </c>
      <c r="AU39" s="635">
        <v>0.0106</v>
      </c>
      <c r="AV39" s="447">
        <v>0</v>
      </c>
      <c r="AW39" s="368"/>
      <c r="BA39" s="521">
        <v>8.6301369863014</v>
      </c>
      <c r="BB39" s="522"/>
      <c r="BC39" s="447"/>
      <c r="BD39" s="447"/>
      <c r="BE39" s="447"/>
      <c r="BF39" s="447"/>
      <c r="BG39" s="447"/>
      <c r="BH39" s="760">
        <v>0.0076732820521563</v>
      </c>
      <c r="BI39" s="447">
        <v>0</v>
      </c>
      <c r="BJ39" s="368"/>
    </row>
    <row r="40" spans="1:64">
      <c r="A40" s="521">
        <v>8.8767123287671</v>
      </c>
      <c r="B40" s="522"/>
      <c r="C40" s="447"/>
      <c r="D40" s="447"/>
      <c r="E40" s="447"/>
      <c r="F40" s="447"/>
      <c r="G40" s="447"/>
      <c r="H40" s="447">
        <v>0.031708223805573</v>
      </c>
      <c r="I40" s="447">
        <v>0</v>
      </c>
      <c r="J40" s="368"/>
      <c r="N40" s="521">
        <v>8.8767123287671</v>
      </c>
      <c r="O40" s="522"/>
      <c r="P40" s="447"/>
      <c r="Q40" s="447"/>
      <c r="R40" s="447"/>
      <c r="S40" s="447"/>
      <c r="T40" s="447"/>
      <c r="U40" s="447">
        <v>0.019051152739009</v>
      </c>
      <c r="V40" s="447">
        <v>0</v>
      </c>
      <c r="W40" s="368"/>
      <c r="AA40" s="521">
        <v>8.8767123287671</v>
      </c>
      <c r="AB40" s="522"/>
      <c r="AC40" s="447"/>
      <c r="AD40" s="447"/>
      <c r="AE40" s="447"/>
      <c r="AF40" s="447"/>
      <c r="AG40" s="447"/>
      <c r="AH40" s="447">
        <v>0.015794757176028</v>
      </c>
      <c r="AI40" s="447">
        <v>0</v>
      </c>
      <c r="AJ40" s="368"/>
      <c r="AN40" s="521">
        <v>8.8767123287671</v>
      </c>
      <c r="AO40" s="522"/>
      <c r="AP40" s="447">
        <v>0.0643</v>
      </c>
      <c r="AQ40" s="447">
        <v>0.0069</v>
      </c>
      <c r="AR40" s="447">
        <v>0.0254</v>
      </c>
      <c r="AS40" s="447"/>
      <c r="AT40" s="447">
        <v>0.0503</v>
      </c>
      <c r="AU40" s="635">
        <v>0.0107</v>
      </c>
      <c r="AV40" s="447">
        <v>0</v>
      </c>
      <c r="AW40" s="368"/>
      <c r="BA40" s="521">
        <v>8.8767123287671</v>
      </c>
      <c r="BB40" s="522"/>
      <c r="BC40" s="447"/>
      <c r="BD40" s="447"/>
      <c r="BE40" s="447"/>
      <c r="BF40" s="447"/>
      <c r="BG40" s="447"/>
      <c r="BH40" s="760">
        <v>0.0079935986031181</v>
      </c>
      <c r="BI40" s="447">
        <v>0</v>
      </c>
      <c r="BJ40" s="368"/>
    </row>
    <row r="41" spans="1:64">
      <c r="A41" s="521">
        <v>9.1232876712329</v>
      </c>
      <c r="B41" s="522"/>
      <c r="C41" s="447"/>
      <c r="D41" s="447"/>
      <c r="E41" s="447"/>
      <c r="F41" s="447"/>
      <c r="G41" s="447"/>
      <c r="H41" s="447">
        <v>0.031665723992318</v>
      </c>
      <c r="I41" s="447">
        <v>0</v>
      </c>
      <c r="J41" s="368"/>
      <c r="N41" s="521">
        <v>9.1232876712329</v>
      </c>
      <c r="O41" s="522"/>
      <c r="P41" s="447"/>
      <c r="Q41" s="447"/>
      <c r="R41" s="447"/>
      <c r="S41" s="447"/>
      <c r="T41" s="447"/>
      <c r="U41" s="447">
        <v>0.01901959216197</v>
      </c>
      <c r="V41" s="447">
        <v>0</v>
      </c>
      <c r="W41" s="368"/>
      <c r="AA41" s="521">
        <v>9.1232876712329</v>
      </c>
      <c r="AB41" s="522"/>
      <c r="AC41" s="447"/>
      <c r="AD41" s="447"/>
      <c r="AE41" s="447"/>
      <c r="AF41" s="447"/>
      <c r="AG41" s="447"/>
      <c r="AH41" s="447">
        <v>0.015959409954805</v>
      </c>
      <c r="AI41" s="447">
        <v>0</v>
      </c>
      <c r="AJ41" s="368"/>
      <c r="AN41" s="521">
        <v>9.1232876712329</v>
      </c>
      <c r="AO41" s="522"/>
      <c r="AP41" s="447">
        <v>0.0644</v>
      </c>
      <c r="AQ41" s="447">
        <v>0.0071</v>
      </c>
      <c r="AR41" s="447">
        <v>0.0253</v>
      </c>
      <c r="AS41" s="447"/>
      <c r="AT41" s="447">
        <v>0.05</v>
      </c>
      <c r="AU41" s="635">
        <v>0.0109</v>
      </c>
      <c r="AV41" s="447">
        <v>0</v>
      </c>
      <c r="AW41" s="368"/>
      <c r="BA41" s="521">
        <v>9.1232876712329</v>
      </c>
      <c r="BB41" s="522"/>
      <c r="BC41" s="447"/>
      <c r="BD41" s="447"/>
      <c r="BE41" s="447"/>
      <c r="BF41" s="447"/>
      <c r="BG41" s="447"/>
      <c r="BH41" s="760">
        <v>0.0082974004315308</v>
      </c>
      <c r="BI41" s="447">
        <v>0</v>
      </c>
      <c r="BJ41" s="368"/>
    </row>
    <row r="42" spans="1:64">
      <c r="A42" s="521">
        <v>9.3698630136986</v>
      </c>
      <c r="B42" s="522"/>
      <c r="C42" s="447"/>
      <c r="D42" s="447"/>
      <c r="E42" s="447"/>
      <c r="F42" s="447"/>
      <c r="G42" s="447"/>
      <c r="H42" s="447">
        <v>0.031622677217141</v>
      </c>
      <c r="I42" s="447">
        <v>0</v>
      </c>
      <c r="J42" s="368"/>
      <c r="N42" s="521">
        <v>9.3698630136986</v>
      </c>
      <c r="O42" s="522"/>
      <c r="P42" s="447"/>
      <c r="Q42" s="447"/>
      <c r="R42" s="447"/>
      <c r="S42" s="447"/>
      <c r="T42" s="447"/>
      <c r="U42" s="447">
        <v>0.018979986231259</v>
      </c>
      <c r="V42" s="447">
        <v>0</v>
      </c>
      <c r="W42" s="368"/>
      <c r="AA42" s="521">
        <v>9.3698630136986</v>
      </c>
      <c r="AB42" s="522"/>
      <c r="AC42" s="447"/>
      <c r="AD42" s="447"/>
      <c r="AE42" s="447"/>
      <c r="AF42" s="447"/>
      <c r="AG42" s="447"/>
      <c r="AH42" s="447">
        <v>0.016108953779313</v>
      </c>
      <c r="AI42" s="447">
        <v>0</v>
      </c>
      <c r="AJ42" s="368"/>
      <c r="AN42" s="521">
        <v>9.3698630136986</v>
      </c>
      <c r="AO42" s="522"/>
      <c r="AP42" s="447">
        <v>0.0644</v>
      </c>
      <c r="AQ42" s="447">
        <v>0.0074</v>
      </c>
      <c r="AR42" s="447">
        <v>0.0252</v>
      </c>
      <c r="AS42" s="447"/>
      <c r="AT42" s="447">
        <v>0.0498</v>
      </c>
      <c r="AU42" s="635">
        <v>0.011</v>
      </c>
      <c r="AV42" s="447">
        <v>0</v>
      </c>
      <c r="AW42" s="368"/>
      <c r="BA42" s="521">
        <v>9.3698630136986</v>
      </c>
      <c r="BB42" s="522"/>
      <c r="BC42" s="447"/>
      <c r="BD42" s="447"/>
      <c r="BE42" s="447"/>
      <c r="BF42" s="447"/>
      <c r="BG42" s="447"/>
      <c r="BH42" s="760">
        <v>0.0085851749213297</v>
      </c>
      <c r="BI42" s="447">
        <v>0</v>
      </c>
      <c r="BJ42" s="368"/>
    </row>
    <row r="43" spans="1:64">
      <c r="A43" s="521">
        <v>9.6164383561644</v>
      </c>
      <c r="B43" s="522"/>
      <c r="C43" s="447"/>
      <c r="D43" s="447"/>
      <c r="E43" s="447"/>
      <c r="F43" s="447"/>
      <c r="G43" s="447"/>
      <c r="H43" s="447">
        <v>0.031579528536548</v>
      </c>
      <c r="I43" s="447">
        <v>0</v>
      </c>
      <c r="J43" s="368"/>
      <c r="N43" s="521">
        <v>9.6164383561644</v>
      </c>
      <c r="O43" s="522"/>
      <c r="P43" s="447"/>
      <c r="Q43" s="447"/>
      <c r="R43" s="447"/>
      <c r="S43" s="447"/>
      <c r="T43" s="447"/>
      <c r="U43" s="447">
        <v>0.018932994707274</v>
      </c>
      <c r="V43" s="447">
        <v>0</v>
      </c>
      <c r="W43" s="368"/>
      <c r="AA43" s="521">
        <v>9.6164383561644</v>
      </c>
      <c r="AB43" s="522"/>
      <c r="AC43" s="447"/>
      <c r="AD43" s="447"/>
      <c r="AE43" s="447"/>
      <c r="AF43" s="447"/>
      <c r="AG43" s="447"/>
      <c r="AH43" s="447">
        <v>0.016244069750607</v>
      </c>
      <c r="AI43" s="447">
        <v>0</v>
      </c>
      <c r="AJ43" s="368"/>
      <c r="AN43" s="521">
        <v>9.6164383561644</v>
      </c>
      <c r="AO43" s="522"/>
      <c r="AP43" s="447">
        <v>0.0644</v>
      </c>
      <c r="AQ43" s="447">
        <v>0.0076</v>
      </c>
      <c r="AR43" s="447">
        <v>0.0252</v>
      </c>
      <c r="AS43" s="447"/>
      <c r="AT43" s="447">
        <v>0.0496</v>
      </c>
      <c r="AU43" s="635">
        <v>0.0111</v>
      </c>
      <c r="AV43" s="447">
        <v>0</v>
      </c>
      <c r="AW43" s="368"/>
      <c r="BA43" s="521">
        <v>9.6164383561644</v>
      </c>
      <c r="BB43" s="522"/>
      <c r="BC43" s="447"/>
      <c r="BD43" s="447"/>
      <c r="BE43" s="447"/>
      <c r="BF43" s="447"/>
      <c r="BG43" s="447"/>
      <c r="BH43" s="760">
        <v>0.0088574259977094</v>
      </c>
      <c r="BI43" s="447">
        <v>0</v>
      </c>
      <c r="BJ43" s="368"/>
    </row>
    <row r="44" spans="1:64">
      <c r="A44" s="521">
        <v>9.8630136986301</v>
      </c>
      <c r="B44" s="522"/>
      <c r="C44" s="447"/>
      <c r="D44" s="447"/>
      <c r="E44" s="447"/>
      <c r="F44" s="447"/>
      <c r="G44" s="447"/>
      <c r="H44" s="447">
        <v>0.03153667600577</v>
      </c>
      <c r="I44" s="447">
        <v>0</v>
      </c>
      <c r="J44" s="368"/>
      <c r="N44" s="521">
        <v>9.8630136986301</v>
      </c>
      <c r="O44" s="522"/>
      <c r="P44" s="447"/>
      <c r="Q44" s="447"/>
      <c r="R44" s="447"/>
      <c r="S44" s="447"/>
      <c r="T44" s="447"/>
      <c r="U44" s="447">
        <v>0.018879239903879</v>
      </c>
      <c r="V44" s="447">
        <v>0</v>
      </c>
      <c r="W44" s="368"/>
      <c r="AA44" s="521">
        <v>9.8630136986301</v>
      </c>
      <c r="AB44" s="522"/>
      <c r="AC44" s="447"/>
      <c r="AD44" s="447"/>
      <c r="AE44" s="447"/>
      <c r="AF44" s="447"/>
      <c r="AG44" s="447"/>
      <c r="AH44" s="447">
        <v>0.016365391978783</v>
      </c>
      <c r="AI44" s="447">
        <v>0</v>
      </c>
      <c r="AJ44" s="368"/>
      <c r="AN44" s="521">
        <v>9.8630136986301</v>
      </c>
      <c r="AO44" s="522"/>
      <c r="AP44" s="447">
        <v>0.0645</v>
      </c>
      <c r="AQ44" s="447">
        <v>0.0078</v>
      </c>
      <c r="AR44" s="447">
        <v>0.0251</v>
      </c>
      <c r="AS44" s="447"/>
      <c r="AT44" s="447">
        <v>0.0493</v>
      </c>
      <c r="AU44" s="635">
        <v>0.0112</v>
      </c>
      <c r="AV44" s="447">
        <v>0</v>
      </c>
      <c r="AW44" s="368"/>
      <c r="BA44" s="521">
        <v>9.8630136986301</v>
      </c>
      <c r="BB44" s="522"/>
      <c r="BC44" s="447"/>
      <c r="BD44" s="447"/>
      <c r="BE44" s="447"/>
      <c r="BF44" s="447"/>
      <c r="BG44" s="447"/>
      <c r="BH44" s="760">
        <v>0.0091146713619288</v>
      </c>
      <c r="BI44" s="447">
        <v>0</v>
      </c>
      <c r="BJ44" s="368"/>
    </row>
    <row r="45" spans="1:64">
      <c r="A45" s="521">
        <v>10.109589041096</v>
      </c>
      <c r="B45" s="522"/>
      <c r="C45" s="447"/>
      <c r="D45" s="447"/>
      <c r="E45" s="447"/>
      <c r="F45" s="447"/>
      <c r="G45" s="447"/>
      <c r="H45" s="447">
        <v>0.031494484482408</v>
      </c>
      <c r="I45" s="447">
        <v>0</v>
      </c>
      <c r="J45" s="368"/>
      <c r="N45" s="521">
        <v>10.109589041096</v>
      </c>
      <c r="O45" s="522"/>
      <c r="P45" s="447"/>
      <c r="Q45" s="447"/>
      <c r="R45" s="447"/>
      <c r="S45" s="447"/>
      <c r="T45" s="447"/>
      <c r="U45" s="447">
        <v>0.018819295353584</v>
      </c>
      <c r="V45" s="447">
        <v>0</v>
      </c>
      <c r="W45" s="368"/>
      <c r="AA45" s="521">
        <v>10.109589041096</v>
      </c>
      <c r="AB45" s="522"/>
      <c r="AC45" s="447"/>
      <c r="AD45" s="447"/>
      <c r="AE45" s="447"/>
      <c r="AF45" s="447"/>
      <c r="AG45" s="447"/>
      <c r="AH45" s="447">
        <v>0.016473510357176</v>
      </c>
      <c r="AI45" s="447">
        <v>0</v>
      </c>
      <c r="AJ45" s="368"/>
      <c r="AN45" s="521">
        <v>10.109589041096</v>
      </c>
      <c r="AO45" s="522"/>
      <c r="AP45" s="447">
        <v>0.0645</v>
      </c>
      <c r="AQ45" s="447">
        <v>0.0081</v>
      </c>
      <c r="AR45" s="447">
        <v>0.0251</v>
      </c>
      <c r="AS45" s="447"/>
      <c r="AT45" s="447">
        <v>0.0491</v>
      </c>
      <c r="AU45" s="635">
        <v>0.0113</v>
      </c>
      <c r="AV45" s="447">
        <v>0</v>
      </c>
      <c r="AW45" s="368"/>
      <c r="BA45" s="521">
        <v>10.109589041096</v>
      </c>
      <c r="BB45" s="522"/>
      <c r="BC45" s="447"/>
      <c r="BD45" s="447"/>
      <c r="BE45" s="447"/>
      <c r="BF45" s="447"/>
      <c r="BG45" s="447"/>
      <c r="BH45" s="760">
        <v>0.0093574301757937</v>
      </c>
      <c r="BI45" s="447">
        <v>0</v>
      </c>
      <c r="BJ45" s="368"/>
    </row>
    <row r="46" spans="1:64">
      <c r="A46" s="521">
        <v>10.356164383562</v>
      </c>
      <c r="B46" s="522"/>
      <c r="C46" s="447"/>
      <c r="D46" s="447"/>
      <c r="E46" s="447"/>
      <c r="F46" s="447"/>
      <c r="G46" s="447"/>
      <c r="H46" s="447">
        <v>0.031453277903258</v>
      </c>
      <c r="I46" s="447">
        <v>0</v>
      </c>
      <c r="J46" s="368"/>
      <c r="N46" s="521">
        <v>10.356164383562</v>
      </c>
      <c r="O46" s="522"/>
      <c r="P46" s="447"/>
      <c r="Q46" s="447"/>
      <c r="R46" s="447"/>
      <c r="S46" s="447"/>
      <c r="T46" s="447"/>
      <c r="U46" s="447">
        <v>0.018753700113445</v>
      </c>
      <c r="V46" s="447">
        <v>0</v>
      </c>
      <c r="W46" s="368"/>
      <c r="AA46" s="521">
        <v>10.356164383562</v>
      </c>
      <c r="AB46" s="522"/>
      <c r="AC46" s="447"/>
      <c r="AD46" s="447"/>
      <c r="AE46" s="447"/>
      <c r="AF46" s="447"/>
      <c r="AG46" s="447"/>
      <c r="AH46" s="447">
        <v>0.016568977187336</v>
      </c>
      <c r="AI46" s="447">
        <v>0</v>
      </c>
      <c r="AJ46" s="368"/>
      <c r="AN46" s="521">
        <v>10.356164383562</v>
      </c>
      <c r="AO46" s="522"/>
      <c r="AP46" s="447">
        <v>0.0645</v>
      </c>
      <c r="AQ46" s="447">
        <v>0.0083</v>
      </c>
      <c r="AR46" s="447">
        <v>0.025</v>
      </c>
      <c r="AS46" s="447"/>
      <c r="AT46" s="447">
        <v>0.0489</v>
      </c>
      <c r="AU46" s="635">
        <v>0.0113</v>
      </c>
      <c r="AV46" s="447">
        <v>0</v>
      </c>
      <c r="AW46" s="368"/>
      <c r="BA46" s="521">
        <v>10.356164383562</v>
      </c>
      <c r="BB46" s="522"/>
      <c r="BC46" s="447"/>
      <c r="BD46" s="447"/>
      <c r="BE46" s="447"/>
      <c r="BF46" s="447"/>
      <c r="BG46" s="447"/>
      <c r="BH46" s="760">
        <v>0.0095862241073268</v>
      </c>
      <c r="BI46" s="447">
        <v>0</v>
      </c>
      <c r="BJ46" s="368"/>
    </row>
    <row r="47" spans="1:64">
      <c r="A47" s="521">
        <v>10.602739726027</v>
      </c>
      <c r="B47" s="522"/>
      <c r="C47" s="447"/>
      <c r="D47" s="447"/>
      <c r="E47" s="447"/>
      <c r="F47" s="447"/>
      <c r="G47" s="447"/>
      <c r="H47" s="447">
        <v>0.031413350080564</v>
      </c>
      <c r="I47" s="447">
        <v>0</v>
      </c>
      <c r="J47" s="368"/>
      <c r="N47" s="521">
        <v>10.602739726027</v>
      </c>
      <c r="O47" s="522"/>
      <c r="P47" s="447"/>
      <c r="Q47" s="447"/>
      <c r="R47" s="447"/>
      <c r="S47" s="447"/>
      <c r="T47" s="447"/>
      <c r="U47" s="447">
        <v>0.018682955000817</v>
      </c>
      <c r="V47" s="447">
        <v>0</v>
      </c>
      <c r="W47" s="368"/>
      <c r="AA47" s="521">
        <v>10.602739726027</v>
      </c>
      <c r="AB47" s="522"/>
      <c r="AC47" s="447"/>
      <c r="AD47" s="447"/>
      <c r="AE47" s="447"/>
      <c r="AF47" s="447"/>
      <c r="AG47" s="447"/>
      <c r="AH47" s="447">
        <v>0.0166523109192</v>
      </c>
      <c r="AI47" s="447">
        <v>0</v>
      </c>
      <c r="AJ47" s="368"/>
      <c r="AN47" s="521">
        <v>10.602739726027</v>
      </c>
      <c r="AO47" s="522"/>
      <c r="AP47" s="447">
        <v>0.0645</v>
      </c>
      <c r="AQ47" s="447">
        <v>0.0085</v>
      </c>
      <c r="AR47" s="447">
        <v>0.025</v>
      </c>
      <c r="AS47" s="447"/>
      <c r="AT47" s="447">
        <v>0.0486</v>
      </c>
      <c r="AU47" s="635">
        <v>0.0114</v>
      </c>
      <c r="AV47" s="447">
        <v>0</v>
      </c>
      <c r="AW47" s="368"/>
      <c r="BA47" s="521">
        <v>10.602739726027</v>
      </c>
      <c r="BB47" s="522"/>
      <c r="BC47" s="447"/>
      <c r="BD47" s="447"/>
      <c r="BE47" s="447"/>
      <c r="BF47" s="447"/>
      <c r="BG47" s="447"/>
      <c r="BH47" s="760">
        <v>0.0098015736048269</v>
      </c>
      <c r="BI47" s="447">
        <v>0</v>
      </c>
      <c r="BJ47" s="368"/>
    </row>
    <row r="48" spans="1:64">
      <c r="A48" s="521">
        <v>10.849315068493</v>
      </c>
      <c r="B48" s="522"/>
      <c r="C48" s="447"/>
      <c r="D48" s="447"/>
      <c r="E48" s="447"/>
      <c r="F48" s="447"/>
      <c r="G48" s="447"/>
      <c r="H48" s="447">
        <v>0.031374964777875</v>
      </c>
      <c r="I48" s="447">
        <v>0</v>
      </c>
      <c r="J48" s="368"/>
      <c r="N48" s="521">
        <v>10.849315068493</v>
      </c>
      <c r="O48" s="522"/>
      <c r="P48" s="447"/>
      <c r="Q48" s="447"/>
      <c r="R48" s="447"/>
      <c r="S48" s="447"/>
      <c r="T48" s="447"/>
      <c r="U48" s="447">
        <v>0.018607525480488</v>
      </c>
      <c r="V48" s="447">
        <v>0</v>
      </c>
      <c r="W48" s="368"/>
      <c r="AA48" s="521">
        <v>10.849315068493</v>
      </c>
      <c r="AB48" s="522"/>
      <c r="AC48" s="447"/>
      <c r="AD48" s="447"/>
      <c r="AE48" s="447"/>
      <c r="AF48" s="447"/>
      <c r="AG48" s="447"/>
      <c r="AH48" s="447">
        <v>0.016723995178509</v>
      </c>
      <c r="AI48" s="447">
        <v>0</v>
      </c>
      <c r="AJ48" s="368"/>
      <c r="AN48" s="521">
        <v>10.849315068493</v>
      </c>
      <c r="AO48" s="522"/>
      <c r="AP48" s="447">
        <v>0.0646</v>
      </c>
      <c r="AQ48" s="447">
        <v>0.0087</v>
      </c>
      <c r="AR48" s="447">
        <v>0.025</v>
      </c>
      <c r="AS48" s="447"/>
      <c r="AT48" s="447">
        <v>0.0484</v>
      </c>
      <c r="AU48" s="635">
        <v>0.0114</v>
      </c>
      <c r="AV48" s="447">
        <v>0</v>
      </c>
      <c r="AW48" s="368"/>
      <c r="BA48" s="521">
        <v>10.849315068493</v>
      </c>
      <c r="BB48" s="522"/>
      <c r="BC48" s="447"/>
      <c r="BD48" s="447"/>
      <c r="BE48" s="447"/>
      <c r="BF48" s="447"/>
      <c r="BG48" s="447"/>
      <c r="BH48" s="760">
        <v>0.010003989417588</v>
      </c>
      <c r="BI48" s="447">
        <v>0</v>
      </c>
      <c r="BJ48" s="368"/>
    </row>
    <row r="49" spans="1:64">
      <c r="A49" s="521">
        <v>11.095890410959</v>
      </c>
      <c r="B49" s="522"/>
      <c r="C49" s="447"/>
      <c r="D49" s="447"/>
      <c r="E49" s="447"/>
      <c r="F49" s="447"/>
      <c r="G49" s="447"/>
      <c r="H49" s="447">
        <v>0.031338356687328</v>
      </c>
      <c r="I49" s="447">
        <v>0</v>
      </c>
      <c r="J49" s="368"/>
      <c r="N49" s="521">
        <v>11.095890410959</v>
      </c>
      <c r="O49" s="522"/>
      <c r="P49" s="447"/>
      <c r="Q49" s="447"/>
      <c r="R49" s="447"/>
      <c r="S49" s="447"/>
      <c r="T49" s="447"/>
      <c r="U49" s="447">
        <v>0.018527848366878</v>
      </c>
      <c r="V49" s="447">
        <v>0</v>
      </c>
      <c r="W49" s="368"/>
      <c r="AA49" s="521">
        <v>11.095890410959</v>
      </c>
      <c r="AB49" s="522"/>
      <c r="AC49" s="447"/>
      <c r="AD49" s="447"/>
      <c r="AE49" s="447"/>
      <c r="AF49" s="447"/>
      <c r="AG49" s="447"/>
      <c r="AH49" s="447">
        <v>0.016784486298005</v>
      </c>
      <c r="AI49" s="447">
        <v>0</v>
      </c>
      <c r="AJ49" s="368"/>
      <c r="AN49" s="521">
        <v>11.095890410959</v>
      </c>
      <c r="AO49" s="522"/>
      <c r="AP49" s="447">
        <v>0.0646</v>
      </c>
      <c r="AQ49" s="447">
        <v>0.0089</v>
      </c>
      <c r="AR49" s="447">
        <v>0.025</v>
      </c>
      <c r="AS49" s="447"/>
      <c r="AT49" s="447">
        <v>0.0482</v>
      </c>
      <c r="AU49" s="635">
        <v>0.0115</v>
      </c>
      <c r="AV49" s="447">
        <v>0</v>
      </c>
      <c r="AW49" s="368"/>
      <c r="BA49" s="521">
        <v>11.095890410959</v>
      </c>
      <c r="BB49" s="522"/>
      <c r="BC49" s="447"/>
      <c r="BD49" s="447"/>
      <c r="BE49" s="447"/>
      <c r="BF49" s="447"/>
      <c r="BG49" s="447"/>
      <c r="BH49" s="760">
        <v>0.010193978361864</v>
      </c>
      <c r="BI49" s="447">
        <v>0</v>
      </c>
      <c r="BJ49" s="368"/>
    </row>
    <row r="50" spans="1:64">
      <c r="A50" s="521">
        <v>11.342465753425</v>
      </c>
      <c r="B50" s="522"/>
      <c r="C50" s="447"/>
      <c r="D50" s="447"/>
      <c r="E50" s="447"/>
      <c r="F50" s="447"/>
      <c r="G50" s="447"/>
      <c r="H50" s="447">
        <v>0.031303732490405</v>
      </c>
      <c r="I50" s="447">
        <v>0</v>
      </c>
      <c r="J50" s="368"/>
      <c r="N50" s="521">
        <v>11.342465753425</v>
      </c>
      <c r="O50" s="522"/>
      <c r="P50" s="447"/>
      <c r="Q50" s="447"/>
      <c r="R50" s="447"/>
      <c r="S50" s="447"/>
      <c r="T50" s="447"/>
      <c r="U50" s="447">
        <v>0.018444328014074</v>
      </c>
      <c r="V50" s="447">
        <v>0</v>
      </c>
      <c r="W50" s="368"/>
      <c r="AA50" s="521">
        <v>11.342465753425</v>
      </c>
      <c r="AB50" s="522"/>
      <c r="AC50" s="447"/>
      <c r="AD50" s="447"/>
      <c r="AE50" s="447"/>
      <c r="AF50" s="447"/>
      <c r="AG50" s="447"/>
      <c r="AH50" s="447">
        <v>0.016834213306957</v>
      </c>
      <c r="AI50" s="447">
        <v>0</v>
      </c>
      <c r="AJ50" s="368"/>
      <c r="AN50" s="521">
        <v>11.342465753425</v>
      </c>
      <c r="AO50" s="522"/>
      <c r="AP50" s="447">
        <v>0.0646</v>
      </c>
      <c r="AQ50" s="447">
        <v>0.009</v>
      </c>
      <c r="AR50" s="447">
        <v>0.0249</v>
      </c>
      <c r="AS50" s="447"/>
      <c r="AT50" s="447">
        <v>0.0479</v>
      </c>
      <c r="AU50" s="635">
        <v>0.0115</v>
      </c>
      <c r="AV50" s="447">
        <v>0</v>
      </c>
      <c r="AW50" s="368"/>
      <c r="BA50" s="521">
        <v>11.342465753425</v>
      </c>
      <c r="BB50" s="522"/>
      <c r="BC50" s="447"/>
      <c r="BD50" s="447"/>
      <c r="BE50" s="447"/>
      <c r="BF50" s="447"/>
      <c r="BG50" s="447"/>
      <c r="BH50" s="760">
        <v>0.010372033917146</v>
      </c>
      <c r="BI50" s="447">
        <v>0</v>
      </c>
      <c r="BJ50" s="368"/>
    </row>
    <row r="51" spans="1:64">
      <c r="A51" s="521">
        <v>11.58904109589</v>
      </c>
      <c r="B51" s="522"/>
      <c r="C51" s="447"/>
      <c r="D51" s="447"/>
      <c r="E51" s="447"/>
      <c r="F51" s="447"/>
      <c r="G51" s="447"/>
      <c r="H51" s="447">
        <v>0.031271279689796</v>
      </c>
      <c r="I51" s="447">
        <v>0</v>
      </c>
      <c r="J51" s="368"/>
      <c r="N51" s="521">
        <v>11.58904109589</v>
      </c>
      <c r="O51" s="522"/>
      <c r="P51" s="447"/>
      <c r="Q51" s="447"/>
      <c r="R51" s="447"/>
      <c r="S51" s="447"/>
      <c r="T51" s="447"/>
      <c r="U51" s="447">
        <v>0.018357344002217</v>
      </c>
      <c r="V51" s="447">
        <v>0</v>
      </c>
      <c r="W51" s="368"/>
      <c r="AA51" s="521">
        <v>11.58904109589</v>
      </c>
      <c r="AB51" s="522"/>
      <c r="AC51" s="447"/>
      <c r="AD51" s="447"/>
      <c r="AE51" s="447"/>
      <c r="AF51" s="447"/>
      <c r="AG51" s="447"/>
      <c r="AH51" s="447">
        <v>0.016873580768503</v>
      </c>
      <c r="AI51" s="447">
        <v>0</v>
      </c>
      <c r="AJ51" s="368"/>
      <c r="AN51" s="521">
        <v>11.58904109589</v>
      </c>
      <c r="AO51" s="522"/>
      <c r="AP51" s="447">
        <v>0.0646</v>
      </c>
      <c r="AQ51" s="447">
        <v>0.0092</v>
      </c>
      <c r="AR51" s="447">
        <v>0.0249</v>
      </c>
      <c r="AS51" s="447"/>
      <c r="AT51" s="447">
        <v>0.0477</v>
      </c>
      <c r="AU51" s="635">
        <v>0.0115</v>
      </c>
      <c r="AV51" s="447">
        <v>0</v>
      </c>
      <c r="AW51" s="368"/>
      <c r="BA51" s="521">
        <v>11.58904109589</v>
      </c>
      <c r="BB51" s="522"/>
      <c r="BC51" s="447"/>
      <c r="BD51" s="447"/>
      <c r="BE51" s="447"/>
      <c r="BF51" s="447"/>
      <c r="BG51" s="447"/>
      <c r="BH51" s="760">
        <v>0.01053864196174</v>
      </c>
      <c r="BI51" s="447">
        <v>0</v>
      </c>
      <c r="BJ51" s="368"/>
    </row>
    <row r="52" spans="1:64">
      <c r="A52" s="521">
        <v>11.835616438356</v>
      </c>
      <c r="B52" s="522"/>
      <c r="C52" s="447"/>
      <c r="D52" s="447"/>
      <c r="E52" s="447"/>
      <c r="F52" s="447"/>
      <c r="G52" s="447"/>
      <c r="H52" s="447">
        <v>0.031241160716325</v>
      </c>
      <c r="I52" s="447">
        <v>0</v>
      </c>
      <c r="J52" s="368"/>
      <c r="N52" s="521">
        <v>11.835616438356</v>
      </c>
      <c r="O52" s="522"/>
      <c r="P52" s="447"/>
      <c r="Q52" s="447"/>
      <c r="R52" s="447"/>
      <c r="S52" s="447"/>
      <c r="T52" s="447"/>
      <c r="U52" s="447">
        <v>0.018267247286999</v>
      </c>
      <c r="V52" s="447">
        <v>0</v>
      </c>
      <c r="W52" s="368"/>
      <c r="AA52" s="521">
        <v>11.835616438356</v>
      </c>
      <c r="AB52" s="522"/>
      <c r="AC52" s="447"/>
      <c r="AD52" s="447"/>
      <c r="AE52" s="447"/>
      <c r="AF52" s="447"/>
      <c r="AG52" s="447"/>
      <c r="AH52" s="447">
        <v>0.016902971571906</v>
      </c>
      <c r="AI52" s="447">
        <v>0</v>
      </c>
      <c r="AJ52" s="368"/>
      <c r="AN52" s="521">
        <v>11.835616438356</v>
      </c>
      <c r="AO52" s="522"/>
      <c r="AP52" s="447">
        <v>0.0646</v>
      </c>
      <c r="AQ52" s="447">
        <v>0.0094</v>
      </c>
      <c r="AR52" s="447">
        <v>0.0249</v>
      </c>
      <c r="AS52" s="447"/>
      <c r="AT52" s="447">
        <v>0.0475</v>
      </c>
      <c r="AU52" s="635">
        <v>0.0115</v>
      </c>
      <c r="AV52" s="447">
        <v>0</v>
      </c>
      <c r="AW52" s="368"/>
      <c r="BA52" s="521">
        <v>11.835616438356</v>
      </c>
      <c r="BB52" s="522"/>
      <c r="BC52" s="447"/>
      <c r="BD52" s="447"/>
      <c r="BE52" s="447"/>
      <c r="BF52" s="447"/>
      <c r="BG52" s="447"/>
      <c r="BH52" s="760">
        <v>0.010694272325445</v>
      </c>
      <c r="BI52" s="447">
        <v>0</v>
      </c>
      <c r="BJ52" s="368"/>
    </row>
    <row r="53" spans="1:64">
      <c r="A53" s="521">
        <v>12.082191780822</v>
      </c>
      <c r="B53" s="522"/>
      <c r="C53" s="447"/>
      <c r="D53" s="447"/>
      <c r="E53" s="447"/>
      <c r="F53" s="447"/>
      <c r="G53" s="447"/>
      <c r="H53" s="447">
        <v>0.03121351886976</v>
      </c>
      <c r="I53" s="447">
        <v>0</v>
      </c>
      <c r="J53" s="368"/>
      <c r="N53" s="521">
        <v>12.082191780822</v>
      </c>
      <c r="O53" s="522"/>
      <c r="P53" s="447"/>
      <c r="Q53" s="447"/>
      <c r="R53" s="447"/>
      <c r="S53" s="447"/>
      <c r="T53" s="447"/>
      <c r="U53" s="447">
        <v>0.018174366933941</v>
      </c>
      <c r="V53" s="447">
        <v>0</v>
      </c>
      <c r="W53" s="368"/>
      <c r="AA53" s="521">
        <v>12.082191780822</v>
      </c>
      <c r="AB53" s="522"/>
      <c r="AC53" s="447"/>
      <c r="AD53" s="447"/>
      <c r="AE53" s="447"/>
      <c r="AF53" s="447"/>
      <c r="AG53" s="447"/>
      <c r="AH53" s="447">
        <v>0.01692274786987</v>
      </c>
      <c r="AI53" s="447">
        <v>0</v>
      </c>
      <c r="AJ53" s="368"/>
      <c r="AN53" s="521">
        <v>12.082191780822</v>
      </c>
      <c r="AO53" s="522"/>
      <c r="AP53" s="447">
        <v>0.0646</v>
      </c>
      <c r="AQ53" s="447">
        <v>0.0096</v>
      </c>
      <c r="AR53" s="447">
        <v>0.0249</v>
      </c>
      <c r="AS53" s="447"/>
      <c r="AT53" s="447">
        <v>0.0473</v>
      </c>
      <c r="AU53" s="635">
        <v>0.0115</v>
      </c>
      <c r="AV53" s="447">
        <v>0</v>
      </c>
      <c r="AW53" s="368"/>
      <c r="BA53" s="521">
        <v>12.082191780822</v>
      </c>
      <c r="BB53" s="522"/>
      <c r="BC53" s="447"/>
      <c r="BD53" s="447"/>
      <c r="BE53" s="447"/>
      <c r="BF53" s="447"/>
      <c r="BG53" s="447"/>
      <c r="BH53" s="760">
        <v>0.010839383585807</v>
      </c>
      <c r="BI53" s="447">
        <v>0</v>
      </c>
      <c r="BJ53" s="368"/>
    </row>
    <row r="54" spans="1:64">
      <c r="A54" s="521">
        <v>12.328767123288</v>
      </c>
      <c r="B54" s="522"/>
      <c r="C54" s="447"/>
      <c r="D54" s="447"/>
      <c r="E54" s="447"/>
      <c r="F54" s="447"/>
      <c r="G54" s="447"/>
      <c r="H54" s="447">
        <v>0.031188480254531</v>
      </c>
      <c r="I54" s="447">
        <v>0</v>
      </c>
      <c r="J54" s="368"/>
      <c r="N54" s="521">
        <v>12.328767123288</v>
      </c>
      <c r="O54" s="522"/>
      <c r="P54" s="447"/>
      <c r="Q54" s="447"/>
      <c r="R54" s="447"/>
      <c r="S54" s="447"/>
      <c r="T54" s="447"/>
      <c r="U54" s="447">
        <v>0.018079009173868</v>
      </c>
      <c r="V54" s="447">
        <v>0</v>
      </c>
      <c r="W54" s="368"/>
      <c r="AA54" s="521">
        <v>12.328767123288</v>
      </c>
      <c r="AB54" s="522"/>
      <c r="AC54" s="447"/>
      <c r="AD54" s="447"/>
      <c r="AE54" s="447"/>
      <c r="AF54" s="447"/>
      <c r="AG54" s="447"/>
      <c r="AH54" s="447">
        <v>0.016933252971701</v>
      </c>
      <c r="AI54" s="447">
        <v>0</v>
      </c>
      <c r="AJ54" s="368"/>
      <c r="AN54" s="521">
        <v>12.328767123288</v>
      </c>
      <c r="AO54" s="522"/>
      <c r="AP54" s="447">
        <v>0.0647</v>
      </c>
      <c r="AQ54" s="447">
        <v>0.0097</v>
      </c>
      <c r="AR54" s="447">
        <v>0.0249</v>
      </c>
      <c r="AS54" s="447"/>
      <c r="AT54" s="447">
        <v>0.0471</v>
      </c>
      <c r="AU54" s="635">
        <v>0.0114</v>
      </c>
      <c r="AV54" s="447">
        <v>0</v>
      </c>
      <c r="AW54" s="368"/>
      <c r="BA54" s="521">
        <v>12.328767123288</v>
      </c>
      <c r="BB54" s="522"/>
      <c r="BC54" s="447"/>
      <c r="BD54" s="447"/>
      <c r="BE54" s="447"/>
      <c r="BF54" s="447"/>
      <c r="BG54" s="447"/>
      <c r="BH54" s="760">
        <v>0.010974419324939</v>
      </c>
      <c r="BI54" s="447">
        <v>0</v>
      </c>
      <c r="BJ54" s="368"/>
    </row>
    <row r="55" spans="1:64">
      <c r="A55" s="521">
        <v>12.575342465753</v>
      </c>
      <c r="B55" s="522"/>
      <c r="C55" s="447"/>
      <c r="D55" s="447"/>
      <c r="E55" s="447"/>
      <c r="F55" s="447"/>
      <c r="G55" s="447"/>
      <c r="H55" s="447">
        <v>0.031166149843302</v>
      </c>
      <c r="I55" s="447">
        <v>0</v>
      </c>
      <c r="J55" s="368"/>
      <c r="N55" s="521">
        <v>12.575342465753</v>
      </c>
      <c r="O55" s="522"/>
      <c r="P55" s="447"/>
      <c r="Q55" s="447"/>
      <c r="R55" s="447"/>
      <c r="S55" s="447"/>
      <c r="T55" s="447"/>
      <c r="U55" s="447">
        <v>0.017981462139981</v>
      </c>
      <c r="V55" s="447">
        <v>0</v>
      </c>
      <c r="W55" s="368"/>
      <c r="AA55" s="521">
        <v>12.575342465753</v>
      </c>
      <c r="AB55" s="522"/>
      <c r="AC55" s="447"/>
      <c r="AD55" s="447"/>
      <c r="AE55" s="447"/>
      <c r="AF55" s="447"/>
      <c r="AG55" s="447"/>
      <c r="AH55" s="447">
        <v>0.01693481317417</v>
      </c>
      <c r="AI55" s="447">
        <v>0</v>
      </c>
      <c r="AJ55" s="368"/>
      <c r="AN55" s="521">
        <v>12.575342465753</v>
      </c>
      <c r="AO55" s="522"/>
      <c r="AP55" s="447">
        <v>0.0647</v>
      </c>
      <c r="AQ55" s="447">
        <v>0.0099</v>
      </c>
      <c r="AR55" s="447">
        <v>0.0249</v>
      </c>
      <c r="AS55" s="447"/>
      <c r="AT55" s="447">
        <v>0.0469</v>
      </c>
      <c r="AU55" s="635">
        <v>0.0114</v>
      </c>
      <c r="AV55" s="447">
        <v>0</v>
      </c>
      <c r="AW55" s="368"/>
      <c r="BA55" s="521">
        <v>12.575342465753</v>
      </c>
      <c r="BB55" s="522"/>
      <c r="BC55" s="447"/>
      <c r="BD55" s="447"/>
      <c r="BE55" s="447"/>
      <c r="BF55" s="447"/>
      <c r="BG55" s="447"/>
      <c r="BH55" s="760">
        <v>0.011099811993859</v>
      </c>
      <c r="BI55" s="447">
        <v>0</v>
      </c>
      <c r="BJ55" s="368"/>
    </row>
    <row r="56" spans="1:64">
      <c r="A56" s="521">
        <v>12.821917808219</v>
      </c>
      <c r="B56" s="522"/>
      <c r="C56" s="447"/>
      <c r="D56" s="447"/>
      <c r="E56" s="447"/>
      <c r="F56" s="447"/>
      <c r="G56" s="447"/>
      <c r="H56" s="447">
        <v>0.031146622326592</v>
      </c>
      <c r="I56" s="447">
        <v>0</v>
      </c>
      <c r="J56" s="368"/>
      <c r="N56" s="521">
        <v>12.821917808219</v>
      </c>
      <c r="O56" s="522"/>
      <c r="P56" s="447"/>
      <c r="Q56" s="447"/>
      <c r="R56" s="447"/>
      <c r="S56" s="447"/>
      <c r="T56" s="447"/>
      <c r="U56" s="447">
        <v>0.017881990196449</v>
      </c>
      <c r="V56" s="447">
        <v>0</v>
      </c>
      <c r="W56" s="368"/>
      <c r="AA56" s="521">
        <v>12.821917808219</v>
      </c>
      <c r="AB56" s="522"/>
      <c r="AC56" s="447"/>
      <c r="AD56" s="447"/>
      <c r="AE56" s="447"/>
      <c r="AF56" s="447"/>
      <c r="AG56" s="447"/>
      <c r="AH56" s="447">
        <v>0.016927737785993</v>
      </c>
      <c r="AI56" s="447">
        <v>0</v>
      </c>
      <c r="AJ56" s="368"/>
      <c r="AN56" s="521">
        <v>12.821917808219</v>
      </c>
      <c r="AO56" s="522"/>
      <c r="AP56" s="447">
        <v>0.0647</v>
      </c>
      <c r="AQ56" s="447">
        <v>0.01</v>
      </c>
      <c r="AR56" s="447">
        <v>0.0249</v>
      </c>
      <c r="AS56" s="447"/>
      <c r="AT56" s="447">
        <v>0.0467</v>
      </c>
      <c r="AU56" s="635">
        <v>0.0114</v>
      </c>
      <c r="AV56" s="447">
        <v>0</v>
      </c>
      <c r="AW56" s="368"/>
      <c r="BA56" s="521">
        <v>12.821917808219</v>
      </c>
      <c r="BB56" s="522"/>
      <c r="BC56" s="447"/>
      <c r="BD56" s="447"/>
      <c r="BE56" s="447"/>
      <c r="BF56" s="447"/>
      <c r="BG56" s="447"/>
      <c r="BH56" s="760">
        <v>0.011215974423062</v>
      </c>
      <c r="BI56" s="447">
        <v>0</v>
      </c>
      <c r="BJ56" s="368"/>
    </row>
    <row r="57" spans="1:64">
      <c r="A57" s="521">
        <v>13.068493150685</v>
      </c>
      <c r="B57" s="522"/>
      <c r="C57" s="447"/>
      <c r="D57" s="447"/>
      <c r="E57" s="447"/>
      <c r="F57" s="447"/>
      <c r="G57" s="447"/>
      <c r="H57" s="447">
        <v>0.03112997520294</v>
      </c>
      <c r="I57" s="447">
        <v>0</v>
      </c>
      <c r="J57" s="368"/>
      <c r="N57" s="521">
        <v>13.068493150685</v>
      </c>
      <c r="O57" s="522"/>
      <c r="P57" s="447"/>
      <c r="Q57" s="447"/>
      <c r="R57" s="447"/>
      <c r="S57" s="447"/>
      <c r="T57" s="447"/>
      <c r="U57" s="447">
        <v>0.017780843461624</v>
      </c>
      <c r="V57" s="447">
        <v>0</v>
      </c>
      <c r="W57" s="368"/>
      <c r="AA57" s="521">
        <v>13.068493150685</v>
      </c>
      <c r="AB57" s="522"/>
      <c r="AC57" s="447"/>
      <c r="AD57" s="447"/>
      <c r="AE57" s="447"/>
      <c r="AF57" s="447"/>
      <c r="AG57" s="447"/>
      <c r="AH57" s="447">
        <v>0.016912323884849</v>
      </c>
      <c r="AI57" s="447">
        <v>0</v>
      </c>
      <c r="AJ57" s="368"/>
      <c r="AN57" s="521">
        <v>13.068493150685</v>
      </c>
      <c r="AO57" s="522"/>
      <c r="AP57" s="447">
        <v>0.0647</v>
      </c>
      <c r="AQ57" s="447">
        <v>0.0101</v>
      </c>
      <c r="AR57" s="447">
        <v>0.0249</v>
      </c>
      <c r="AS57" s="447"/>
      <c r="AT57" s="447">
        <v>0.0465</v>
      </c>
      <c r="AU57" s="635">
        <v>0.0113</v>
      </c>
      <c r="AV57" s="447">
        <v>0</v>
      </c>
      <c r="AW57" s="368"/>
      <c r="BA57" s="521">
        <v>13.068493150685</v>
      </c>
      <c r="BB57" s="522"/>
      <c r="BC57" s="447"/>
      <c r="BD57" s="447"/>
      <c r="BE57" s="447"/>
      <c r="BF57" s="447"/>
      <c r="BG57" s="447"/>
      <c r="BH57" s="760">
        <v>0.011323308415572</v>
      </c>
      <c r="BI57" s="447">
        <v>0</v>
      </c>
      <c r="BJ57" s="368"/>
    </row>
    <row r="58" spans="1:64">
      <c r="A58" s="521">
        <v>13.315068493151</v>
      </c>
      <c r="B58" s="522"/>
      <c r="C58" s="447"/>
      <c r="D58" s="447"/>
      <c r="E58" s="447"/>
      <c r="F58" s="447"/>
      <c r="G58" s="447"/>
      <c r="H58" s="447">
        <v>0.031116272694729</v>
      </c>
      <c r="I58" s="447">
        <v>0</v>
      </c>
      <c r="J58" s="368"/>
      <c r="N58" s="521">
        <v>13.315068493151</v>
      </c>
      <c r="O58" s="522"/>
      <c r="P58" s="447"/>
      <c r="Q58" s="447"/>
      <c r="R58" s="447"/>
      <c r="S58" s="447"/>
      <c r="T58" s="447"/>
      <c r="U58" s="447">
        <v>0.01767825592894</v>
      </c>
      <c r="V58" s="447">
        <v>0</v>
      </c>
      <c r="W58" s="368"/>
      <c r="AA58" s="521">
        <v>13.315068493151</v>
      </c>
      <c r="AB58" s="522"/>
      <c r="AC58" s="447"/>
      <c r="AD58" s="447"/>
      <c r="AE58" s="447"/>
      <c r="AF58" s="447"/>
      <c r="AG58" s="447"/>
      <c r="AH58" s="447">
        <v>0.016888853374696</v>
      </c>
      <c r="AI58" s="447">
        <v>0</v>
      </c>
      <c r="AJ58" s="368"/>
      <c r="AN58" s="521">
        <v>13.315068493151</v>
      </c>
      <c r="AO58" s="522"/>
      <c r="AP58" s="447">
        <v>0.0647</v>
      </c>
      <c r="AQ58" s="447">
        <v>0.0103</v>
      </c>
      <c r="AR58" s="447">
        <v>0.025</v>
      </c>
      <c r="AS58" s="447"/>
      <c r="AT58" s="447">
        <v>0.0463</v>
      </c>
      <c r="AU58" s="635">
        <v>0.0113</v>
      </c>
      <c r="AV58" s="447">
        <v>0</v>
      </c>
      <c r="AW58" s="368"/>
      <c r="BA58" s="521">
        <v>13.315068493151</v>
      </c>
      <c r="BB58" s="522"/>
      <c r="BC58" s="447"/>
      <c r="BD58" s="447"/>
      <c r="BE58" s="447"/>
      <c r="BF58" s="447"/>
      <c r="BG58" s="447"/>
      <c r="BH58" s="760">
        <v>0.01142220383822</v>
      </c>
      <c r="BI58" s="447">
        <v>0</v>
      </c>
      <c r="BJ58" s="368"/>
    </row>
    <row r="59" spans="1:64">
      <c r="A59" s="521">
        <v>13.561643835616</v>
      </c>
      <c r="B59" s="522"/>
      <c r="C59" s="447"/>
      <c r="D59" s="447"/>
      <c r="E59" s="447"/>
      <c r="F59" s="447"/>
      <c r="G59" s="447"/>
      <c r="H59" s="447">
        <v>0.031105567693359</v>
      </c>
      <c r="I59" s="447">
        <v>0</v>
      </c>
      <c r="J59" s="368"/>
      <c r="N59" s="521">
        <v>13.561643835616</v>
      </c>
      <c r="O59" s="522"/>
      <c r="P59" s="447"/>
      <c r="Q59" s="447"/>
      <c r="R59" s="447"/>
      <c r="S59" s="447"/>
      <c r="T59" s="447"/>
      <c r="U59" s="447">
        <v>0.017574444480019</v>
      </c>
      <c r="V59" s="447">
        <v>0</v>
      </c>
      <c r="W59" s="368"/>
      <c r="AA59" s="521">
        <v>13.561643835616</v>
      </c>
      <c r="AB59" s="522"/>
      <c r="AC59" s="447"/>
      <c r="AD59" s="447"/>
      <c r="AE59" s="447"/>
      <c r="AF59" s="447"/>
      <c r="AG59" s="447"/>
      <c r="AH59" s="447">
        <v>0.016857593968797</v>
      </c>
      <c r="AI59" s="447">
        <v>0</v>
      </c>
      <c r="AJ59" s="368"/>
      <c r="AN59" s="521">
        <v>13.561643835616</v>
      </c>
      <c r="AO59" s="522"/>
      <c r="AP59" s="447">
        <v>0.0647</v>
      </c>
      <c r="AQ59" s="447">
        <v>0.0104</v>
      </c>
      <c r="AR59" s="447">
        <v>0.025</v>
      </c>
      <c r="AS59" s="447"/>
      <c r="AT59" s="447">
        <v>0.0461</v>
      </c>
      <c r="AU59" s="635">
        <v>0.0112</v>
      </c>
      <c r="AV59" s="447">
        <v>0</v>
      </c>
      <c r="AW59" s="368"/>
      <c r="BA59" s="521">
        <v>13.561643835616</v>
      </c>
      <c r="BB59" s="522"/>
      <c r="BC59" s="447"/>
      <c r="BD59" s="447"/>
      <c r="BE59" s="447"/>
      <c r="BF59" s="447"/>
      <c r="BG59" s="447"/>
      <c r="BH59" s="760">
        <v>0.011513031104124</v>
      </c>
      <c r="BI59" s="447">
        <v>0</v>
      </c>
      <c r="BJ59" s="368"/>
    </row>
    <row r="60" spans="1:64">
      <c r="A60" s="521">
        <v>13.808219178082</v>
      </c>
      <c r="B60" s="522"/>
      <c r="C60" s="447"/>
      <c r="D60" s="447"/>
      <c r="E60" s="447"/>
      <c r="F60" s="447"/>
      <c r="G60" s="447"/>
      <c r="H60" s="447">
        <v>0.031097900800212</v>
      </c>
      <c r="I60" s="447">
        <v>0</v>
      </c>
      <c r="J60" s="368"/>
      <c r="N60" s="521">
        <v>13.808219178082</v>
      </c>
      <c r="O60" s="522"/>
      <c r="P60" s="447"/>
      <c r="Q60" s="447"/>
      <c r="R60" s="447"/>
      <c r="S60" s="447"/>
      <c r="T60" s="447"/>
      <c r="U60" s="447">
        <v>0.017469610836554</v>
      </c>
      <c r="V60" s="447">
        <v>0</v>
      </c>
      <c r="W60" s="368"/>
      <c r="AA60" s="521">
        <v>13.808219178082</v>
      </c>
      <c r="AB60" s="522"/>
      <c r="AC60" s="447"/>
      <c r="AD60" s="447"/>
      <c r="AE60" s="447"/>
      <c r="AF60" s="447"/>
      <c r="AG60" s="447"/>
      <c r="AH60" s="447">
        <v>0.016818805838635</v>
      </c>
      <c r="AI60" s="447">
        <v>0</v>
      </c>
      <c r="AJ60" s="368"/>
      <c r="AN60" s="521">
        <v>13.808219178082</v>
      </c>
      <c r="AO60" s="522"/>
      <c r="AP60" s="447">
        <v>0.0646</v>
      </c>
      <c r="AQ60" s="447">
        <v>0.0105</v>
      </c>
      <c r="AR60" s="447">
        <v>0.025</v>
      </c>
      <c r="AS60" s="447"/>
      <c r="AT60" s="447">
        <v>0.0459</v>
      </c>
      <c r="AU60" s="635">
        <v>0.0112</v>
      </c>
      <c r="AV60" s="447">
        <v>0</v>
      </c>
      <c r="AW60" s="368"/>
      <c r="BA60" s="521">
        <v>13.808219178082</v>
      </c>
      <c r="BB60" s="522"/>
      <c r="BC60" s="447"/>
      <c r="BD60" s="447"/>
      <c r="BE60" s="447"/>
      <c r="BF60" s="447"/>
      <c r="BG60" s="447"/>
      <c r="BH60" s="760">
        <v>0.011596150645243</v>
      </c>
      <c r="BI60" s="447">
        <v>0</v>
      </c>
      <c r="BJ60" s="368"/>
    </row>
    <row r="61" spans="1:64">
      <c r="A61" s="521">
        <v>14.054794520548</v>
      </c>
      <c r="B61" s="522"/>
      <c r="C61" s="447"/>
      <c r="D61" s="447"/>
      <c r="E61" s="447"/>
      <c r="F61" s="447"/>
      <c r="G61" s="447"/>
      <c r="H61" s="447">
        <v>0.031093307190673</v>
      </c>
      <c r="I61" s="447">
        <v>0</v>
      </c>
      <c r="J61" s="368"/>
      <c r="N61" s="521">
        <v>14.054794520548</v>
      </c>
      <c r="O61" s="522"/>
      <c r="P61" s="447"/>
      <c r="Q61" s="447"/>
      <c r="R61" s="447"/>
      <c r="S61" s="447"/>
      <c r="T61" s="447"/>
      <c r="U61" s="447">
        <v>0.017363945355967</v>
      </c>
      <c r="V61" s="447">
        <v>0</v>
      </c>
      <c r="W61" s="368"/>
      <c r="AA61" s="521">
        <v>14.054794520548</v>
      </c>
      <c r="AB61" s="522"/>
      <c r="AC61" s="447"/>
      <c r="AD61" s="447"/>
      <c r="AE61" s="447"/>
      <c r="AF61" s="447"/>
      <c r="AG61" s="447"/>
      <c r="AH61" s="447">
        <v>0.016772735867869</v>
      </c>
      <c r="AI61" s="447">
        <v>0</v>
      </c>
      <c r="AJ61" s="368"/>
      <c r="AN61" s="521">
        <v>14.054794520548</v>
      </c>
      <c r="AO61" s="522"/>
      <c r="AP61" s="447">
        <v>0.0646</v>
      </c>
      <c r="AQ61" s="447">
        <v>0.0106</v>
      </c>
      <c r="AR61" s="447">
        <v>0.025</v>
      </c>
      <c r="AS61" s="447"/>
      <c r="AT61" s="447">
        <v>0.0458</v>
      </c>
      <c r="AU61" s="635">
        <v>0.0111</v>
      </c>
      <c r="AV61" s="447">
        <v>0</v>
      </c>
      <c r="AW61" s="368"/>
      <c r="BA61" s="521">
        <v>14.054794520548</v>
      </c>
      <c r="BB61" s="522"/>
      <c r="BC61" s="447"/>
      <c r="BD61" s="447"/>
      <c r="BE61" s="447"/>
      <c r="BF61" s="447"/>
      <c r="BG61" s="447"/>
      <c r="BH61" s="760">
        <v>0.011671906388684</v>
      </c>
      <c r="BI61" s="447">
        <v>0</v>
      </c>
      <c r="BJ61" s="368"/>
    </row>
    <row r="62" spans="1:64">
      <c r="A62" s="521">
        <v>14.301369863014</v>
      </c>
      <c r="B62" s="522"/>
      <c r="C62" s="447"/>
      <c r="D62" s="447"/>
      <c r="E62" s="447"/>
      <c r="F62" s="447"/>
      <c r="G62" s="447"/>
      <c r="H62" s="447">
        <v>0.031091806708861</v>
      </c>
      <c r="I62" s="447">
        <v>0</v>
      </c>
      <c r="J62" s="368"/>
      <c r="N62" s="521">
        <v>14.301369863014</v>
      </c>
      <c r="O62" s="522"/>
      <c r="P62" s="447"/>
      <c r="Q62" s="447"/>
      <c r="R62" s="447"/>
      <c r="S62" s="447"/>
      <c r="T62" s="447"/>
      <c r="U62" s="447">
        <v>0.017257625148202</v>
      </c>
      <c r="V62" s="447">
        <v>0</v>
      </c>
      <c r="W62" s="368"/>
      <c r="AA62" s="521">
        <v>14.301369863014</v>
      </c>
      <c r="AB62" s="522"/>
      <c r="AC62" s="447"/>
      <c r="AD62" s="447"/>
      <c r="AE62" s="447"/>
      <c r="AF62" s="447"/>
      <c r="AG62" s="447"/>
      <c r="AH62" s="447">
        <v>0.016719619543311</v>
      </c>
      <c r="AI62" s="447">
        <v>0</v>
      </c>
      <c r="AJ62" s="368"/>
      <c r="AN62" s="521">
        <v>14.301369863014</v>
      </c>
      <c r="AO62" s="522"/>
      <c r="AP62" s="447">
        <v>0.0646</v>
      </c>
      <c r="AQ62" s="447">
        <v>0.0107</v>
      </c>
      <c r="AR62" s="447">
        <v>0.025</v>
      </c>
      <c r="AS62" s="447"/>
      <c r="AT62" s="447">
        <v>0.0456</v>
      </c>
      <c r="AU62" s="635">
        <v>0.011</v>
      </c>
      <c r="AV62" s="447">
        <v>0</v>
      </c>
      <c r="AW62" s="368"/>
      <c r="BA62" s="521">
        <v>14.301369863014</v>
      </c>
      <c r="BB62" s="522"/>
      <c r="BC62" s="447"/>
      <c r="BD62" s="447"/>
      <c r="BE62" s="447"/>
      <c r="BF62" s="447"/>
      <c r="BG62" s="447"/>
      <c r="BH62" s="760">
        <v>0.011740631402998</v>
      </c>
      <c r="BI62" s="447">
        <v>0</v>
      </c>
      <c r="BJ62" s="368"/>
    </row>
    <row r="63" spans="1:64">
      <c r="A63" s="521">
        <v>14.547945205479</v>
      </c>
      <c r="B63" s="522"/>
      <c r="C63" s="447"/>
      <c r="D63" s="447"/>
      <c r="E63" s="447"/>
      <c r="F63" s="447"/>
      <c r="G63" s="447"/>
      <c r="H63" s="447">
        <v>0.03109341574184</v>
      </c>
      <c r="I63" s="447">
        <v>0</v>
      </c>
      <c r="J63" s="368"/>
      <c r="N63" s="521">
        <v>14.547945205479</v>
      </c>
      <c r="O63" s="522"/>
      <c r="P63" s="447"/>
      <c r="Q63" s="447"/>
      <c r="R63" s="447"/>
      <c r="S63" s="447"/>
      <c r="T63" s="447"/>
      <c r="U63" s="447">
        <v>0.017150814041929</v>
      </c>
      <c r="V63" s="447">
        <v>0</v>
      </c>
      <c r="W63" s="368"/>
      <c r="AA63" s="521">
        <v>14.547945205479</v>
      </c>
      <c r="AB63" s="522"/>
      <c r="AC63" s="447"/>
      <c r="AD63" s="447"/>
      <c r="AE63" s="447"/>
      <c r="AF63" s="447"/>
      <c r="AG63" s="447"/>
      <c r="AH63" s="447">
        <v>0.016659685717557</v>
      </c>
      <c r="AI63" s="447">
        <v>0</v>
      </c>
      <c r="AJ63" s="368"/>
      <c r="AN63" s="521">
        <v>14.547945205479</v>
      </c>
      <c r="AO63" s="522"/>
      <c r="AP63" s="447">
        <v>0.0646</v>
      </c>
      <c r="AQ63" s="447">
        <v>0.0108</v>
      </c>
      <c r="AR63" s="447">
        <v>0.0251</v>
      </c>
      <c r="AS63" s="447"/>
      <c r="AT63" s="447">
        <v>0.0454</v>
      </c>
      <c r="AU63" s="635">
        <v>0.0109</v>
      </c>
      <c r="AV63" s="447">
        <v>0</v>
      </c>
      <c r="AW63" s="368"/>
      <c r="BA63" s="521">
        <v>14.547945205479</v>
      </c>
      <c r="BB63" s="522"/>
      <c r="BC63" s="447"/>
      <c r="BD63" s="447"/>
      <c r="BE63" s="447"/>
      <c r="BF63" s="447"/>
      <c r="BG63" s="447"/>
      <c r="BH63" s="760">
        <v>0.011802643259586</v>
      </c>
      <c r="BI63" s="447">
        <v>0</v>
      </c>
      <c r="BJ63" s="368"/>
    </row>
    <row r="64" spans="1:64">
      <c r="A64" s="521">
        <v>14.794520547945</v>
      </c>
      <c r="B64" s="522"/>
      <c r="C64" s="447"/>
      <c r="D64" s="447"/>
      <c r="E64" s="447"/>
      <c r="F64" s="447"/>
      <c r="G64" s="447"/>
      <c r="H64" s="447">
        <v>0.031098139306535</v>
      </c>
      <c r="I64" s="447">
        <v>0</v>
      </c>
      <c r="J64" s="368"/>
      <c r="N64" s="521">
        <v>14.794520547945</v>
      </c>
      <c r="O64" s="522"/>
      <c r="P64" s="447"/>
      <c r="Q64" s="447"/>
      <c r="R64" s="447"/>
      <c r="S64" s="447"/>
      <c r="T64" s="447"/>
      <c r="U64" s="447">
        <v>0.017043669276448</v>
      </c>
      <c r="V64" s="447">
        <v>0</v>
      </c>
      <c r="W64" s="368"/>
      <c r="AA64" s="521">
        <v>14.794520547945</v>
      </c>
      <c r="AB64" s="522"/>
      <c r="AC64" s="447"/>
      <c r="AD64" s="447"/>
      <c r="AE64" s="447"/>
      <c r="AF64" s="447"/>
      <c r="AG64" s="447"/>
      <c r="AH64" s="447">
        <v>0.0165931518209</v>
      </c>
      <c r="AI64" s="447">
        <v>0</v>
      </c>
      <c r="AJ64" s="368"/>
      <c r="AN64" s="521">
        <v>14.794520547945</v>
      </c>
      <c r="AO64" s="522"/>
      <c r="AP64" s="447">
        <v>0.0646</v>
      </c>
      <c r="AQ64" s="447">
        <v>0.0109</v>
      </c>
      <c r="AR64" s="447">
        <v>0.0251</v>
      </c>
      <c r="AS64" s="447"/>
      <c r="AT64" s="447">
        <v>0.0452</v>
      </c>
      <c r="AU64" s="635">
        <v>0.0109</v>
      </c>
      <c r="AV64" s="447">
        <v>0</v>
      </c>
      <c r="AW64" s="368"/>
      <c r="BA64" s="521">
        <v>14.794520547945</v>
      </c>
      <c r="BB64" s="522"/>
      <c r="BC64" s="447"/>
      <c r="BD64" s="447"/>
      <c r="BE64" s="447"/>
      <c r="BF64" s="447"/>
      <c r="BG64" s="447"/>
      <c r="BH64" s="760">
        <v>0.011858249716571</v>
      </c>
      <c r="BI64" s="447">
        <v>0</v>
      </c>
      <c r="BJ64" s="368"/>
    </row>
    <row r="65" spans="1:64">
      <c r="A65" s="521">
        <v>15.041095890411</v>
      </c>
      <c r="B65" s="522"/>
      <c r="C65" s="447"/>
      <c r="D65" s="447"/>
      <c r="E65" s="447"/>
      <c r="F65" s="447"/>
      <c r="G65" s="447"/>
      <c r="H65" s="447">
        <v>0.031105976878784</v>
      </c>
      <c r="I65" s="447">
        <v>0</v>
      </c>
      <c r="J65" s="368"/>
      <c r="N65" s="521">
        <v>15.041095890411</v>
      </c>
      <c r="O65" s="522"/>
      <c r="P65" s="447"/>
      <c r="Q65" s="447"/>
      <c r="R65" s="447"/>
      <c r="S65" s="447"/>
      <c r="T65" s="447"/>
      <c r="U65" s="447">
        <v>0.016936332969903</v>
      </c>
      <c r="V65" s="447">
        <v>0</v>
      </c>
      <c r="W65" s="368"/>
      <c r="AA65" s="521">
        <v>15.041095890411</v>
      </c>
      <c r="AB65" s="522"/>
      <c r="AC65" s="447"/>
      <c r="AD65" s="447"/>
      <c r="AE65" s="447"/>
      <c r="AF65" s="447"/>
      <c r="AG65" s="447"/>
      <c r="AH65" s="447">
        <v>0.016520229592779</v>
      </c>
      <c r="AI65" s="447">
        <v>0</v>
      </c>
      <c r="AJ65" s="368"/>
      <c r="AN65" s="521">
        <v>15.041095890411</v>
      </c>
      <c r="AO65" s="522"/>
      <c r="AP65" s="447">
        <v>0.0646</v>
      </c>
      <c r="AQ65" s="447">
        <v>0.011</v>
      </c>
      <c r="AR65" s="447">
        <v>0.0251</v>
      </c>
      <c r="AS65" s="447"/>
      <c r="AT65" s="447">
        <v>0.0451</v>
      </c>
      <c r="AU65" s="635">
        <v>0.0108</v>
      </c>
      <c r="AV65" s="447">
        <v>0</v>
      </c>
      <c r="AW65" s="368"/>
      <c r="BA65" s="521">
        <v>15.041095890411</v>
      </c>
      <c r="BB65" s="522"/>
      <c r="BC65" s="447"/>
      <c r="BD65" s="447"/>
      <c r="BE65" s="447"/>
      <c r="BF65" s="447"/>
      <c r="BG65" s="447"/>
      <c r="BH65" s="760">
        <v>0.01190774402211</v>
      </c>
      <c r="BI65" s="447">
        <v>0</v>
      </c>
      <c r="BJ65" s="368"/>
    </row>
    <row r="66" spans="1:64">
      <c r="A66" s="521">
        <v>15.287671232877</v>
      </c>
      <c r="B66" s="522"/>
      <c r="C66" s="447"/>
      <c r="D66" s="447"/>
      <c r="E66" s="447"/>
      <c r="F66" s="447"/>
      <c r="G66" s="447"/>
      <c r="H66" s="447">
        <v>0.031116921454903</v>
      </c>
      <c r="I66" s="447">
        <v>0</v>
      </c>
      <c r="J66" s="368"/>
      <c r="N66" s="521">
        <v>15.287671232877</v>
      </c>
      <c r="O66" s="522"/>
      <c r="P66" s="447"/>
      <c r="Q66" s="447"/>
      <c r="R66" s="447"/>
      <c r="S66" s="447"/>
      <c r="T66" s="447"/>
      <c r="U66" s="447">
        <v>0.016828939668354</v>
      </c>
      <c r="V66" s="447">
        <v>0</v>
      </c>
      <c r="W66" s="368"/>
      <c r="AA66" s="521">
        <v>15.287671232877</v>
      </c>
      <c r="AB66" s="522"/>
      <c r="AC66" s="447"/>
      <c r="AD66" s="447"/>
      <c r="AE66" s="447"/>
      <c r="AF66" s="447"/>
      <c r="AG66" s="447"/>
      <c r="AH66" s="447">
        <v>0.016441120249707</v>
      </c>
      <c r="AI66" s="447">
        <v>0</v>
      </c>
      <c r="AJ66" s="368"/>
      <c r="AN66" s="521">
        <v>15.287671232877</v>
      </c>
      <c r="AO66" s="522"/>
      <c r="AP66" s="447">
        <v>0.0645</v>
      </c>
      <c r="AQ66" s="447">
        <v>0.0111</v>
      </c>
      <c r="AR66" s="447">
        <v>0.0252</v>
      </c>
      <c r="AS66" s="447"/>
      <c r="AT66" s="447">
        <v>0.0449</v>
      </c>
      <c r="AU66" s="635">
        <v>0.0107</v>
      </c>
      <c r="AV66" s="447">
        <v>0</v>
      </c>
      <c r="AW66" s="368"/>
      <c r="BA66" s="521">
        <v>15.287671232877</v>
      </c>
      <c r="BB66" s="522"/>
      <c r="BC66" s="447"/>
      <c r="BD66" s="447"/>
      <c r="BE66" s="447"/>
      <c r="BF66" s="447"/>
      <c r="BG66" s="447"/>
      <c r="BH66" s="760">
        <v>0.011951407774233</v>
      </c>
      <c r="BI66" s="447">
        <v>0</v>
      </c>
      <c r="BJ66" s="368"/>
    </row>
    <row r="67" spans="1:64">
      <c r="A67" s="521">
        <v>15.534246575342</v>
      </c>
      <c r="B67" s="522"/>
      <c r="C67" s="447"/>
      <c r="D67" s="447"/>
      <c r="E67" s="447"/>
      <c r="F67" s="447"/>
      <c r="G67" s="447"/>
      <c r="H67" s="447">
        <v>0.031130962477276</v>
      </c>
      <c r="I67" s="447">
        <v>0</v>
      </c>
      <c r="J67" s="368"/>
      <c r="N67" s="521">
        <v>15.534246575342</v>
      </c>
      <c r="O67" s="522"/>
      <c r="P67" s="447"/>
      <c r="Q67" s="447"/>
      <c r="R67" s="447"/>
      <c r="S67" s="447"/>
      <c r="T67" s="447"/>
      <c r="U67" s="447">
        <v>0.016721615446288</v>
      </c>
      <c r="V67" s="447">
        <v>0</v>
      </c>
      <c r="W67" s="368"/>
      <c r="AA67" s="521">
        <v>15.534246575342</v>
      </c>
      <c r="AB67" s="522"/>
      <c r="AC67" s="447"/>
      <c r="AD67" s="447"/>
      <c r="AE67" s="447"/>
      <c r="AF67" s="447"/>
      <c r="AG67" s="447"/>
      <c r="AH67" s="447">
        <v>0.016356020295396</v>
      </c>
      <c r="AI67" s="447">
        <v>0</v>
      </c>
      <c r="AJ67" s="368"/>
      <c r="AN67" s="521">
        <v>15.534246575342</v>
      </c>
      <c r="AO67" s="522"/>
      <c r="AP67" s="447">
        <v>0.0645</v>
      </c>
      <c r="AQ67" s="447">
        <v>0.0111</v>
      </c>
      <c r="AR67" s="447">
        <v>0.0252</v>
      </c>
      <c r="AS67" s="447"/>
      <c r="AT67" s="447">
        <v>0.0448</v>
      </c>
      <c r="AU67" s="635">
        <v>0.0106</v>
      </c>
      <c r="AV67" s="447">
        <v>0</v>
      </c>
      <c r="AW67" s="368"/>
      <c r="BA67" s="521">
        <v>15.534246575342</v>
      </c>
      <c r="BB67" s="522"/>
      <c r="BC67" s="447"/>
      <c r="BD67" s="447"/>
      <c r="BE67" s="447"/>
      <c r="BF67" s="447"/>
      <c r="BG67" s="447"/>
      <c r="BH67" s="760">
        <v>0.011989511913865</v>
      </c>
      <c r="BI67" s="447">
        <v>0</v>
      </c>
      <c r="BJ67" s="368"/>
    </row>
    <row r="68" spans="1:64">
      <c r="A68" s="521">
        <v>15.780821917808</v>
      </c>
      <c r="B68" s="522"/>
      <c r="C68" s="447"/>
      <c r="D68" s="447"/>
      <c r="E68" s="447"/>
      <c r="F68" s="447"/>
      <c r="G68" s="447"/>
      <c r="H68" s="447">
        <v>0.031148082842454</v>
      </c>
      <c r="I68" s="447">
        <v>0</v>
      </c>
      <c r="J68" s="368"/>
      <c r="N68" s="521">
        <v>15.780821917808</v>
      </c>
      <c r="O68" s="522"/>
      <c r="P68" s="447"/>
      <c r="Q68" s="447"/>
      <c r="R68" s="447"/>
      <c r="S68" s="447"/>
      <c r="T68" s="447"/>
      <c r="U68" s="447">
        <v>0.016614476943612</v>
      </c>
      <c r="V68" s="447">
        <v>0</v>
      </c>
      <c r="W68" s="368"/>
      <c r="AA68" s="521">
        <v>15.780821917808</v>
      </c>
      <c r="AB68" s="522"/>
      <c r="AC68" s="447"/>
      <c r="AD68" s="447"/>
      <c r="AE68" s="447"/>
      <c r="AF68" s="447"/>
      <c r="AG68" s="447"/>
      <c r="AH68" s="447">
        <v>0.016265117580203</v>
      </c>
      <c r="AI68" s="447">
        <v>0</v>
      </c>
      <c r="AJ68" s="368"/>
      <c r="AN68" s="521">
        <v>15.780821917808</v>
      </c>
      <c r="AO68" s="522"/>
      <c r="AP68" s="447">
        <v>0.0645</v>
      </c>
      <c r="AQ68" s="447">
        <v>0.0112</v>
      </c>
      <c r="AR68" s="447">
        <v>0.0252</v>
      </c>
      <c r="AS68" s="447"/>
      <c r="AT68" s="447">
        <v>0.0446</v>
      </c>
      <c r="AU68" s="635">
        <v>0.0105</v>
      </c>
      <c r="AV68" s="447">
        <v>0</v>
      </c>
      <c r="AW68" s="368"/>
      <c r="BA68" s="521">
        <v>15.780821917808</v>
      </c>
      <c r="BB68" s="522"/>
      <c r="BC68" s="447"/>
      <c r="BD68" s="447"/>
      <c r="BE68" s="447"/>
      <c r="BF68" s="447"/>
      <c r="BG68" s="447"/>
      <c r="BH68" s="760">
        <v>0.012022315773785</v>
      </c>
      <c r="BI68" s="447">
        <v>0</v>
      </c>
      <c r="BJ68" s="368"/>
    </row>
    <row r="69" spans="1:64">
      <c r="A69" s="521">
        <v>16.027397260274</v>
      </c>
      <c r="B69" s="522"/>
      <c r="C69" s="447"/>
      <c r="D69" s="447"/>
      <c r="E69" s="447"/>
      <c r="F69" s="447"/>
      <c r="G69" s="447"/>
      <c r="H69" s="447">
        <v>0.031168256996721</v>
      </c>
      <c r="I69" s="447">
        <v>0</v>
      </c>
      <c r="J69" s="368"/>
      <c r="N69" s="521">
        <v>16.027397260274</v>
      </c>
      <c r="O69" s="522"/>
      <c r="P69" s="447"/>
      <c r="Q69" s="447"/>
      <c r="R69" s="447"/>
      <c r="S69" s="447"/>
      <c r="T69" s="447"/>
      <c r="U69" s="447">
        <v>0.016507633253575</v>
      </c>
      <c r="V69" s="447">
        <v>0</v>
      </c>
      <c r="W69" s="368"/>
      <c r="AA69" s="521">
        <v>16.027397260274</v>
      </c>
      <c r="AB69" s="522"/>
      <c r="AC69" s="447"/>
      <c r="AD69" s="447"/>
      <c r="AE69" s="447"/>
      <c r="AF69" s="447"/>
      <c r="AG69" s="447"/>
      <c r="AH69" s="447">
        <v>0.01616859422596</v>
      </c>
      <c r="AI69" s="447">
        <v>0</v>
      </c>
      <c r="AJ69" s="368"/>
      <c r="AN69" s="521">
        <v>16.027397260274</v>
      </c>
      <c r="AO69" s="522"/>
      <c r="AP69" s="447">
        <v>0.0644</v>
      </c>
      <c r="AQ69" s="447">
        <v>0.0113</v>
      </c>
      <c r="AR69" s="447">
        <v>0.0253</v>
      </c>
      <c r="AS69" s="447"/>
      <c r="AT69" s="447">
        <v>0.0445</v>
      </c>
      <c r="AU69" s="635">
        <v>0.0104</v>
      </c>
      <c r="AV69" s="447">
        <v>0</v>
      </c>
      <c r="AW69" s="368"/>
      <c r="BA69" s="521">
        <v>16.027397260274</v>
      </c>
      <c r="BB69" s="522"/>
      <c r="BC69" s="447"/>
      <c r="BD69" s="447"/>
      <c r="BE69" s="447"/>
      <c r="BF69" s="447"/>
      <c r="BG69" s="447"/>
      <c r="BH69" s="760">
        <v>0.012050069022417</v>
      </c>
      <c r="BI69" s="447">
        <v>0</v>
      </c>
      <c r="BJ69" s="368"/>
    </row>
    <row r="70" spans="1:64">
      <c r="A70" s="521">
        <v>16.27397260274</v>
      </c>
      <c r="B70" s="522"/>
      <c r="C70" s="447"/>
      <c r="D70" s="447"/>
      <c r="E70" s="447"/>
      <c r="F70" s="447"/>
      <c r="G70" s="447"/>
      <c r="H70" s="447">
        <v>0.03119146059011</v>
      </c>
      <c r="I70" s="447">
        <v>0</v>
      </c>
      <c r="J70" s="368"/>
      <c r="N70" s="521">
        <v>16.27397260274</v>
      </c>
      <c r="O70" s="522"/>
      <c r="P70" s="447"/>
      <c r="Q70" s="447"/>
      <c r="R70" s="447"/>
      <c r="S70" s="447"/>
      <c r="T70" s="447"/>
      <c r="U70" s="447">
        <v>0.016401187855194</v>
      </c>
      <c r="V70" s="447">
        <v>0</v>
      </c>
      <c r="W70" s="368"/>
      <c r="AA70" s="521">
        <v>16.27397260274</v>
      </c>
      <c r="AB70" s="522"/>
      <c r="AC70" s="447"/>
      <c r="AD70" s="447"/>
      <c r="AE70" s="447"/>
      <c r="AF70" s="447"/>
      <c r="AG70" s="447"/>
      <c r="AH70" s="447">
        <v>0.016066624685359</v>
      </c>
      <c r="AI70" s="447">
        <v>0</v>
      </c>
      <c r="AJ70" s="368"/>
      <c r="AN70" s="521">
        <v>16.27397260274</v>
      </c>
      <c r="AO70" s="522"/>
      <c r="AP70" s="447">
        <v>0.0644</v>
      </c>
      <c r="AQ70" s="447">
        <v>0.0113</v>
      </c>
      <c r="AR70" s="447">
        <v>0.0253</v>
      </c>
      <c r="AS70" s="447"/>
      <c r="AT70" s="447">
        <v>0.0443</v>
      </c>
      <c r="AU70" s="635">
        <v>0.0103</v>
      </c>
      <c r="AV70" s="447">
        <v>0</v>
      </c>
      <c r="AW70" s="368"/>
      <c r="BA70" s="521">
        <v>16.27397260274</v>
      </c>
      <c r="BB70" s="522"/>
      <c r="BC70" s="447"/>
      <c r="BD70" s="447"/>
      <c r="BE70" s="447"/>
      <c r="BF70" s="447"/>
      <c r="BG70" s="447"/>
      <c r="BH70" s="760">
        <v>0.012073009789509</v>
      </c>
      <c r="BI70" s="447">
        <v>0</v>
      </c>
      <c r="BJ70" s="368"/>
    </row>
    <row r="71" spans="1:64">
      <c r="A71" s="521">
        <v>16.520547945205</v>
      </c>
      <c r="B71" s="522"/>
      <c r="C71" s="447"/>
      <c r="D71" s="447"/>
      <c r="E71" s="447"/>
      <c r="F71" s="447"/>
      <c r="G71" s="447"/>
      <c r="H71" s="447">
        <v>0.031217663770527</v>
      </c>
      <c r="I71" s="447">
        <v>0</v>
      </c>
      <c r="J71" s="368"/>
      <c r="N71" s="521">
        <v>16.520547945205</v>
      </c>
      <c r="O71" s="522"/>
      <c r="P71" s="447"/>
      <c r="Q71" s="447"/>
      <c r="R71" s="447"/>
      <c r="S71" s="447"/>
      <c r="T71" s="447"/>
      <c r="U71" s="447">
        <v>0.016295233844526</v>
      </c>
      <c r="V71" s="447">
        <v>0</v>
      </c>
      <c r="W71" s="368"/>
      <c r="AA71" s="521">
        <v>16.520547945205</v>
      </c>
      <c r="AB71" s="522"/>
      <c r="AC71" s="447"/>
      <c r="AD71" s="447"/>
      <c r="AE71" s="447"/>
      <c r="AF71" s="447"/>
      <c r="AG71" s="447"/>
      <c r="AH71" s="447">
        <v>0.015959381501893</v>
      </c>
      <c r="AI71" s="447">
        <v>0</v>
      </c>
      <c r="AJ71" s="368"/>
      <c r="AN71" s="521">
        <v>16.520547945205</v>
      </c>
      <c r="AO71" s="522"/>
      <c r="AP71" s="447">
        <v>0.0644</v>
      </c>
      <c r="AQ71" s="447">
        <v>0.0114</v>
      </c>
      <c r="AR71" s="447">
        <v>0.0253</v>
      </c>
      <c r="AS71" s="447"/>
      <c r="AT71" s="447">
        <v>0.0442</v>
      </c>
      <c r="AU71" s="635">
        <v>0.0101</v>
      </c>
      <c r="AV71" s="447">
        <v>0</v>
      </c>
      <c r="AW71" s="368"/>
      <c r="BA71" s="521">
        <v>16.520547945205</v>
      </c>
      <c r="BB71" s="522"/>
      <c r="BC71" s="447"/>
      <c r="BD71" s="447"/>
      <c r="BE71" s="447"/>
      <c r="BF71" s="447"/>
      <c r="BG71" s="447"/>
      <c r="BH71" s="760">
        <v>0.012091366538721</v>
      </c>
      <c r="BI71" s="447">
        <v>0</v>
      </c>
      <c r="BJ71" s="368"/>
    </row>
    <row r="72" spans="1:64">
      <c r="A72" s="521">
        <v>16.767123287671</v>
      </c>
      <c r="B72" s="522"/>
      <c r="C72" s="447"/>
      <c r="D72" s="447"/>
      <c r="E72" s="447"/>
      <c r="F72" s="447"/>
      <c r="G72" s="447"/>
      <c r="H72" s="447">
        <v>0.031246831059207</v>
      </c>
      <c r="I72" s="447">
        <v>0</v>
      </c>
      <c r="J72" s="368"/>
      <c r="N72" s="521">
        <v>16.767123287671</v>
      </c>
      <c r="O72" s="522"/>
      <c r="P72" s="447"/>
      <c r="Q72" s="447"/>
      <c r="R72" s="447"/>
      <c r="S72" s="447"/>
      <c r="T72" s="447"/>
      <c r="U72" s="447">
        <v>0.016189859624663</v>
      </c>
      <c r="V72" s="447">
        <v>0</v>
      </c>
      <c r="W72" s="368"/>
      <c r="AA72" s="521">
        <v>16.767123287671</v>
      </c>
      <c r="AB72" s="522"/>
      <c r="AC72" s="447"/>
      <c r="AD72" s="447"/>
      <c r="AE72" s="447"/>
      <c r="AF72" s="447"/>
      <c r="AG72" s="447"/>
      <c r="AH72" s="447">
        <v>0.015847026623528</v>
      </c>
      <c r="AI72" s="447">
        <v>0</v>
      </c>
      <c r="AJ72" s="368"/>
      <c r="AN72" s="521">
        <v>16.767123287671</v>
      </c>
      <c r="AO72" s="522"/>
      <c r="AP72" s="447">
        <v>0.0643</v>
      </c>
      <c r="AQ72" s="447">
        <v>0.0114</v>
      </c>
      <c r="AR72" s="447">
        <v>0.0254</v>
      </c>
      <c r="AS72" s="447"/>
      <c r="AT72" s="447">
        <v>0.044</v>
      </c>
      <c r="AU72" s="635">
        <v>0.01</v>
      </c>
      <c r="AV72" s="447">
        <v>0</v>
      </c>
      <c r="AW72" s="368"/>
      <c r="BA72" s="521">
        <v>16.767123287671</v>
      </c>
      <c r="BB72" s="522"/>
      <c r="BC72" s="447"/>
      <c r="BD72" s="447"/>
      <c r="BE72" s="447"/>
      <c r="BF72" s="447"/>
      <c r="BG72" s="447"/>
      <c r="BH72" s="760">
        <v>0.012105358143996</v>
      </c>
      <c r="BI72" s="447">
        <v>0</v>
      </c>
      <c r="BJ72" s="368"/>
    </row>
    <row r="73" spans="1:64">
      <c r="A73" s="521">
        <v>17.013698630137</v>
      </c>
      <c r="B73" s="522"/>
      <c r="C73" s="447"/>
      <c r="D73" s="447"/>
      <c r="E73" s="447"/>
      <c r="F73" s="447"/>
      <c r="G73" s="447"/>
      <c r="H73" s="447">
        <v>0.031278927259468</v>
      </c>
      <c r="I73" s="447">
        <v>0</v>
      </c>
      <c r="J73" s="368"/>
      <c r="N73" s="521">
        <v>17.013698630137</v>
      </c>
      <c r="O73" s="522"/>
      <c r="P73" s="447"/>
      <c r="Q73" s="447"/>
      <c r="R73" s="447"/>
      <c r="S73" s="447"/>
      <c r="T73" s="447"/>
      <c r="U73" s="447">
        <v>0.016085148925024</v>
      </c>
      <c r="V73" s="447">
        <v>0</v>
      </c>
      <c r="W73" s="368"/>
      <c r="AA73" s="521">
        <v>17.013698630137</v>
      </c>
      <c r="AB73" s="522"/>
      <c r="AC73" s="447"/>
      <c r="AD73" s="447"/>
      <c r="AE73" s="447"/>
      <c r="AF73" s="447"/>
      <c r="AG73" s="447"/>
      <c r="AH73" s="447">
        <v>0.015729720107014</v>
      </c>
      <c r="AI73" s="447">
        <v>0</v>
      </c>
      <c r="AJ73" s="368"/>
      <c r="AN73" s="521">
        <v>17.013698630137</v>
      </c>
      <c r="AO73" s="522"/>
      <c r="AP73" s="447">
        <v>0.0643</v>
      </c>
      <c r="AQ73" s="447">
        <v>0.0115</v>
      </c>
      <c r="AR73" s="447">
        <v>0.0254</v>
      </c>
      <c r="AS73" s="447"/>
      <c r="AT73" s="447">
        <v>0.0439</v>
      </c>
      <c r="AU73" s="635">
        <v>0.0099</v>
      </c>
      <c r="AV73" s="447">
        <v>0</v>
      </c>
      <c r="AW73" s="368"/>
      <c r="BA73" s="521">
        <v>17.013698630137</v>
      </c>
      <c r="BB73" s="522"/>
      <c r="BC73" s="447"/>
      <c r="BD73" s="447"/>
      <c r="BE73" s="447"/>
      <c r="BF73" s="447"/>
      <c r="BG73" s="447"/>
      <c r="BH73" s="760">
        <v>0.01211519671243</v>
      </c>
      <c r="BI73" s="447">
        <v>0</v>
      </c>
      <c r="BJ73" s="368"/>
    </row>
    <row r="74" spans="1:64">
      <c r="A74" s="521">
        <v>17.260273972603</v>
      </c>
      <c r="B74" s="522"/>
      <c r="C74" s="447"/>
      <c r="D74" s="447"/>
      <c r="E74" s="447"/>
      <c r="F74" s="447"/>
      <c r="G74" s="447"/>
      <c r="H74" s="447">
        <v>0.031313911507214</v>
      </c>
      <c r="I74" s="447">
        <v>0</v>
      </c>
      <c r="J74" s="368"/>
      <c r="N74" s="521">
        <v>17.260273972603</v>
      </c>
      <c r="O74" s="522"/>
      <c r="P74" s="447"/>
      <c r="Q74" s="447"/>
      <c r="R74" s="447"/>
      <c r="S74" s="447"/>
      <c r="T74" s="447"/>
      <c r="U74" s="447">
        <v>0.01598117606455</v>
      </c>
      <c r="V74" s="447">
        <v>0</v>
      </c>
      <c r="W74" s="368"/>
      <c r="AA74" s="521">
        <v>17.260273972603</v>
      </c>
      <c r="AB74" s="522"/>
      <c r="AC74" s="447"/>
      <c r="AD74" s="447"/>
      <c r="AE74" s="447"/>
      <c r="AF74" s="447"/>
      <c r="AG74" s="447"/>
      <c r="AH74" s="447">
        <v>0.015607615222623</v>
      </c>
      <c r="AI74" s="447">
        <v>0</v>
      </c>
      <c r="AJ74" s="368"/>
      <c r="AN74" s="521">
        <v>17.260273972603</v>
      </c>
      <c r="AO74" s="522"/>
      <c r="AP74" s="447">
        <v>0.0642</v>
      </c>
      <c r="AQ74" s="447">
        <v>0.0115</v>
      </c>
      <c r="AR74" s="447">
        <v>0.0254</v>
      </c>
      <c r="AS74" s="447"/>
      <c r="AT74" s="447">
        <v>0.0438</v>
      </c>
      <c r="AU74" s="635">
        <v>0.0098</v>
      </c>
      <c r="AV74" s="447">
        <v>0</v>
      </c>
      <c r="AW74" s="368"/>
      <c r="BA74" s="521">
        <v>17.260273972603</v>
      </c>
      <c r="BB74" s="522"/>
      <c r="BC74" s="447"/>
      <c r="BD74" s="447"/>
      <c r="BE74" s="447"/>
      <c r="BF74" s="447"/>
      <c r="BG74" s="447"/>
      <c r="BH74" s="760">
        <v>0.012121080027363</v>
      </c>
      <c r="BI74" s="447">
        <v>0</v>
      </c>
      <c r="BJ74" s="368"/>
    </row>
    <row r="75" spans="1:64">
      <c r="A75" s="521">
        <v>17.506849315068</v>
      </c>
      <c r="B75" s="522"/>
      <c r="C75" s="447"/>
      <c r="D75" s="447"/>
      <c r="E75" s="447"/>
      <c r="F75" s="447"/>
      <c r="G75" s="447"/>
      <c r="H75" s="447">
        <v>0.031351743239446</v>
      </c>
      <c r="I75" s="447">
        <v>0</v>
      </c>
      <c r="J75" s="368"/>
      <c r="N75" s="521">
        <v>17.506849315068</v>
      </c>
      <c r="O75" s="522"/>
      <c r="P75" s="447"/>
      <c r="Q75" s="447"/>
      <c r="R75" s="447"/>
      <c r="S75" s="447"/>
      <c r="T75" s="447"/>
      <c r="U75" s="447">
        <v>0.015878013529838</v>
      </c>
      <c r="V75" s="447">
        <v>0</v>
      </c>
      <c r="W75" s="368"/>
      <c r="AA75" s="521">
        <v>17.506849315068</v>
      </c>
      <c r="AB75" s="522"/>
      <c r="AC75" s="447"/>
      <c r="AD75" s="447"/>
      <c r="AE75" s="447"/>
      <c r="AF75" s="447"/>
      <c r="AG75" s="447"/>
      <c r="AH75" s="447">
        <v>0.015480861406614</v>
      </c>
      <c r="AI75" s="447">
        <v>0</v>
      </c>
      <c r="AJ75" s="368"/>
      <c r="AN75" s="521">
        <v>17.506849315068</v>
      </c>
      <c r="AO75" s="522"/>
      <c r="AP75" s="447">
        <v>0.0642</v>
      </c>
      <c r="AQ75" s="447">
        <v>0.0116</v>
      </c>
      <c r="AR75" s="447">
        <v>0.0255</v>
      </c>
      <c r="AS75" s="447"/>
      <c r="AT75" s="447">
        <v>0.0436</v>
      </c>
      <c r="AU75" s="635">
        <v>0.0097</v>
      </c>
      <c r="AV75" s="447">
        <v>0</v>
      </c>
      <c r="AW75" s="368"/>
      <c r="BA75" s="521">
        <v>17.506849315068</v>
      </c>
      <c r="BB75" s="522"/>
      <c r="BC75" s="447"/>
      <c r="BD75" s="447"/>
      <c r="BE75" s="447"/>
      <c r="BF75" s="447"/>
      <c r="BG75" s="447"/>
      <c r="BH75" s="760">
        <v>0.01212320482655</v>
      </c>
      <c r="BI75" s="447">
        <v>0</v>
      </c>
      <c r="BJ75" s="368"/>
    </row>
    <row r="76" spans="1:64">
      <c r="A76" s="521">
        <v>17.753424657534</v>
      </c>
      <c r="B76" s="522"/>
      <c r="C76" s="447"/>
      <c r="D76" s="447"/>
      <c r="E76" s="447"/>
      <c r="F76" s="447"/>
      <c r="G76" s="447"/>
      <c r="H76" s="447">
        <v>0.031392377180529</v>
      </c>
      <c r="I76" s="447">
        <v>0</v>
      </c>
      <c r="J76" s="368"/>
      <c r="N76" s="521">
        <v>17.753424657534</v>
      </c>
      <c r="O76" s="522"/>
      <c r="P76" s="447"/>
      <c r="Q76" s="447"/>
      <c r="R76" s="447"/>
      <c r="S76" s="447"/>
      <c r="T76" s="447"/>
      <c r="U76" s="447">
        <v>0.01577572531522</v>
      </c>
      <c r="V76" s="447">
        <v>0</v>
      </c>
      <c r="W76" s="368"/>
      <c r="AA76" s="521">
        <v>17.753424657534</v>
      </c>
      <c r="AB76" s="522"/>
      <c r="AC76" s="447"/>
      <c r="AD76" s="447"/>
      <c r="AE76" s="447"/>
      <c r="AF76" s="447"/>
      <c r="AG76" s="447"/>
      <c r="AH76" s="447">
        <v>0.015349605131594</v>
      </c>
      <c r="AI76" s="447">
        <v>0</v>
      </c>
      <c r="AJ76" s="368"/>
      <c r="AN76" s="521">
        <v>17.753424657534</v>
      </c>
      <c r="AO76" s="522"/>
      <c r="AP76" s="447">
        <v>0.0641</v>
      </c>
      <c r="AQ76" s="447">
        <v>0.0116</v>
      </c>
      <c r="AR76" s="447">
        <v>0.0255</v>
      </c>
      <c r="AS76" s="447"/>
      <c r="AT76" s="447">
        <v>0.0435</v>
      </c>
      <c r="AU76" s="635">
        <v>0.0095</v>
      </c>
      <c r="AV76" s="447">
        <v>0</v>
      </c>
      <c r="AW76" s="368"/>
      <c r="BA76" s="521">
        <v>17.753424657534</v>
      </c>
      <c r="BB76" s="522"/>
      <c r="BC76" s="447"/>
      <c r="BD76" s="447"/>
      <c r="BE76" s="447"/>
      <c r="BF76" s="447"/>
      <c r="BG76" s="447"/>
      <c r="BH76" s="760">
        <v>0.012121753554749</v>
      </c>
      <c r="BI76" s="447">
        <v>0</v>
      </c>
      <c r="BJ76" s="368"/>
    </row>
    <row r="77" spans="1:64">
      <c r="A77" s="521">
        <v>18</v>
      </c>
      <c r="B77" s="522"/>
      <c r="C77" s="447"/>
      <c r="D77" s="447"/>
      <c r="E77" s="447"/>
      <c r="F77" s="447"/>
      <c r="G77" s="447"/>
      <c r="H77" s="447">
        <v>0.031435767319131</v>
      </c>
      <c r="I77" s="447">
        <v>0</v>
      </c>
      <c r="J77" s="368"/>
      <c r="N77" s="521">
        <v>18</v>
      </c>
      <c r="O77" s="522"/>
      <c r="P77" s="447"/>
      <c r="Q77" s="447"/>
      <c r="R77" s="447"/>
      <c r="S77" s="447"/>
      <c r="T77" s="447"/>
      <c r="U77" s="447">
        <v>0.015674374542811</v>
      </c>
      <c r="V77" s="447">
        <v>0</v>
      </c>
      <c r="W77" s="368"/>
      <c r="AA77" s="521">
        <v>18</v>
      </c>
      <c r="AB77" s="522"/>
      <c r="AC77" s="447"/>
      <c r="AD77" s="447"/>
      <c r="AE77" s="447"/>
      <c r="AF77" s="447"/>
      <c r="AG77" s="447"/>
      <c r="AH77" s="447">
        <v>0.015213984247485</v>
      </c>
      <c r="AI77" s="447">
        <v>0</v>
      </c>
      <c r="AJ77" s="368"/>
      <c r="AN77" s="521">
        <v>18</v>
      </c>
      <c r="AO77" s="522"/>
      <c r="AP77" s="447">
        <v>0.064</v>
      </c>
      <c r="AQ77" s="447">
        <v>0.0116</v>
      </c>
      <c r="AR77" s="447">
        <v>0.0255</v>
      </c>
      <c r="AS77" s="447"/>
      <c r="AT77" s="447">
        <v>0.0434</v>
      </c>
      <c r="AU77" s="635">
        <v>0.0094</v>
      </c>
      <c r="AV77" s="447">
        <v>0</v>
      </c>
      <c r="AW77" s="368"/>
      <c r="BA77" s="521">
        <v>18</v>
      </c>
      <c r="BB77" s="522"/>
      <c r="BC77" s="447"/>
      <c r="BD77" s="447"/>
      <c r="BE77" s="447"/>
      <c r="BF77" s="447"/>
      <c r="BG77" s="447"/>
      <c r="BH77" s="760">
        <v>0.01211690383523</v>
      </c>
      <c r="BI77" s="447">
        <v>0</v>
      </c>
      <c r="BJ77" s="368"/>
    </row>
    <row r="78" spans="1:64">
      <c r="A78" s="521">
        <v>18.246575342466</v>
      </c>
      <c r="B78" s="522"/>
      <c r="C78" s="447"/>
      <c r="D78" s="447"/>
      <c r="E78" s="447"/>
      <c r="F78" s="447"/>
      <c r="G78" s="447"/>
      <c r="H78" s="447">
        <v>0.031481865907235</v>
      </c>
      <c r="I78" s="447">
        <v>0</v>
      </c>
      <c r="J78" s="368"/>
      <c r="N78" s="521">
        <v>18.246575342466</v>
      </c>
      <c r="O78" s="522"/>
      <c r="P78" s="447"/>
      <c r="Q78" s="447"/>
      <c r="R78" s="447"/>
      <c r="S78" s="447"/>
      <c r="T78" s="447"/>
      <c r="U78" s="447">
        <v>0.015574015864891</v>
      </c>
      <c r="V78" s="447">
        <v>0</v>
      </c>
      <c r="W78" s="368"/>
      <c r="AA78" s="521">
        <v>18.246575342466</v>
      </c>
      <c r="AB78" s="522"/>
      <c r="AC78" s="447"/>
      <c r="AD78" s="447"/>
      <c r="AE78" s="447"/>
      <c r="AF78" s="447"/>
      <c r="AG78" s="447"/>
      <c r="AH78" s="447">
        <v>0.015074137477346</v>
      </c>
      <c r="AI78" s="447">
        <v>0</v>
      </c>
      <c r="AJ78" s="368"/>
      <c r="AN78" s="521">
        <v>18.246575342466</v>
      </c>
      <c r="AO78" s="522"/>
      <c r="AP78" s="447">
        <v>0.064</v>
      </c>
      <c r="AQ78" s="447">
        <v>0.0116</v>
      </c>
      <c r="AR78" s="447">
        <v>0.0256</v>
      </c>
      <c r="AS78" s="447"/>
      <c r="AT78" s="447">
        <v>0.0433</v>
      </c>
      <c r="AU78" s="635">
        <v>0.0093</v>
      </c>
      <c r="AV78" s="447">
        <v>0</v>
      </c>
      <c r="AW78" s="368"/>
      <c r="BA78" s="521">
        <v>18.246575342466</v>
      </c>
      <c r="BB78" s="522"/>
      <c r="BC78" s="447"/>
      <c r="BD78" s="447"/>
      <c r="BE78" s="447"/>
      <c r="BF78" s="447"/>
      <c r="BG78" s="447"/>
      <c r="BH78" s="760">
        <v>0.012108826620086</v>
      </c>
      <c r="BI78" s="447">
        <v>0</v>
      </c>
      <c r="BJ78" s="368"/>
    </row>
    <row r="79" spans="1:64">
      <c r="A79" s="521">
        <v>18.493150684932</v>
      </c>
      <c r="B79" s="522"/>
      <c r="C79" s="447"/>
      <c r="D79" s="447"/>
      <c r="E79" s="447"/>
      <c r="F79" s="447"/>
      <c r="G79" s="447"/>
      <c r="H79" s="447">
        <v>0.031530625324323</v>
      </c>
      <c r="I79" s="447">
        <v>0</v>
      </c>
      <c r="J79" s="368"/>
      <c r="N79" s="521">
        <v>18.493150684932</v>
      </c>
      <c r="O79" s="522"/>
      <c r="P79" s="447"/>
      <c r="Q79" s="447"/>
      <c r="R79" s="447"/>
      <c r="S79" s="447"/>
      <c r="T79" s="447"/>
      <c r="U79" s="447">
        <v>0.015474702098086</v>
      </c>
      <c r="V79" s="447">
        <v>0</v>
      </c>
      <c r="W79" s="368"/>
      <c r="AA79" s="521">
        <v>18.493150684932</v>
      </c>
      <c r="AB79" s="522"/>
      <c r="AC79" s="447"/>
      <c r="AD79" s="447"/>
      <c r="AE79" s="447"/>
      <c r="AF79" s="447"/>
      <c r="AG79" s="447"/>
      <c r="AH79" s="447">
        <v>0.014930195822038</v>
      </c>
      <c r="AI79" s="447">
        <v>0</v>
      </c>
      <c r="AJ79" s="368"/>
      <c r="AN79" s="521">
        <v>18.493150684932</v>
      </c>
      <c r="AO79" s="522"/>
      <c r="AP79" s="447">
        <v>0.0639</v>
      </c>
      <c r="AQ79" s="447">
        <v>0.0117</v>
      </c>
      <c r="AR79" s="447">
        <v>0.0256</v>
      </c>
      <c r="AS79" s="447"/>
      <c r="AT79" s="447">
        <v>0.0431</v>
      </c>
      <c r="AU79" s="635">
        <v>0.0092</v>
      </c>
      <c r="AV79" s="447">
        <v>0</v>
      </c>
      <c r="AW79" s="368"/>
      <c r="BA79" s="521">
        <v>18.493150684932</v>
      </c>
      <c r="BB79" s="522"/>
      <c r="BC79" s="447"/>
      <c r="BD79" s="447"/>
      <c r="BE79" s="447"/>
      <c r="BF79" s="447"/>
      <c r="BG79" s="447"/>
      <c r="BH79" s="760">
        <v>0.012097683307072</v>
      </c>
      <c r="BI79" s="447">
        <v>0</v>
      </c>
      <c r="BJ79" s="368"/>
    </row>
    <row r="80" spans="1:64">
      <c r="A80" s="521">
        <v>18.739726027397</v>
      </c>
      <c r="B80" s="522"/>
      <c r="C80" s="447"/>
      <c r="D80" s="447"/>
      <c r="E80" s="447"/>
      <c r="F80" s="447"/>
      <c r="G80" s="447"/>
      <c r="H80" s="447">
        <v>0.031581993337524</v>
      </c>
      <c r="I80" s="447">
        <v>0</v>
      </c>
      <c r="J80" s="368"/>
      <c r="N80" s="521">
        <v>18.739726027397</v>
      </c>
      <c r="O80" s="522"/>
      <c r="P80" s="447"/>
      <c r="Q80" s="447"/>
      <c r="R80" s="447"/>
      <c r="S80" s="447"/>
      <c r="T80" s="447"/>
      <c r="U80" s="447">
        <v>0.015376481394052</v>
      </c>
      <c r="V80" s="447">
        <v>0</v>
      </c>
      <c r="W80" s="368"/>
      <c r="AA80" s="521">
        <v>18.739726027397</v>
      </c>
      <c r="AB80" s="522"/>
      <c r="AC80" s="447"/>
      <c r="AD80" s="447"/>
      <c r="AE80" s="447"/>
      <c r="AF80" s="447"/>
      <c r="AG80" s="447"/>
      <c r="AH80" s="447">
        <v>0.014782287364836</v>
      </c>
      <c r="AI80" s="447">
        <v>0</v>
      </c>
      <c r="AJ80" s="368"/>
      <c r="AN80" s="521">
        <v>18.739726027397</v>
      </c>
      <c r="AO80" s="522"/>
      <c r="AP80" s="447">
        <v>0.0638</v>
      </c>
      <c r="AQ80" s="447">
        <v>0.0117</v>
      </c>
      <c r="AR80" s="447">
        <v>0.0256</v>
      </c>
      <c r="AS80" s="447"/>
      <c r="AT80" s="447">
        <v>0.043</v>
      </c>
      <c r="AU80" s="635">
        <v>0.009</v>
      </c>
      <c r="AV80" s="447">
        <v>0</v>
      </c>
      <c r="AW80" s="368"/>
      <c r="BA80" s="521">
        <v>18.739726027397</v>
      </c>
      <c r="BB80" s="522"/>
      <c r="BC80" s="447"/>
      <c r="BD80" s="447"/>
      <c r="BE80" s="447"/>
      <c r="BF80" s="447"/>
      <c r="BG80" s="447"/>
      <c r="BH80" s="760">
        <v>0.012083631483015</v>
      </c>
      <c r="BI80" s="447">
        <v>0</v>
      </c>
      <c r="BJ80" s="368"/>
    </row>
    <row r="81" spans="1:64">
      <c r="A81" s="521">
        <v>18.986301369863</v>
      </c>
      <c r="B81" s="522"/>
      <c r="C81" s="447"/>
      <c r="D81" s="447"/>
      <c r="E81" s="447"/>
      <c r="F81" s="447"/>
      <c r="G81" s="447"/>
      <c r="H81" s="447">
        <v>0.03163592075687</v>
      </c>
      <c r="I81" s="447">
        <v>0</v>
      </c>
      <c r="J81" s="368"/>
      <c r="N81" s="521">
        <v>18.986301369863</v>
      </c>
      <c r="O81" s="522"/>
      <c r="P81" s="447"/>
      <c r="Q81" s="447"/>
      <c r="R81" s="447"/>
      <c r="S81" s="447"/>
      <c r="T81" s="447"/>
      <c r="U81" s="447">
        <v>0.015279398165865</v>
      </c>
      <c r="V81" s="447">
        <v>0</v>
      </c>
      <c r="W81" s="368"/>
      <c r="AA81" s="521">
        <v>18.986301369863</v>
      </c>
      <c r="AB81" s="522"/>
      <c r="AC81" s="447"/>
      <c r="AD81" s="447"/>
      <c r="AE81" s="447"/>
      <c r="AF81" s="447"/>
      <c r="AG81" s="447"/>
      <c r="AH81" s="447">
        <v>0.014630538188396</v>
      </c>
      <c r="AI81" s="447">
        <v>0</v>
      </c>
      <c r="AJ81" s="368"/>
      <c r="AN81" s="521">
        <v>18.986301369863</v>
      </c>
      <c r="AO81" s="522"/>
      <c r="AP81" s="447">
        <v>0.0637</v>
      </c>
      <c r="AQ81" s="447">
        <v>0.0117</v>
      </c>
      <c r="AR81" s="447">
        <v>0.0257</v>
      </c>
      <c r="AS81" s="447"/>
      <c r="AT81" s="447">
        <v>0.0429</v>
      </c>
      <c r="AU81" s="635">
        <v>0.0089</v>
      </c>
      <c r="AV81" s="447">
        <v>0</v>
      </c>
      <c r="AW81" s="368"/>
      <c r="BA81" s="521">
        <v>18.986301369863</v>
      </c>
      <c r="BB81" s="522"/>
      <c r="BC81" s="447"/>
      <c r="BD81" s="447"/>
      <c r="BE81" s="447"/>
      <c r="BF81" s="447"/>
      <c r="BG81" s="447"/>
      <c r="BH81" s="760">
        <v>0.012066818259525</v>
      </c>
      <c r="BI81" s="447">
        <v>0</v>
      </c>
      <c r="BJ81" s="368"/>
    </row>
    <row r="82" spans="1:64">
      <c r="A82" s="521">
        <v>19.232876712329</v>
      </c>
      <c r="B82" s="522"/>
      <c r="C82" s="447"/>
      <c r="D82" s="447"/>
      <c r="E82" s="447"/>
      <c r="F82" s="447"/>
      <c r="G82" s="447"/>
      <c r="H82" s="447">
        <v>0.031692354643828</v>
      </c>
      <c r="I82" s="447">
        <v>0</v>
      </c>
      <c r="J82" s="368"/>
      <c r="N82" s="521">
        <v>19.232876712329</v>
      </c>
      <c r="O82" s="522"/>
      <c r="P82" s="447"/>
      <c r="Q82" s="447"/>
      <c r="R82" s="447"/>
      <c r="S82" s="447"/>
      <c r="T82" s="447"/>
      <c r="U82" s="447">
        <v>0.015183492137531</v>
      </c>
      <c r="V82" s="447">
        <v>0</v>
      </c>
      <c r="W82" s="368"/>
      <c r="AA82" s="521">
        <v>19.232876712329</v>
      </c>
      <c r="AB82" s="522"/>
      <c r="AC82" s="447"/>
      <c r="AD82" s="447"/>
      <c r="AE82" s="447"/>
      <c r="AF82" s="447"/>
      <c r="AG82" s="447"/>
      <c r="AH82" s="447">
        <v>0.014475068575791</v>
      </c>
      <c r="AI82" s="447">
        <v>0</v>
      </c>
      <c r="AJ82" s="368"/>
      <c r="AN82" s="521">
        <v>19.232876712329</v>
      </c>
      <c r="AO82" s="522"/>
      <c r="AP82" s="447">
        <v>0.0636</v>
      </c>
      <c r="AQ82" s="447">
        <v>0.0117</v>
      </c>
      <c r="AR82" s="447">
        <v>0.0257</v>
      </c>
      <c r="AS82" s="447"/>
      <c r="AT82" s="447">
        <v>0.0428</v>
      </c>
      <c r="AU82" s="635">
        <v>0.0088</v>
      </c>
      <c r="AV82" s="447">
        <v>0</v>
      </c>
      <c r="AW82" s="368"/>
      <c r="BA82" s="521">
        <v>19.232876712329</v>
      </c>
      <c r="BB82" s="522"/>
      <c r="BC82" s="447"/>
      <c r="BD82" s="447"/>
      <c r="BE82" s="447"/>
      <c r="BF82" s="447"/>
      <c r="BG82" s="447"/>
      <c r="BH82" s="760">
        <v>0.012047387898294</v>
      </c>
      <c r="BI82" s="447">
        <v>0</v>
      </c>
      <c r="BJ82" s="368"/>
    </row>
    <row r="83" spans="1:64">
      <c r="A83" s="521">
        <v>19.479452054795</v>
      </c>
      <c r="B83" s="522"/>
      <c r="C83" s="447"/>
      <c r="D83" s="447"/>
      <c r="E83" s="447"/>
      <c r="F83" s="447"/>
      <c r="G83" s="447"/>
      <c r="H83" s="447">
        <v>0.031751240297834</v>
      </c>
      <c r="I83" s="447">
        <v>0</v>
      </c>
      <c r="J83" s="368"/>
      <c r="N83" s="521">
        <v>19.479452054795</v>
      </c>
      <c r="O83" s="522"/>
      <c r="P83" s="447"/>
      <c r="Q83" s="447"/>
      <c r="R83" s="447"/>
      <c r="S83" s="447"/>
      <c r="T83" s="447"/>
      <c r="U83" s="447">
        <v>0.015088802156756</v>
      </c>
      <c r="V83" s="447">
        <v>0</v>
      </c>
      <c r="W83" s="368"/>
      <c r="AA83" s="521">
        <v>19.479452054795</v>
      </c>
      <c r="AB83" s="522"/>
      <c r="AC83" s="447"/>
      <c r="AD83" s="447"/>
      <c r="AE83" s="447"/>
      <c r="AF83" s="447"/>
      <c r="AG83" s="447"/>
      <c r="AH83" s="447">
        <v>0.014315996819565</v>
      </c>
      <c r="AI83" s="447">
        <v>0</v>
      </c>
      <c r="AJ83" s="368"/>
      <c r="AN83" s="521">
        <v>19.479452054795</v>
      </c>
      <c r="AO83" s="522"/>
      <c r="AP83" s="447">
        <v>0.0636</v>
      </c>
      <c r="AQ83" s="447">
        <v>0.0117</v>
      </c>
      <c r="AR83" s="447">
        <v>0.0257</v>
      </c>
      <c r="AS83" s="447"/>
      <c r="AT83" s="447">
        <v>0.0427</v>
      </c>
      <c r="AU83" s="635">
        <v>0.0086</v>
      </c>
      <c r="AV83" s="447">
        <v>0</v>
      </c>
      <c r="AW83" s="368"/>
      <c r="BA83" s="521">
        <v>19.479452054795</v>
      </c>
      <c r="BB83" s="522"/>
      <c r="BC83" s="447"/>
      <c r="BD83" s="447"/>
      <c r="BE83" s="447"/>
      <c r="BF83" s="447"/>
      <c r="BG83" s="447"/>
      <c r="BH83" s="760">
        <v>0.012025477994398</v>
      </c>
      <c r="BI83" s="447">
        <v>0</v>
      </c>
      <c r="BJ83" s="368"/>
    </row>
    <row r="84" spans="1:64">
      <c r="A84" s="521">
        <v>19.72602739726</v>
      </c>
      <c r="B84" s="522"/>
      <c r="C84" s="447"/>
      <c r="D84" s="447"/>
      <c r="E84" s="447"/>
      <c r="F84" s="447"/>
      <c r="G84" s="447"/>
      <c r="H84" s="447">
        <v>0.031812527041861</v>
      </c>
      <c r="I84" s="447">
        <v>0</v>
      </c>
      <c r="J84" s="368"/>
      <c r="N84" s="521">
        <v>19.72602739726</v>
      </c>
      <c r="O84" s="522"/>
      <c r="P84" s="447"/>
      <c r="Q84" s="447"/>
      <c r="R84" s="447"/>
      <c r="S84" s="447"/>
      <c r="T84" s="447"/>
      <c r="U84" s="447">
        <v>0.014995359556169</v>
      </c>
      <c r="V84" s="447">
        <v>0</v>
      </c>
      <c r="W84" s="368"/>
      <c r="AA84" s="521">
        <v>19.72602739726</v>
      </c>
      <c r="AB84" s="522"/>
      <c r="AC84" s="447"/>
      <c r="AD84" s="447"/>
      <c r="AE84" s="447"/>
      <c r="AF84" s="447"/>
      <c r="AG84" s="447"/>
      <c r="AH84" s="447">
        <v>0.014153438243052</v>
      </c>
      <c r="AI84" s="447">
        <v>0</v>
      </c>
      <c r="AJ84" s="368"/>
      <c r="AN84" s="521">
        <v>19.72602739726</v>
      </c>
      <c r="AO84" s="522"/>
      <c r="AP84" s="447">
        <v>0.0635</v>
      </c>
      <c r="AQ84" s="447">
        <v>0.0117</v>
      </c>
      <c r="AR84" s="447">
        <v>0.0258</v>
      </c>
      <c r="AS84" s="447"/>
      <c r="AT84" s="447">
        <v>0.0426</v>
      </c>
      <c r="AU84" s="635">
        <v>0.0085</v>
      </c>
      <c r="AV84" s="447">
        <v>0</v>
      </c>
      <c r="AW84" s="368"/>
      <c r="BA84" s="521">
        <v>19.72602739726</v>
      </c>
      <c r="BB84" s="522"/>
      <c r="BC84" s="447"/>
      <c r="BD84" s="447"/>
      <c r="BE84" s="447"/>
      <c r="BF84" s="447"/>
      <c r="BG84" s="447"/>
      <c r="BH84" s="760">
        <v>0.012001219495791</v>
      </c>
      <c r="BI84" s="447">
        <v>0</v>
      </c>
      <c r="BJ84" s="368"/>
    </row>
    <row r="85" spans="1:64">
      <c r="A85" s="521">
        <v>19.972602739726</v>
      </c>
      <c r="B85" s="522"/>
      <c r="C85" s="447"/>
      <c r="D85" s="447"/>
      <c r="E85" s="447"/>
      <c r="F85" s="447"/>
      <c r="G85" s="447"/>
      <c r="H85" s="447">
        <v>0.031876160467221</v>
      </c>
      <c r="I85" s="447">
        <v>0</v>
      </c>
      <c r="J85" s="368"/>
      <c r="N85" s="521">
        <v>19.972602739726</v>
      </c>
      <c r="O85" s="522"/>
      <c r="P85" s="447"/>
      <c r="Q85" s="447"/>
      <c r="R85" s="447"/>
      <c r="S85" s="447"/>
      <c r="T85" s="447"/>
      <c r="U85" s="447">
        <v>0.014903197623173</v>
      </c>
      <c r="V85" s="447">
        <v>0</v>
      </c>
      <c r="W85" s="368"/>
      <c r="AA85" s="521">
        <v>19.972602739726</v>
      </c>
      <c r="AB85" s="522"/>
      <c r="AC85" s="447"/>
      <c r="AD85" s="447"/>
      <c r="AE85" s="447"/>
      <c r="AF85" s="447"/>
      <c r="AG85" s="447"/>
      <c r="AH85" s="447">
        <v>0.013987503329741</v>
      </c>
      <c r="AI85" s="447">
        <v>0</v>
      </c>
      <c r="AJ85" s="368"/>
      <c r="AN85" s="521">
        <v>19.972602739726</v>
      </c>
      <c r="AO85" s="522"/>
      <c r="AP85" s="447">
        <v>0.0634</v>
      </c>
      <c r="AQ85" s="447">
        <v>0.0117</v>
      </c>
      <c r="AR85" s="447">
        <v>0.0258</v>
      </c>
      <c r="AS85" s="447"/>
      <c r="AT85" s="447">
        <v>0.0425</v>
      </c>
      <c r="AU85" s="635">
        <v>0.0083</v>
      </c>
      <c r="AV85" s="447">
        <v>0</v>
      </c>
      <c r="AW85" s="368"/>
      <c r="BA85" s="521">
        <v>19.972602739726</v>
      </c>
      <c r="BB85" s="522"/>
      <c r="BC85" s="447"/>
      <c r="BD85" s="447"/>
      <c r="BE85" s="447"/>
      <c r="BF85" s="447"/>
      <c r="BG85" s="447"/>
      <c r="BH85" s="760">
        <v>0.011974738617024</v>
      </c>
      <c r="BI85" s="447">
        <v>0</v>
      </c>
      <c r="BJ85" s="368"/>
    </row>
    <row r="86" spans="1:64">
      <c r="A86" s="521">
        <v>20.219178082192</v>
      </c>
      <c r="B86" s="522"/>
      <c r="C86" s="447"/>
      <c r="D86" s="447"/>
      <c r="E86" s="447"/>
      <c r="F86" s="447"/>
      <c r="G86" s="447"/>
      <c r="H86" s="447">
        <v>0.031942085262794</v>
      </c>
      <c r="I86" s="447">
        <v>0</v>
      </c>
      <c r="J86" s="368"/>
      <c r="N86" s="521">
        <v>20.219178082192</v>
      </c>
      <c r="O86" s="522"/>
      <c r="P86" s="447"/>
      <c r="Q86" s="447"/>
      <c r="R86" s="447"/>
      <c r="S86" s="447"/>
      <c r="T86" s="447"/>
      <c r="U86" s="447">
        <v>0.014812343995409</v>
      </c>
      <c r="V86" s="447">
        <v>0</v>
      </c>
      <c r="W86" s="368"/>
      <c r="AA86" s="521">
        <v>20.219178082192</v>
      </c>
      <c r="AB86" s="522"/>
      <c r="AC86" s="447"/>
      <c r="AD86" s="447"/>
      <c r="AE86" s="447"/>
      <c r="AF86" s="447"/>
      <c r="AG86" s="447"/>
      <c r="AH86" s="447">
        <v>0.013818302477371</v>
      </c>
      <c r="AI86" s="447">
        <v>0</v>
      </c>
      <c r="AJ86" s="368"/>
      <c r="AN86" s="521">
        <v>20.219178082192</v>
      </c>
      <c r="AO86" s="522"/>
      <c r="AP86" s="447">
        <v>0.0633</v>
      </c>
      <c r="AQ86" s="447">
        <v>0.0117</v>
      </c>
      <c r="AR86" s="447">
        <v>0.0258</v>
      </c>
      <c r="AS86" s="447"/>
      <c r="AT86" s="447">
        <v>0.0424</v>
      </c>
      <c r="AU86" s="635">
        <v>0.0082</v>
      </c>
      <c r="AV86" s="447">
        <v>0</v>
      </c>
      <c r="AW86" s="368"/>
      <c r="BA86" s="521">
        <v>20.219178082192</v>
      </c>
      <c r="BB86" s="522"/>
      <c r="BC86" s="447"/>
      <c r="BD86" s="447"/>
      <c r="BE86" s="447"/>
      <c r="BF86" s="447"/>
      <c r="BG86" s="447"/>
      <c r="BH86" s="760">
        <v>0.011946155870082</v>
      </c>
      <c r="BI86" s="447">
        <v>0</v>
      </c>
      <c r="BJ86" s="368"/>
    </row>
    <row r="87" spans="1:64">
      <c r="A87" s="521">
        <v>20.465753424658</v>
      </c>
      <c r="B87" s="522"/>
      <c r="C87" s="447"/>
      <c r="D87" s="447"/>
      <c r="E87" s="447"/>
      <c r="F87" s="447"/>
      <c r="G87" s="447"/>
      <c r="H87" s="447">
        <v>0.032010247263741</v>
      </c>
      <c r="I87" s="447">
        <v>0</v>
      </c>
      <c r="J87" s="368"/>
      <c r="N87" s="521">
        <v>20.465753424658</v>
      </c>
      <c r="O87" s="522"/>
      <c r="P87" s="447"/>
      <c r="Q87" s="447"/>
      <c r="R87" s="447"/>
      <c r="S87" s="447"/>
      <c r="T87" s="447"/>
      <c r="U87" s="447">
        <v>0.014722824499333</v>
      </c>
      <c r="V87" s="447">
        <v>0</v>
      </c>
      <c r="W87" s="368"/>
      <c r="AA87" s="521">
        <v>20.465753424658</v>
      </c>
      <c r="AB87" s="522"/>
      <c r="AC87" s="447"/>
      <c r="AD87" s="447"/>
      <c r="AE87" s="447"/>
      <c r="AF87" s="447"/>
      <c r="AG87" s="447"/>
      <c r="AH87" s="447">
        <v>0.013645940253401</v>
      </c>
      <c r="AI87" s="447">
        <v>0</v>
      </c>
      <c r="AJ87" s="368"/>
      <c r="AN87" s="521">
        <v>20.465753424658</v>
      </c>
      <c r="AO87" s="522"/>
      <c r="AP87" s="447">
        <v>0.0632</v>
      </c>
      <c r="AQ87" s="447">
        <v>0.0117</v>
      </c>
      <c r="AR87" s="447">
        <v>0.0258</v>
      </c>
      <c r="AS87" s="447"/>
      <c r="AT87" s="447">
        <v>0.0423</v>
      </c>
      <c r="AU87" s="635">
        <v>0.0081</v>
      </c>
      <c r="AV87" s="447">
        <v>0</v>
      </c>
      <c r="AW87" s="368"/>
      <c r="BA87" s="521">
        <v>20.465753424658</v>
      </c>
      <c r="BB87" s="522"/>
      <c r="BC87" s="447"/>
      <c r="BD87" s="447"/>
      <c r="BE87" s="447"/>
      <c r="BF87" s="447"/>
      <c r="BG87" s="447"/>
      <c r="BH87" s="760">
        <v>0.01191558610448</v>
      </c>
      <c r="BI87" s="447">
        <v>0</v>
      </c>
      <c r="BJ87" s="368"/>
    </row>
    <row r="88" spans="1:64">
      <c r="A88" s="521">
        <v>20.712328767123</v>
      </c>
      <c r="B88" s="522"/>
      <c r="C88" s="447"/>
      <c r="D88" s="447"/>
      <c r="E88" s="447"/>
      <c r="F88" s="447"/>
      <c r="G88" s="447"/>
      <c r="H88" s="447">
        <v>0.032080593355322</v>
      </c>
      <c r="I88" s="447">
        <v>0</v>
      </c>
      <c r="J88" s="368"/>
      <c r="N88" s="521">
        <v>20.712328767123</v>
      </c>
      <c r="O88" s="522"/>
      <c r="P88" s="447"/>
      <c r="Q88" s="447"/>
      <c r="R88" s="447"/>
      <c r="S88" s="447"/>
      <c r="T88" s="447"/>
      <c r="U88" s="447">
        <v>0.014634660280682</v>
      </c>
      <c r="V88" s="447">
        <v>0</v>
      </c>
      <c r="W88" s="368"/>
      <c r="AA88" s="521">
        <v>20.712328767123</v>
      </c>
      <c r="AB88" s="522"/>
      <c r="AC88" s="447"/>
      <c r="AD88" s="447"/>
      <c r="AE88" s="447"/>
      <c r="AF88" s="447"/>
      <c r="AG88" s="447"/>
      <c r="AH88" s="447">
        <v>0.013470519241488</v>
      </c>
      <c r="AI88" s="447">
        <v>0</v>
      </c>
      <c r="AJ88" s="368"/>
      <c r="AN88" s="521">
        <v>20.712328767123</v>
      </c>
      <c r="AO88" s="522"/>
      <c r="AP88" s="447">
        <v>0.063</v>
      </c>
      <c r="AQ88" s="447">
        <v>0.0117</v>
      </c>
      <c r="AR88" s="447">
        <v>0.0258</v>
      </c>
      <c r="AS88" s="447"/>
      <c r="AT88" s="447">
        <v>0.0422</v>
      </c>
      <c r="AU88" s="635">
        <v>0.0079</v>
      </c>
      <c r="AV88" s="447">
        <v>0</v>
      </c>
      <c r="AW88" s="368"/>
      <c r="BA88" s="521">
        <v>20.712328767123</v>
      </c>
      <c r="BB88" s="522"/>
      <c r="BC88" s="447"/>
      <c r="BD88" s="447"/>
      <c r="BE88" s="447"/>
      <c r="BF88" s="447"/>
      <c r="BG88" s="447"/>
      <c r="BH88" s="760">
        <v>0.011883140362723</v>
      </c>
      <c r="BI88" s="447">
        <v>0</v>
      </c>
      <c r="BJ88" s="368"/>
    </row>
    <row r="89" spans="1:64">
      <c r="A89" s="521">
        <v>20.958904109589</v>
      </c>
      <c r="B89" s="522"/>
      <c r="C89" s="447"/>
      <c r="D89" s="447"/>
      <c r="E89" s="447"/>
      <c r="F89" s="447"/>
      <c r="G89" s="447"/>
      <c r="H89" s="447">
        <v>0.032153068605017</v>
      </c>
      <c r="I89" s="447">
        <v>0</v>
      </c>
      <c r="J89" s="368"/>
      <c r="N89" s="521">
        <v>20.958904109589</v>
      </c>
      <c r="O89" s="522"/>
      <c r="P89" s="447"/>
      <c r="Q89" s="447"/>
      <c r="R89" s="447"/>
      <c r="S89" s="447"/>
      <c r="T89" s="447"/>
      <c r="U89" s="447">
        <v>0.014547873447821</v>
      </c>
      <c r="V89" s="447">
        <v>0</v>
      </c>
      <c r="W89" s="368"/>
      <c r="AA89" s="521">
        <v>20.958904109589</v>
      </c>
      <c r="AB89" s="522"/>
      <c r="AC89" s="447"/>
      <c r="AD89" s="447"/>
      <c r="AE89" s="447"/>
      <c r="AF89" s="447"/>
      <c r="AG89" s="447"/>
      <c r="AH89" s="447">
        <v>0.013292140001222</v>
      </c>
      <c r="AI89" s="447">
        <v>0</v>
      </c>
      <c r="AJ89" s="368"/>
      <c r="AN89" s="521">
        <v>20.958904109589</v>
      </c>
      <c r="AO89" s="522"/>
      <c r="AP89" s="447">
        <v>0.0629</v>
      </c>
      <c r="AQ89" s="447">
        <v>0.0117</v>
      </c>
      <c r="AR89" s="447">
        <v>0.0259</v>
      </c>
      <c r="AS89" s="447"/>
      <c r="AT89" s="447">
        <v>0.0422</v>
      </c>
      <c r="AU89" s="635">
        <v>0.0078</v>
      </c>
      <c r="AV89" s="447">
        <v>0</v>
      </c>
      <c r="AW89" s="368"/>
      <c r="BA89" s="521">
        <v>20.958904109589</v>
      </c>
      <c r="BB89" s="522"/>
      <c r="BC89" s="447"/>
      <c r="BD89" s="447"/>
      <c r="BE89" s="447"/>
      <c r="BF89" s="447"/>
      <c r="BG89" s="447"/>
      <c r="BH89" s="760">
        <v>0.011848924966183</v>
      </c>
      <c r="BI89" s="447">
        <v>0</v>
      </c>
      <c r="BJ89" s="368"/>
    </row>
    <row r="90" spans="1:64">
      <c r="A90" s="521">
        <v>21.205479452055</v>
      </c>
      <c r="B90" s="522"/>
      <c r="C90" s="447"/>
      <c r="D90" s="447"/>
      <c r="E90" s="447"/>
      <c r="F90" s="447"/>
      <c r="G90" s="447"/>
      <c r="H90" s="447">
        <v>0.032227619185053</v>
      </c>
      <c r="I90" s="447">
        <v>0</v>
      </c>
      <c r="J90" s="368"/>
      <c r="N90" s="521">
        <v>21.205479452055</v>
      </c>
      <c r="O90" s="522"/>
      <c r="P90" s="447"/>
      <c r="Q90" s="447"/>
      <c r="R90" s="447"/>
      <c r="S90" s="447"/>
      <c r="T90" s="447"/>
      <c r="U90" s="447">
        <v>0.014462481484666</v>
      </c>
      <c r="V90" s="447">
        <v>0</v>
      </c>
      <c r="W90" s="368"/>
      <c r="AA90" s="521">
        <v>21.205479452055</v>
      </c>
      <c r="AB90" s="522"/>
      <c r="AC90" s="447"/>
      <c r="AD90" s="447"/>
      <c r="AE90" s="447"/>
      <c r="AF90" s="447"/>
      <c r="AG90" s="447"/>
      <c r="AH90" s="447">
        <v>0.013110900170771</v>
      </c>
      <c r="AI90" s="447">
        <v>0</v>
      </c>
      <c r="AJ90" s="368"/>
      <c r="AN90" s="521">
        <v>21.205479452055</v>
      </c>
      <c r="AO90" s="522"/>
      <c r="AP90" s="447">
        <v>0.0628</v>
      </c>
      <c r="AQ90" s="447">
        <v>0.0116</v>
      </c>
      <c r="AR90" s="447">
        <v>0.0259</v>
      </c>
      <c r="AS90" s="447"/>
      <c r="AT90" s="447">
        <v>0.0421</v>
      </c>
      <c r="AU90" s="635">
        <v>0.0076</v>
      </c>
      <c r="AV90" s="447">
        <v>0</v>
      </c>
      <c r="AW90" s="368"/>
      <c r="BA90" s="521">
        <v>21.205479452055</v>
      </c>
      <c r="BB90" s="522"/>
      <c r="BC90" s="447"/>
      <c r="BD90" s="447"/>
      <c r="BE90" s="447"/>
      <c r="BF90" s="447"/>
      <c r="BG90" s="447"/>
      <c r="BH90" s="760">
        <v>0.011813041530943</v>
      </c>
      <c r="BI90" s="447">
        <v>0</v>
      </c>
      <c r="BJ90" s="368"/>
    </row>
    <row r="91" spans="1:64">
      <c r="A91" s="521">
        <v>21.452054794521</v>
      </c>
      <c r="B91" s="522"/>
      <c r="C91" s="447"/>
      <c r="D91" s="447"/>
      <c r="E91" s="447"/>
      <c r="F91" s="447"/>
      <c r="G91" s="447"/>
      <c r="H91" s="447">
        <v>0.032304190314878</v>
      </c>
      <c r="I91" s="447">
        <v>0</v>
      </c>
      <c r="J91" s="368"/>
      <c r="N91" s="521">
        <v>21.452054794521</v>
      </c>
      <c r="O91" s="522"/>
      <c r="P91" s="447"/>
      <c r="Q91" s="447"/>
      <c r="R91" s="447"/>
      <c r="S91" s="447"/>
      <c r="T91" s="447"/>
      <c r="U91" s="447">
        <v>0.014378500948262</v>
      </c>
      <c r="V91" s="447">
        <v>0</v>
      </c>
      <c r="W91" s="368"/>
      <c r="AA91" s="521">
        <v>21.452054794521</v>
      </c>
      <c r="AB91" s="522"/>
      <c r="AC91" s="447"/>
      <c r="AD91" s="447"/>
      <c r="AE91" s="447"/>
      <c r="AF91" s="447"/>
      <c r="AG91" s="447"/>
      <c r="AH91" s="447">
        <v>0.012926895363202</v>
      </c>
      <c r="AI91" s="447">
        <v>0</v>
      </c>
      <c r="AJ91" s="368"/>
      <c r="AN91" s="521">
        <v>21.452054794521</v>
      </c>
      <c r="AO91" s="522"/>
      <c r="AP91" s="447">
        <v>0.0627</v>
      </c>
      <c r="AQ91" s="447">
        <v>0.0116</v>
      </c>
      <c r="AR91" s="447">
        <v>0.0259</v>
      </c>
      <c r="AS91" s="447"/>
      <c r="AT91" s="447">
        <v>0.042</v>
      </c>
      <c r="AU91" s="635">
        <v>0.0075</v>
      </c>
      <c r="AV91" s="447">
        <v>0</v>
      </c>
      <c r="AW91" s="368"/>
      <c r="BA91" s="521">
        <v>21.452054794521</v>
      </c>
      <c r="BB91" s="522"/>
      <c r="BC91" s="447"/>
      <c r="BD91" s="447"/>
      <c r="BE91" s="447"/>
      <c r="BF91" s="447"/>
      <c r="BG91" s="447"/>
      <c r="BH91" s="760">
        <v>0.011775587880351</v>
      </c>
      <c r="BI91" s="447">
        <v>0</v>
      </c>
      <c r="BJ91" s="368"/>
    </row>
    <row r="92" spans="1:64">
      <c r="A92" s="521">
        <v>21.698630136986</v>
      </c>
      <c r="B92" s="522"/>
      <c r="C92" s="447"/>
      <c r="D92" s="447"/>
      <c r="E92" s="447"/>
      <c r="F92" s="447"/>
      <c r="G92" s="447"/>
      <c r="H92" s="447">
        <v>0.032382729308178</v>
      </c>
      <c r="I92" s="447">
        <v>0</v>
      </c>
      <c r="J92" s="368"/>
      <c r="N92" s="521">
        <v>21.698630136986</v>
      </c>
      <c r="O92" s="522"/>
      <c r="P92" s="447"/>
      <c r="Q92" s="447"/>
      <c r="R92" s="447"/>
      <c r="S92" s="447"/>
      <c r="T92" s="447"/>
      <c r="U92" s="447">
        <v>0.014295946544923</v>
      </c>
      <c r="V92" s="447">
        <v>0</v>
      </c>
      <c r="W92" s="368"/>
      <c r="AA92" s="521">
        <v>21.698630136986</v>
      </c>
      <c r="AB92" s="522"/>
      <c r="AC92" s="447"/>
      <c r="AD92" s="447"/>
      <c r="AE92" s="447"/>
      <c r="AF92" s="447"/>
      <c r="AG92" s="447"/>
      <c r="AH92" s="447">
        <v>0.01274021824452</v>
      </c>
      <c r="AI92" s="447">
        <v>0</v>
      </c>
      <c r="AJ92" s="368"/>
      <c r="AN92" s="521">
        <v>21.698630136986</v>
      </c>
      <c r="AO92" s="522"/>
      <c r="AP92" s="447">
        <v>0.0626</v>
      </c>
      <c r="AQ92" s="447">
        <v>0.0116</v>
      </c>
      <c r="AR92" s="447">
        <v>0.0259</v>
      </c>
      <c r="AS92" s="447"/>
      <c r="AT92" s="447">
        <v>0.0419</v>
      </c>
      <c r="AU92" s="635">
        <v>0.0074</v>
      </c>
      <c r="AV92" s="447">
        <v>0</v>
      </c>
      <c r="AW92" s="368"/>
      <c r="BA92" s="521">
        <v>21.698630136986</v>
      </c>
      <c r="BB92" s="522"/>
      <c r="BC92" s="447"/>
      <c r="BD92" s="447"/>
      <c r="BE92" s="447"/>
      <c r="BF92" s="447"/>
      <c r="BG92" s="447"/>
      <c r="BH92" s="760">
        <v>0.011736656165854</v>
      </c>
      <c r="BI92" s="447">
        <v>0</v>
      </c>
      <c r="BJ92" s="368"/>
    </row>
    <row r="93" spans="1:64">
      <c r="A93" s="521">
        <v>21.945205479452</v>
      </c>
      <c r="B93" s="522"/>
      <c r="C93" s="447"/>
      <c r="D93" s="447"/>
      <c r="E93" s="447"/>
      <c r="F93" s="447"/>
      <c r="G93" s="447"/>
      <c r="H93" s="447">
        <v>0.032463179655534</v>
      </c>
      <c r="I93" s="447">
        <v>0</v>
      </c>
      <c r="J93" s="368"/>
      <c r="N93" s="521">
        <v>21.945205479452</v>
      </c>
      <c r="O93" s="522"/>
      <c r="P93" s="447"/>
      <c r="Q93" s="447"/>
      <c r="R93" s="447"/>
      <c r="S93" s="447"/>
      <c r="T93" s="447"/>
      <c r="U93" s="447">
        <v>0.014214828317314</v>
      </c>
      <c r="V93" s="447">
        <v>0</v>
      </c>
      <c r="W93" s="368"/>
      <c r="AA93" s="521">
        <v>21.945205479452</v>
      </c>
      <c r="AB93" s="522"/>
      <c r="AC93" s="447"/>
      <c r="AD93" s="447"/>
      <c r="AE93" s="447"/>
      <c r="AF93" s="447"/>
      <c r="AG93" s="447"/>
      <c r="AH93" s="447">
        <v>0.012550957563486</v>
      </c>
      <c r="AI93" s="447">
        <v>0</v>
      </c>
      <c r="AJ93" s="368"/>
      <c r="AN93" s="521">
        <v>21.945205479452</v>
      </c>
      <c r="AO93" s="522"/>
      <c r="AP93" s="447">
        <v>0.0624</v>
      </c>
      <c r="AQ93" s="447">
        <v>0.0116</v>
      </c>
      <c r="AR93" s="447">
        <v>0.0259</v>
      </c>
      <c r="AS93" s="447"/>
      <c r="AT93" s="447">
        <v>0.0418</v>
      </c>
      <c r="AU93" s="635">
        <v>0.0072</v>
      </c>
      <c r="AV93" s="447">
        <v>0</v>
      </c>
      <c r="AW93" s="368"/>
      <c r="BA93" s="521">
        <v>21.945205479452</v>
      </c>
      <c r="BB93" s="522"/>
      <c r="BC93" s="447"/>
      <c r="BD93" s="447"/>
      <c r="BE93" s="447"/>
      <c r="BF93" s="447"/>
      <c r="BG93" s="447"/>
      <c r="BH93" s="760">
        <v>0.011696336681788</v>
      </c>
      <c r="BI93" s="447">
        <v>0</v>
      </c>
      <c r="BJ93" s="368"/>
    </row>
    <row r="94" spans="1:64">
      <c r="A94" s="521">
        <v>22.191780821918</v>
      </c>
      <c r="B94" s="522"/>
      <c r="C94" s="447"/>
      <c r="D94" s="447"/>
      <c r="E94" s="447"/>
      <c r="F94" s="447"/>
      <c r="G94" s="447"/>
      <c r="H94" s="447">
        <v>0.032545491730206</v>
      </c>
      <c r="I94" s="447">
        <v>0</v>
      </c>
      <c r="J94" s="368"/>
      <c r="N94" s="521">
        <v>22.191780821918</v>
      </c>
      <c r="O94" s="522"/>
      <c r="P94" s="447"/>
      <c r="Q94" s="447"/>
      <c r="R94" s="447"/>
      <c r="S94" s="447"/>
      <c r="T94" s="447"/>
      <c r="U94" s="447">
        <v>0.014135159200118</v>
      </c>
      <c r="V94" s="447">
        <v>0</v>
      </c>
      <c r="W94" s="368"/>
      <c r="AA94" s="521">
        <v>22.191780821918</v>
      </c>
      <c r="AB94" s="522"/>
      <c r="AC94" s="447"/>
      <c r="AD94" s="447"/>
      <c r="AE94" s="447"/>
      <c r="AF94" s="447"/>
      <c r="AG94" s="447"/>
      <c r="AH94" s="447">
        <v>0.012359203893084</v>
      </c>
      <c r="AI94" s="447">
        <v>0</v>
      </c>
      <c r="AJ94" s="368"/>
      <c r="AN94" s="521">
        <v>22.191780821918</v>
      </c>
      <c r="AO94" s="522"/>
      <c r="AP94" s="447">
        <v>0.0623</v>
      </c>
      <c r="AQ94" s="447">
        <v>0.0115</v>
      </c>
      <c r="AR94" s="447">
        <v>0.0259</v>
      </c>
      <c r="AS94" s="447"/>
      <c r="AT94" s="447">
        <v>0.0418</v>
      </c>
      <c r="AU94" s="635">
        <v>0.0071</v>
      </c>
      <c r="AV94" s="447">
        <v>0</v>
      </c>
      <c r="AW94" s="368"/>
      <c r="BA94" s="521">
        <v>22.191780821918</v>
      </c>
      <c r="BB94" s="522"/>
      <c r="BC94" s="447"/>
      <c r="BD94" s="447"/>
      <c r="BE94" s="447"/>
      <c r="BF94" s="447"/>
      <c r="BG94" s="447"/>
      <c r="BH94" s="760">
        <v>0.011654714068488</v>
      </c>
      <c r="BI94" s="447">
        <v>0</v>
      </c>
      <c r="BJ94" s="368"/>
    </row>
    <row r="95" spans="1:64">
      <c r="A95" s="521">
        <v>22.438356164384</v>
      </c>
      <c r="B95" s="522"/>
      <c r="C95" s="447"/>
      <c r="D95" s="447"/>
      <c r="E95" s="447"/>
      <c r="F95" s="447"/>
      <c r="G95" s="447"/>
      <c r="H95" s="447">
        <v>0.032629610146601</v>
      </c>
      <c r="I95" s="447">
        <v>0</v>
      </c>
      <c r="J95" s="368"/>
      <c r="N95" s="521">
        <v>22.438356164384</v>
      </c>
      <c r="O95" s="522"/>
      <c r="P95" s="447"/>
      <c r="Q95" s="447"/>
      <c r="R95" s="447"/>
      <c r="S95" s="447"/>
      <c r="T95" s="447"/>
      <c r="U95" s="447">
        <v>0.01405694458467</v>
      </c>
      <c r="V95" s="447">
        <v>0</v>
      </c>
      <c r="W95" s="368"/>
      <c r="AA95" s="521">
        <v>22.438356164384</v>
      </c>
      <c r="AB95" s="522"/>
      <c r="AC95" s="447"/>
      <c r="AD95" s="447"/>
      <c r="AE95" s="447"/>
      <c r="AF95" s="447"/>
      <c r="AG95" s="447"/>
      <c r="AH95" s="447">
        <v>0.012165041037035</v>
      </c>
      <c r="AI95" s="447">
        <v>0</v>
      </c>
      <c r="AJ95" s="368"/>
      <c r="AN95" s="521">
        <v>22.438356164384</v>
      </c>
      <c r="AO95" s="522"/>
      <c r="AP95" s="447">
        <v>0.0621</v>
      </c>
      <c r="AQ95" s="447">
        <v>0.0115</v>
      </c>
      <c r="AR95" s="447">
        <v>0.0259</v>
      </c>
      <c r="AS95" s="447"/>
      <c r="AT95" s="447">
        <v>0.0417</v>
      </c>
      <c r="AU95" s="635">
        <v>0.0069</v>
      </c>
      <c r="AV95" s="447">
        <v>0</v>
      </c>
      <c r="AW95" s="368"/>
      <c r="BA95" s="521">
        <v>22.438356164384</v>
      </c>
      <c r="BB95" s="522"/>
      <c r="BC95" s="447"/>
      <c r="BD95" s="447"/>
      <c r="BE95" s="447"/>
      <c r="BF95" s="447"/>
      <c r="BG95" s="447"/>
      <c r="BH95" s="760">
        <v>0.011611870118593</v>
      </c>
      <c r="BI95" s="447">
        <v>0</v>
      </c>
      <c r="BJ95" s="368"/>
    </row>
    <row r="96" spans="1:64">
      <c r="A96" s="521">
        <v>22.684931506849</v>
      </c>
      <c r="B96" s="522"/>
      <c r="C96" s="447"/>
      <c r="D96" s="447"/>
      <c r="E96" s="447"/>
      <c r="F96" s="447"/>
      <c r="G96" s="447"/>
      <c r="H96" s="447">
        <v>0.032715485463771</v>
      </c>
      <c r="I96" s="447">
        <v>0</v>
      </c>
      <c r="J96" s="368"/>
      <c r="N96" s="521">
        <v>22.684931506849</v>
      </c>
      <c r="O96" s="522"/>
      <c r="P96" s="447"/>
      <c r="Q96" s="447"/>
      <c r="R96" s="447"/>
      <c r="S96" s="447"/>
      <c r="T96" s="447"/>
      <c r="U96" s="447">
        <v>0.013980194642449</v>
      </c>
      <c r="V96" s="447">
        <v>0</v>
      </c>
      <c r="W96" s="368"/>
      <c r="AA96" s="521">
        <v>22.684931506849</v>
      </c>
      <c r="AB96" s="522"/>
      <c r="AC96" s="447"/>
      <c r="AD96" s="447"/>
      <c r="AE96" s="447"/>
      <c r="AF96" s="447"/>
      <c r="AG96" s="447"/>
      <c r="AH96" s="447">
        <v>0.011968553641082</v>
      </c>
      <c r="AI96" s="447">
        <v>0</v>
      </c>
      <c r="AJ96" s="368"/>
      <c r="AN96" s="521">
        <v>22.684931506849</v>
      </c>
      <c r="AO96" s="522"/>
      <c r="AP96" s="447">
        <v>0.062</v>
      </c>
      <c r="AQ96" s="447">
        <v>0.0115</v>
      </c>
      <c r="AR96" s="447">
        <v>0.0259</v>
      </c>
      <c r="AS96" s="447"/>
      <c r="AT96" s="447">
        <v>0.0416</v>
      </c>
      <c r="AU96" s="635">
        <v>0.0068</v>
      </c>
      <c r="AV96" s="447">
        <v>0</v>
      </c>
      <c r="AW96" s="368"/>
      <c r="BA96" s="521">
        <v>22.684931506849</v>
      </c>
      <c r="BB96" s="522"/>
      <c r="BC96" s="447"/>
      <c r="BD96" s="447"/>
      <c r="BE96" s="447"/>
      <c r="BF96" s="447"/>
      <c r="BG96" s="447"/>
      <c r="BH96" s="760">
        <v>0.011567885739822</v>
      </c>
      <c r="BI96" s="447">
        <v>0</v>
      </c>
      <c r="BJ96" s="368"/>
    </row>
    <row r="97" spans="1:64">
      <c r="A97" s="521">
        <v>22.931506849315</v>
      </c>
      <c r="B97" s="522"/>
      <c r="C97" s="447"/>
      <c r="D97" s="447"/>
      <c r="E97" s="447"/>
      <c r="F97" s="447"/>
      <c r="G97" s="447"/>
      <c r="H97" s="447">
        <v>0.032803064343923</v>
      </c>
      <c r="I97" s="447">
        <v>0</v>
      </c>
      <c r="J97" s="368"/>
      <c r="N97" s="521">
        <v>22.931506849315</v>
      </c>
      <c r="O97" s="522"/>
      <c r="P97" s="447"/>
      <c r="Q97" s="447"/>
      <c r="R97" s="447"/>
      <c r="S97" s="447"/>
      <c r="T97" s="447"/>
      <c r="U97" s="447">
        <v>0.013904913930282</v>
      </c>
      <c r="V97" s="447">
        <v>0</v>
      </c>
      <c r="W97" s="368"/>
      <c r="AA97" s="521">
        <v>22.931506849315</v>
      </c>
      <c r="AB97" s="522"/>
      <c r="AC97" s="447"/>
      <c r="AD97" s="447"/>
      <c r="AE97" s="447"/>
      <c r="AF97" s="447"/>
      <c r="AG97" s="447"/>
      <c r="AH97" s="447">
        <v>0.011769822471464</v>
      </c>
      <c r="AI97" s="447">
        <v>0</v>
      </c>
      <c r="AJ97" s="368"/>
      <c r="AN97" s="521">
        <v>22.931506849315</v>
      </c>
      <c r="AO97" s="522"/>
      <c r="AP97" s="447">
        <v>0.0619</v>
      </c>
      <c r="AQ97" s="447">
        <v>0.0114</v>
      </c>
      <c r="AR97" s="447">
        <v>0.0259</v>
      </c>
      <c r="AS97" s="447"/>
      <c r="AT97" s="447">
        <v>0.0416</v>
      </c>
      <c r="AU97" s="635">
        <v>0.0066</v>
      </c>
      <c r="AV97" s="447">
        <v>0</v>
      </c>
      <c r="AW97" s="368"/>
      <c r="BA97" s="521">
        <v>22.931506849315</v>
      </c>
      <c r="BB97" s="522"/>
      <c r="BC97" s="447"/>
      <c r="BD97" s="447"/>
      <c r="BE97" s="447"/>
      <c r="BF97" s="447"/>
      <c r="BG97" s="447"/>
      <c r="BH97" s="760">
        <v>0.011522834256322</v>
      </c>
      <c r="BI97" s="447">
        <v>0</v>
      </c>
      <c r="BJ97" s="368"/>
    </row>
    <row r="98" spans="1:64">
      <c r="A98" s="521">
        <v>23.178082191781</v>
      </c>
      <c r="B98" s="522"/>
      <c r="C98" s="447"/>
      <c r="D98" s="447"/>
      <c r="E98" s="447"/>
      <c r="F98" s="447"/>
      <c r="G98" s="447"/>
      <c r="H98" s="447">
        <v>0.032892294532688</v>
      </c>
      <c r="I98" s="447">
        <v>0</v>
      </c>
      <c r="J98" s="368"/>
      <c r="N98" s="521">
        <v>23.178082191781</v>
      </c>
      <c r="O98" s="522"/>
      <c r="P98" s="447"/>
      <c r="Q98" s="447"/>
      <c r="R98" s="447"/>
      <c r="S98" s="447"/>
      <c r="T98" s="447"/>
      <c r="U98" s="447">
        <v>0.013831107029829</v>
      </c>
      <c r="V98" s="447">
        <v>0</v>
      </c>
      <c r="W98" s="368"/>
      <c r="AA98" s="521">
        <v>23.178082191781</v>
      </c>
      <c r="AB98" s="522"/>
      <c r="AC98" s="447"/>
      <c r="AD98" s="447"/>
      <c r="AE98" s="447"/>
      <c r="AF98" s="447"/>
      <c r="AG98" s="447"/>
      <c r="AH98" s="447">
        <v>0.011568926275142</v>
      </c>
      <c r="AI98" s="447">
        <v>0</v>
      </c>
      <c r="AJ98" s="368"/>
      <c r="AN98" s="521">
        <v>23.178082191781</v>
      </c>
      <c r="AO98" s="522"/>
      <c r="AP98" s="447">
        <v>0.0617</v>
      </c>
      <c r="AQ98" s="447">
        <v>0.0114</v>
      </c>
      <c r="AR98" s="447">
        <v>0.0259</v>
      </c>
      <c r="AS98" s="447"/>
      <c r="AT98" s="447">
        <v>0.0415</v>
      </c>
      <c r="AU98" s="635">
        <v>0.0065</v>
      </c>
      <c r="AV98" s="447">
        <v>0</v>
      </c>
      <c r="AW98" s="368"/>
      <c r="BA98" s="521">
        <v>23.178082191781</v>
      </c>
      <c r="BB98" s="522"/>
      <c r="BC98" s="447"/>
      <c r="BD98" s="447"/>
      <c r="BE98" s="447"/>
      <c r="BF98" s="447"/>
      <c r="BG98" s="447"/>
      <c r="BH98" s="760">
        <v>0.011476786206852</v>
      </c>
      <c r="BI98" s="447">
        <v>0</v>
      </c>
      <c r="BJ98" s="368"/>
    </row>
    <row r="99" spans="1:64">
      <c r="A99" s="521">
        <v>23.424657534247</v>
      </c>
      <c r="B99" s="522"/>
      <c r="C99" s="447"/>
      <c r="D99" s="447"/>
      <c r="E99" s="447"/>
      <c r="F99" s="447"/>
      <c r="G99" s="447"/>
      <c r="H99" s="447">
        <v>0.032983126756443</v>
      </c>
      <c r="I99" s="447">
        <v>0</v>
      </c>
      <c r="J99" s="368"/>
      <c r="N99" s="521">
        <v>23.424657534247</v>
      </c>
      <c r="O99" s="522"/>
      <c r="P99" s="447"/>
      <c r="Q99" s="447"/>
      <c r="R99" s="447"/>
      <c r="S99" s="447"/>
      <c r="T99" s="447"/>
      <c r="U99" s="447">
        <v>0.013758775747618</v>
      </c>
      <c r="V99" s="447">
        <v>0</v>
      </c>
      <c r="W99" s="368"/>
      <c r="AA99" s="521">
        <v>23.424657534247</v>
      </c>
      <c r="AB99" s="522"/>
      <c r="AC99" s="447"/>
      <c r="AD99" s="447"/>
      <c r="AE99" s="447"/>
      <c r="AF99" s="447"/>
      <c r="AG99" s="447"/>
      <c r="AH99" s="447">
        <v>0.01136594560753</v>
      </c>
      <c r="AI99" s="447">
        <v>0</v>
      </c>
      <c r="AJ99" s="368"/>
      <c r="AN99" s="521">
        <v>23.424657534247</v>
      </c>
      <c r="AO99" s="522"/>
      <c r="AP99" s="447">
        <v>0.0615</v>
      </c>
      <c r="AQ99" s="447">
        <v>0.0114</v>
      </c>
      <c r="AR99" s="447">
        <v>0.0259</v>
      </c>
      <c r="AS99" s="447"/>
      <c r="AT99" s="447">
        <v>0.0414</v>
      </c>
      <c r="AU99" s="635">
        <v>0.0064</v>
      </c>
      <c r="AV99" s="447">
        <v>0</v>
      </c>
      <c r="AW99" s="368"/>
      <c r="BA99" s="521">
        <v>23.424657534247</v>
      </c>
      <c r="BB99" s="522"/>
      <c r="BC99" s="447"/>
      <c r="BD99" s="447"/>
      <c r="BE99" s="447"/>
      <c r="BF99" s="447"/>
      <c r="BG99" s="447"/>
      <c r="BH99" s="760">
        <v>0.011429813102138</v>
      </c>
      <c r="BI99" s="447">
        <v>0</v>
      </c>
      <c r="BJ99" s="368"/>
    </row>
    <row r="100" spans="1:64">
      <c r="A100" s="521">
        <v>23.671232876712</v>
      </c>
      <c r="B100" s="522"/>
      <c r="C100" s="447"/>
      <c r="D100" s="447"/>
      <c r="E100" s="447"/>
      <c r="F100" s="447"/>
      <c r="G100" s="447"/>
      <c r="H100" s="447">
        <v>0.033075510796598</v>
      </c>
      <c r="I100" s="447">
        <v>0</v>
      </c>
      <c r="J100" s="368"/>
      <c r="N100" s="521">
        <v>23.671232876712</v>
      </c>
      <c r="O100" s="522"/>
      <c r="P100" s="447"/>
      <c r="Q100" s="447"/>
      <c r="R100" s="447"/>
      <c r="S100" s="447"/>
      <c r="T100" s="447"/>
      <c r="U100" s="447">
        <v>0.013687921914433</v>
      </c>
      <c r="V100" s="447">
        <v>0</v>
      </c>
      <c r="W100" s="368"/>
      <c r="AA100" s="521">
        <v>23.671232876712</v>
      </c>
      <c r="AB100" s="522"/>
      <c r="AC100" s="447"/>
      <c r="AD100" s="447"/>
      <c r="AE100" s="447"/>
      <c r="AF100" s="447"/>
      <c r="AG100" s="447"/>
      <c r="AH100" s="447">
        <v>0.011160953331525</v>
      </c>
      <c r="AI100" s="447">
        <v>0</v>
      </c>
      <c r="AJ100" s="368"/>
      <c r="AN100" s="521">
        <v>23.671232876712</v>
      </c>
      <c r="AO100" s="522"/>
      <c r="AP100" s="447">
        <v>0.0614</v>
      </c>
      <c r="AQ100" s="447">
        <v>0.0113</v>
      </c>
      <c r="AR100" s="447">
        <v>0.0259</v>
      </c>
      <c r="AS100" s="447"/>
      <c r="AT100" s="447">
        <v>0.0414</v>
      </c>
      <c r="AU100" s="635">
        <v>0.0062</v>
      </c>
      <c r="AV100" s="447">
        <v>0</v>
      </c>
      <c r="AW100" s="368"/>
      <c r="BA100" s="521">
        <v>23.671232876712</v>
      </c>
      <c r="BB100" s="522"/>
      <c r="BC100" s="447"/>
      <c r="BD100" s="447"/>
      <c r="BE100" s="447"/>
      <c r="BF100" s="447"/>
      <c r="BG100" s="447"/>
      <c r="BH100" s="760">
        <v>0.011381979839379</v>
      </c>
      <c r="BI100" s="447">
        <v>0</v>
      </c>
      <c r="BJ100" s="368"/>
    </row>
    <row r="101" spans="1:64">
      <c r="A101" s="521">
        <v>23.917808219178</v>
      </c>
      <c r="B101" s="522"/>
      <c r="C101" s="447"/>
      <c r="D101" s="447"/>
      <c r="E101" s="447"/>
      <c r="F101" s="447"/>
      <c r="G101" s="447"/>
      <c r="H101" s="447">
        <v>0.033169397449639</v>
      </c>
      <c r="I101" s="447">
        <v>0</v>
      </c>
      <c r="J101" s="368"/>
      <c r="N101" s="521">
        <v>23.917808219178</v>
      </c>
      <c r="O101" s="522"/>
      <c r="P101" s="447"/>
      <c r="Q101" s="447"/>
      <c r="R101" s="447"/>
      <c r="S101" s="447"/>
      <c r="T101" s="447"/>
      <c r="U101" s="447">
        <v>0.013618545510055</v>
      </c>
      <c r="V101" s="447">
        <v>0</v>
      </c>
      <c r="W101" s="368"/>
      <c r="AA101" s="521">
        <v>23.917808219178</v>
      </c>
      <c r="AB101" s="522"/>
      <c r="AC101" s="447"/>
      <c r="AD101" s="447"/>
      <c r="AE101" s="447"/>
      <c r="AF101" s="447"/>
      <c r="AG101" s="447"/>
      <c r="AH101" s="447">
        <v>0.010954025054168</v>
      </c>
      <c r="AI101" s="447">
        <v>0</v>
      </c>
      <c r="AJ101" s="368"/>
      <c r="AN101" s="521">
        <v>23.917808219178</v>
      </c>
      <c r="AO101" s="522"/>
      <c r="AP101" s="447">
        <v>0.0612</v>
      </c>
      <c r="AQ101" s="447">
        <v>0.0113</v>
      </c>
      <c r="AR101" s="447">
        <v>0.0259</v>
      </c>
      <c r="AS101" s="447"/>
      <c r="AT101" s="447">
        <v>0.0413</v>
      </c>
      <c r="AU101" s="635">
        <v>0.0061</v>
      </c>
      <c r="AV101" s="447">
        <v>0</v>
      </c>
      <c r="AW101" s="368"/>
      <c r="BA101" s="521">
        <v>23.917808219178</v>
      </c>
      <c r="BB101" s="522"/>
      <c r="BC101" s="447"/>
      <c r="BD101" s="447"/>
      <c r="BE101" s="447"/>
      <c r="BF101" s="447"/>
      <c r="BG101" s="447"/>
      <c r="BH101" s="760">
        <v>0.011333348513954</v>
      </c>
      <c r="BI101" s="447">
        <v>0</v>
      </c>
      <c r="BJ101" s="368"/>
    </row>
    <row r="102" spans="1:64">
      <c r="A102" s="521">
        <v>24.164383561644</v>
      </c>
      <c r="B102" s="522"/>
      <c r="C102" s="447"/>
      <c r="D102" s="447"/>
      <c r="E102" s="447"/>
      <c r="F102" s="447"/>
      <c r="G102" s="447"/>
      <c r="H102" s="447">
        <v>0.033264737624563</v>
      </c>
      <c r="I102" s="447">
        <v>0</v>
      </c>
      <c r="J102" s="368"/>
      <c r="N102" s="521">
        <v>24.164383561644</v>
      </c>
      <c r="O102" s="522"/>
      <c r="P102" s="447"/>
      <c r="Q102" s="447"/>
      <c r="R102" s="447"/>
      <c r="S102" s="447"/>
      <c r="T102" s="447"/>
      <c r="U102" s="447">
        <v>0.013550646550664</v>
      </c>
      <c r="V102" s="447">
        <v>0</v>
      </c>
      <c r="W102" s="368"/>
      <c r="AA102" s="521">
        <v>24.164383561644</v>
      </c>
      <c r="AB102" s="522"/>
      <c r="AC102" s="447"/>
      <c r="AD102" s="447"/>
      <c r="AE102" s="447"/>
      <c r="AF102" s="447"/>
      <c r="AG102" s="447"/>
      <c r="AH102" s="447">
        <v>0.010745231531686</v>
      </c>
      <c r="AI102" s="447">
        <v>0</v>
      </c>
      <c r="AJ102" s="368"/>
      <c r="AN102" s="521">
        <v>24.164383561644</v>
      </c>
      <c r="AO102" s="522"/>
      <c r="AP102" s="447">
        <v>0.0611</v>
      </c>
      <c r="AQ102" s="447">
        <v>0.0112</v>
      </c>
      <c r="AR102" s="447">
        <v>0.0259</v>
      </c>
      <c r="AS102" s="447"/>
      <c r="AT102" s="447">
        <v>0.0413</v>
      </c>
      <c r="AU102" s="635">
        <v>0.0059</v>
      </c>
      <c r="AV102" s="447">
        <v>0</v>
      </c>
      <c r="AW102" s="368"/>
      <c r="BA102" s="521">
        <v>24.164383561644</v>
      </c>
      <c r="BB102" s="522"/>
      <c r="BC102" s="447"/>
      <c r="BD102" s="447"/>
      <c r="BE102" s="447"/>
      <c r="BF102" s="447"/>
      <c r="BG102" s="447"/>
      <c r="BH102" s="760">
        <v>0.011283981267028</v>
      </c>
      <c r="BI102" s="447">
        <v>0</v>
      </c>
      <c r="BJ102" s="368"/>
    </row>
    <row r="103" spans="1:64">
      <c r="A103" s="521">
        <v>24.41095890411</v>
      </c>
      <c r="B103" s="522"/>
      <c r="C103" s="447"/>
      <c r="D103" s="447"/>
      <c r="E103" s="447"/>
      <c r="F103" s="447"/>
      <c r="G103" s="447"/>
      <c r="H103" s="447">
        <v>0.033361483178773</v>
      </c>
      <c r="I103" s="447">
        <v>0</v>
      </c>
      <c r="J103" s="368"/>
      <c r="N103" s="521">
        <v>24.41095890411</v>
      </c>
      <c r="O103" s="522"/>
      <c r="P103" s="447"/>
      <c r="Q103" s="447"/>
      <c r="R103" s="447"/>
      <c r="S103" s="447"/>
      <c r="T103" s="447"/>
      <c r="U103" s="447">
        <v>0.013484223226005</v>
      </c>
      <c r="V103" s="447">
        <v>0</v>
      </c>
      <c r="W103" s="368"/>
      <c r="AA103" s="521">
        <v>24.41095890411</v>
      </c>
      <c r="AB103" s="522"/>
      <c r="AC103" s="447"/>
      <c r="AD103" s="447"/>
      <c r="AE103" s="447"/>
      <c r="AF103" s="447"/>
      <c r="AG103" s="447"/>
      <c r="AH103" s="447">
        <v>0.010534642484567</v>
      </c>
      <c r="AI103" s="447">
        <v>0</v>
      </c>
      <c r="AJ103" s="368"/>
      <c r="AN103" s="521">
        <v>24.41095890411</v>
      </c>
      <c r="AO103" s="522"/>
      <c r="AP103" s="447">
        <v>0.0609</v>
      </c>
      <c r="AQ103" s="447">
        <v>0.0112</v>
      </c>
      <c r="AR103" s="447">
        <v>0.0259</v>
      </c>
      <c r="AS103" s="447"/>
      <c r="AT103" s="447">
        <v>0.0412</v>
      </c>
      <c r="AU103" s="635">
        <v>0.0058</v>
      </c>
      <c r="AV103" s="447">
        <v>0</v>
      </c>
      <c r="AW103" s="368"/>
      <c r="BA103" s="521">
        <v>24.41095890411</v>
      </c>
      <c r="BB103" s="522"/>
      <c r="BC103" s="447"/>
      <c r="BD103" s="447"/>
      <c r="BE103" s="447"/>
      <c r="BF103" s="447"/>
      <c r="BG103" s="447"/>
      <c r="BH103" s="760">
        <v>0.011233935514337</v>
      </c>
      <c r="BI103" s="447">
        <v>0</v>
      </c>
      <c r="BJ103" s="368"/>
    </row>
    <row r="104" spans="1:64">
      <c r="A104" s="521">
        <v>24.657534246575</v>
      </c>
      <c r="B104" s="522"/>
      <c r="C104" s="447"/>
      <c r="D104" s="447"/>
      <c r="E104" s="447"/>
      <c r="F104" s="447"/>
      <c r="G104" s="447"/>
      <c r="H104" s="447">
        <v>0.033459586980534</v>
      </c>
      <c r="I104" s="447">
        <v>0</v>
      </c>
      <c r="J104" s="368"/>
      <c r="N104" s="521">
        <v>24.657534246575</v>
      </c>
      <c r="O104" s="522"/>
      <c r="P104" s="447"/>
      <c r="Q104" s="447"/>
      <c r="R104" s="447"/>
      <c r="S104" s="447"/>
      <c r="T104" s="447"/>
      <c r="U104" s="447">
        <v>0.013419271848343</v>
      </c>
      <c r="V104" s="447">
        <v>0</v>
      </c>
      <c r="W104" s="368"/>
      <c r="AA104" s="521">
        <v>24.657534246575</v>
      </c>
      <c r="AB104" s="522"/>
      <c r="AC104" s="447"/>
      <c r="AD104" s="447"/>
      <c r="AE104" s="447"/>
      <c r="AF104" s="447"/>
      <c r="AG104" s="447"/>
      <c r="AH104" s="447">
        <v>0.010322329440066</v>
      </c>
      <c r="AI104" s="447">
        <v>0</v>
      </c>
      <c r="AJ104" s="368"/>
      <c r="AN104" s="521">
        <v>24.657534246575</v>
      </c>
      <c r="AO104" s="522"/>
      <c r="AP104" s="447">
        <v>0.0607</v>
      </c>
      <c r="AQ104" s="447">
        <v>0.0111</v>
      </c>
      <c r="AR104" s="447">
        <v>0.0259</v>
      </c>
      <c r="AS104" s="447"/>
      <c r="AT104" s="447">
        <v>0.0412</v>
      </c>
      <c r="AU104" s="635">
        <v>0.0056</v>
      </c>
      <c r="AV104" s="447">
        <v>0</v>
      </c>
      <c r="AW104" s="368"/>
      <c r="BA104" s="521">
        <v>24.657534246575</v>
      </c>
      <c r="BB104" s="522"/>
      <c r="BC104" s="447"/>
      <c r="BD104" s="447"/>
      <c r="BE104" s="447"/>
      <c r="BF104" s="447"/>
      <c r="BG104" s="447"/>
      <c r="BH104" s="760">
        <v>0.011183265884059</v>
      </c>
      <c r="BI104" s="447">
        <v>0</v>
      </c>
      <c r="BJ104" s="368"/>
    </row>
    <row r="105" spans="1:64">
      <c r="A105" s="521">
        <v>24.904109589041</v>
      </c>
      <c r="B105" s="522"/>
      <c r="C105" s="447"/>
      <c r="D105" s="447"/>
      <c r="E105" s="447"/>
      <c r="F105" s="447"/>
      <c r="G105" s="447"/>
      <c r="H105" s="447">
        <v>0.033559003005116</v>
      </c>
      <c r="I105" s="447">
        <v>0</v>
      </c>
      <c r="J105" s="368"/>
      <c r="N105" s="521">
        <v>24.904109589041</v>
      </c>
      <c r="O105" s="522"/>
      <c r="P105" s="447"/>
      <c r="Q105" s="447"/>
      <c r="R105" s="447"/>
      <c r="S105" s="447"/>
      <c r="T105" s="447"/>
      <c r="U105" s="447">
        <v>0.013355789702361</v>
      </c>
      <c r="V105" s="447">
        <v>0</v>
      </c>
      <c r="W105" s="368"/>
      <c r="AA105" s="521">
        <v>24.904109589041</v>
      </c>
      <c r="AB105" s="522"/>
      <c r="AC105" s="447"/>
      <c r="AD105" s="447"/>
      <c r="AE105" s="447"/>
      <c r="AF105" s="447"/>
      <c r="AG105" s="447"/>
      <c r="AH105" s="447">
        <v>0.010108355283161</v>
      </c>
      <c r="AI105" s="447">
        <v>0</v>
      </c>
      <c r="AJ105" s="368"/>
      <c r="AN105" s="521">
        <v>24.904109589041</v>
      </c>
      <c r="AO105" s="522"/>
      <c r="AP105" s="447">
        <v>0.0605</v>
      </c>
      <c r="AQ105" s="447">
        <v>0.0111</v>
      </c>
      <c r="AR105" s="447">
        <v>0.0259</v>
      </c>
      <c r="AS105" s="447"/>
      <c r="AT105" s="447">
        <v>0.0411</v>
      </c>
      <c r="AU105" s="635">
        <v>0.0055</v>
      </c>
      <c r="AV105" s="447">
        <v>0</v>
      </c>
      <c r="AW105" s="368"/>
      <c r="BA105" s="521">
        <v>24.904109589041</v>
      </c>
      <c r="BB105" s="522"/>
      <c r="BC105" s="447"/>
      <c r="BD105" s="447"/>
      <c r="BE105" s="447"/>
      <c r="BF105" s="447"/>
      <c r="BG105" s="447"/>
      <c r="BH105" s="760">
        <v>0.011132026069382</v>
      </c>
      <c r="BI105" s="447">
        <v>0</v>
      </c>
      <c r="BJ105" s="368"/>
    </row>
    <row r="106" spans="1:64">
      <c r="A106" s="521">
        <v>25.150684931507</v>
      </c>
      <c r="B106" s="522"/>
      <c r="C106" s="447"/>
      <c r="D106" s="447"/>
      <c r="E106" s="447"/>
      <c r="F106" s="447"/>
      <c r="G106" s="447"/>
      <c r="H106" s="447">
        <v>0.033659684176946</v>
      </c>
      <c r="I106" s="447">
        <v>0</v>
      </c>
      <c r="J106" s="368"/>
      <c r="N106" s="521">
        <v>25.150684931507</v>
      </c>
      <c r="O106" s="522"/>
      <c r="P106" s="447"/>
      <c r="Q106" s="447"/>
      <c r="R106" s="447"/>
      <c r="S106" s="447"/>
      <c r="T106" s="447"/>
      <c r="U106" s="447">
        <v>0.013293771295163</v>
      </c>
      <c r="V106" s="447">
        <v>0</v>
      </c>
      <c r="W106" s="368"/>
      <c r="AA106" s="521">
        <v>25.150684931507</v>
      </c>
      <c r="AB106" s="522"/>
      <c r="AC106" s="447"/>
      <c r="AD106" s="447"/>
      <c r="AE106" s="447"/>
      <c r="AF106" s="447"/>
      <c r="AG106" s="447"/>
      <c r="AH106" s="447">
        <v>0.0098927875425388</v>
      </c>
      <c r="AI106" s="447">
        <v>0</v>
      </c>
      <c r="AJ106" s="368"/>
      <c r="AN106" s="521">
        <v>25.150684931507</v>
      </c>
      <c r="AO106" s="522"/>
      <c r="AP106" s="447">
        <v>0.0603</v>
      </c>
      <c r="AQ106" s="447">
        <v>0.011</v>
      </c>
      <c r="AR106" s="447">
        <v>0.0259</v>
      </c>
      <c r="AS106" s="447"/>
      <c r="AT106" s="447">
        <v>0.0411</v>
      </c>
      <c r="AU106" s="635">
        <v>0.0054</v>
      </c>
      <c r="AV106" s="447">
        <v>0</v>
      </c>
      <c r="AW106" s="368"/>
      <c r="BA106" s="521">
        <v>25.150684931507</v>
      </c>
      <c r="BB106" s="522"/>
      <c r="BC106" s="447"/>
      <c r="BD106" s="447"/>
      <c r="BE106" s="447"/>
      <c r="BF106" s="447"/>
      <c r="BG106" s="447"/>
      <c r="BH106" s="760">
        <v>0.011080266025389</v>
      </c>
      <c r="BI106" s="447">
        <v>0</v>
      </c>
      <c r="BJ106" s="368"/>
    </row>
    <row r="107" spans="1:64">
      <c r="A107" s="521">
        <v>25.397260273973</v>
      </c>
      <c r="B107" s="522"/>
      <c r="C107" s="447"/>
      <c r="D107" s="447"/>
      <c r="E107" s="447"/>
      <c r="F107" s="447"/>
      <c r="G107" s="447"/>
      <c r="H107" s="447">
        <v>0.033761585458508</v>
      </c>
      <c r="I107" s="447">
        <v>0</v>
      </c>
      <c r="J107" s="368"/>
      <c r="N107" s="521">
        <v>25.397260273973</v>
      </c>
      <c r="O107" s="522"/>
      <c r="P107" s="447"/>
      <c r="Q107" s="447"/>
      <c r="R107" s="447"/>
      <c r="S107" s="447"/>
      <c r="T107" s="447"/>
      <c r="U107" s="447">
        <v>0.013233211155257</v>
      </c>
      <c r="V107" s="447">
        <v>0</v>
      </c>
      <c r="W107" s="368"/>
      <c r="AA107" s="521">
        <v>25.397260273973</v>
      </c>
      <c r="AB107" s="522"/>
      <c r="AC107" s="447"/>
      <c r="AD107" s="447"/>
      <c r="AE107" s="447"/>
      <c r="AF107" s="447"/>
      <c r="AG107" s="447"/>
      <c r="AH107" s="447">
        <v>0.0096756908229347</v>
      </c>
      <c r="AI107" s="447">
        <v>0</v>
      </c>
      <c r="AJ107" s="368"/>
      <c r="AN107" s="521">
        <v>25.397260273973</v>
      </c>
      <c r="AO107" s="522"/>
      <c r="AP107" s="447">
        <v>0.0602</v>
      </c>
      <c r="AQ107" s="447">
        <v>0.011</v>
      </c>
      <c r="AR107" s="447">
        <v>0.0258</v>
      </c>
      <c r="AS107" s="447"/>
      <c r="AT107" s="447">
        <v>0.041</v>
      </c>
      <c r="AU107" s="635">
        <v>0.0052</v>
      </c>
      <c r="AV107" s="447">
        <v>0</v>
      </c>
      <c r="AW107" s="368"/>
      <c r="BA107" s="521">
        <v>25.397260273973</v>
      </c>
      <c r="BB107" s="522"/>
      <c r="BC107" s="447"/>
      <c r="BD107" s="447"/>
      <c r="BE107" s="447"/>
      <c r="BF107" s="447"/>
      <c r="BG107" s="447"/>
      <c r="BH107" s="760">
        <v>0.011028034794796</v>
      </c>
      <c r="BI107" s="447">
        <v>0</v>
      </c>
      <c r="BJ107" s="368"/>
    </row>
    <row r="108" spans="1:64">
      <c r="A108" s="521">
        <v>25.643835616438</v>
      </c>
      <c r="B108" s="522"/>
      <c r="C108" s="447"/>
      <c r="D108" s="447"/>
      <c r="E108" s="447"/>
      <c r="F108" s="447"/>
      <c r="G108" s="447"/>
      <c r="H108" s="447">
        <v>0.033864663785544</v>
      </c>
      <c r="I108" s="447">
        <v>0</v>
      </c>
      <c r="J108" s="368"/>
      <c r="N108" s="521">
        <v>25.643835616438</v>
      </c>
      <c r="O108" s="522"/>
      <c r="P108" s="447"/>
      <c r="Q108" s="447"/>
      <c r="R108" s="447"/>
      <c r="S108" s="447"/>
      <c r="T108" s="447"/>
      <c r="U108" s="447">
        <v>0.013174103844406</v>
      </c>
      <c r="V108" s="447">
        <v>0</v>
      </c>
      <c r="W108" s="368"/>
      <c r="AA108" s="521">
        <v>25.643835616438</v>
      </c>
      <c r="AB108" s="522"/>
      <c r="AC108" s="447"/>
      <c r="AD108" s="447"/>
      <c r="AE108" s="447"/>
      <c r="AF108" s="447"/>
      <c r="AG108" s="447"/>
      <c r="AH108" s="447">
        <v>0.0094571248930311</v>
      </c>
      <c r="AI108" s="447">
        <v>0</v>
      </c>
      <c r="AJ108" s="368"/>
      <c r="AN108" s="521">
        <v>25.643835616438</v>
      </c>
      <c r="AO108" s="522"/>
      <c r="AP108" s="447">
        <v>0.06</v>
      </c>
      <c r="AQ108" s="447">
        <v>0.0109</v>
      </c>
      <c r="AR108" s="447">
        <v>0.0258</v>
      </c>
      <c r="AS108" s="447"/>
      <c r="AT108" s="447">
        <v>0.041</v>
      </c>
      <c r="AU108" s="635">
        <v>0.0051</v>
      </c>
      <c r="AV108" s="447">
        <v>0</v>
      </c>
      <c r="AW108" s="368"/>
      <c r="BA108" s="521">
        <v>25.643835616438</v>
      </c>
      <c r="BB108" s="522"/>
      <c r="BC108" s="447"/>
      <c r="BD108" s="447"/>
      <c r="BE108" s="447"/>
      <c r="BF108" s="447"/>
      <c r="BG108" s="447"/>
      <c r="BH108" s="760">
        <v>0.010975378593919</v>
      </c>
      <c r="BI108" s="447">
        <v>0</v>
      </c>
      <c r="BJ108" s="368"/>
    </row>
    <row r="109" spans="1:64">
      <c r="A109" s="521">
        <v>25.890410958904</v>
      </c>
      <c r="B109" s="522"/>
      <c r="C109" s="447"/>
      <c r="D109" s="447"/>
      <c r="E109" s="447"/>
      <c r="F109" s="447"/>
      <c r="G109" s="447"/>
      <c r="H109" s="447">
        <v>0.033968875137128</v>
      </c>
      <c r="I109" s="447">
        <v>0</v>
      </c>
      <c r="J109" s="368"/>
      <c r="N109" s="521">
        <v>25.890410958904</v>
      </c>
      <c r="O109" s="522"/>
      <c r="P109" s="447"/>
      <c r="Q109" s="447"/>
      <c r="R109" s="447"/>
      <c r="S109" s="447"/>
      <c r="T109" s="447"/>
      <c r="U109" s="447">
        <v>0.013116443007397</v>
      </c>
      <c r="V109" s="447">
        <v>0</v>
      </c>
      <c r="W109" s="368"/>
      <c r="AA109" s="521">
        <v>25.890410958904</v>
      </c>
      <c r="AB109" s="522"/>
      <c r="AC109" s="447"/>
      <c r="AD109" s="447"/>
      <c r="AE109" s="447"/>
      <c r="AF109" s="447"/>
      <c r="AG109" s="447"/>
      <c r="AH109" s="447">
        <v>0.009237151313946</v>
      </c>
      <c r="AI109" s="447">
        <v>0</v>
      </c>
      <c r="AJ109" s="368"/>
      <c r="AN109" s="521">
        <v>25.890410958904</v>
      </c>
      <c r="AO109" s="522"/>
      <c r="AP109" s="447">
        <v>0.0598</v>
      </c>
      <c r="AQ109" s="447">
        <v>0.0109</v>
      </c>
      <c r="AR109" s="447">
        <v>0.0258</v>
      </c>
      <c r="AS109" s="447"/>
      <c r="AT109" s="447">
        <v>0.041</v>
      </c>
      <c r="AU109" s="635">
        <v>0.0049</v>
      </c>
      <c r="AV109" s="447">
        <v>0</v>
      </c>
      <c r="AW109" s="368"/>
      <c r="BA109" s="521">
        <v>25.890410958904</v>
      </c>
      <c r="BB109" s="522"/>
      <c r="BC109" s="447"/>
      <c r="BD109" s="447"/>
      <c r="BE109" s="447"/>
      <c r="BF109" s="447"/>
      <c r="BG109" s="447"/>
      <c r="BH109" s="760">
        <v>0.010922340844533</v>
      </c>
      <c r="BI109" s="447">
        <v>0</v>
      </c>
      <c r="BJ109" s="368"/>
    </row>
    <row r="110" spans="1:64">
      <c r="A110" s="521">
        <v>26.13698630137</v>
      </c>
      <c r="B110" s="522"/>
      <c r="C110" s="447"/>
      <c r="D110" s="447"/>
      <c r="E110" s="447"/>
      <c r="F110" s="447"/>
      <c r="G110" s="447"/>
      <c r="H110" s="447">
        <v>0.034074174567118</v>
      </c>
      <c r="I110" s="447">
        <v>0</v>
      </c>
      <c r="J110" s="368"/>
      <c r="N110" s="521">
        <v>26.13698630137</v>
      </c>
      <c r="O110" s="522"/>
      <c r="P110" s="447"/>
      <c r="Q110" s="447"/>
      <c r="R110" s="447"/>
      <c r="S110" s="447"/>
      <c r="T110" s="447"/>
      <c r="U110" s="447">
        <v>0.01306021949734</v>
      </c>
      <c r="V110" s="447">
        <v>0</v>
      </c>
      <c r="W110" s="368"/>
      <c r="AA110" s="521">
        <v>26.13698630137</v>
      </c>
      <c r="AB110" s="522"/>
      <c r="AC110" s="447"/>
      <c r="AD110" s="447"/>
      <c r="AE110" s="447"/>
      <c r="AF110" s="447"/>
      <c r="AG110" s="447"/>
      <c r="AH110" s="447">
        <v>0.0090158296812477</v>
      </c>
      <c r="AI110" s="447">
        <v>0</v>
      </c>
      <c r="AJ110" s="368"/>
      <c r="AN110" s="521">
        <v>26.13698630137</v>
      </c>
      <c r="AO110" s="522"/>
      <c r="AP110" s="447">
        <v>0.0596</v>
      </c>
      <c r="AQ110" s="447">
        <v>0.0108</v>
      </c>
      <c r="AR110" s="447">
        <v>0.0258</v>
      </c>
      <c r="AS110" s="447"/>
      <c r="AT110" s="447">
        <v>0.0409</v>
      </c>
      <c r="AU110" s="635">
        <v>0.0048</v>
      </c>
      <c r="AV110" s="447">
        <v>0</v>
      </c>
      <c r="AW110" s="368"/>
      <c r="BA110" s="521">
        <v>26.13698630137</v>
      </c>
      <c r="BB110" s="522"/>
      <c r="BC110" s="447"/>
      <c r="BD110" s="447"/>
      <c r="BE110" s="447"/>
      <c r="BF110" s="447"/>
      <c r="BG110" s="447"/>
      <c r="BH110" s="760">
        <v>0.010868965009765</v>
      </c>
      <c r="BI110" s="447">
        <v>0</v>
      </c>
      <c r="BJ110" s="368"/>
    </row>
    <row r="111" spans="1:64">
      <c r="A111" s="521">
        <v>26.383561643836</v>
      </c>
      <c r="B111" s="522"/>
      <c r="C111" s="447"/>
      <c r="D111" s="447"/>
      <c r="E111" s="447"/>
      <c r="F111" s="447"/>
      <c r="G111" s="447"/>
      <c r="H111" s="447">
        <v>0.034180522963502</v>
      </c>
      <c r="I111" s="447">
        <v>0</v>
      </c>
      <c r="J111" s="368"/>
      <c r="N111" s="521">
        <v>26.383561643836</v>
      </c>
      <c r="O111" s="522"/>
      <c r="P111" s="447"/>
      <c r="Q111" s="447"/>
      <c r="R111" s="447"/>
      <c r="S111" s="447"/>
      <c r="T111" s="447"/>
      <c r="U111" s="447">
        <v>0.013005425124109</v>
      </c>
      <c r="V111" s="447">
        <v>0</v>
      </c>
      <c r="W111" s="368"/>
      <c r="AA111" s="521">
        <v>26.383561643836</v>
      </c>
      <c r="AB111" s="522"/>
      <c r="AC111" s="447"/>
      <c r="AD111" s="447"/>
      <c r="AE111" s="447"/>
      <c r="AF111" s="447"/>
      <c r="AG111" s="447"/>
      <c r="AH111" s="447">
        <v>0.0087932176001233</v>
      </c>
      <c r="AI111" s="447">
        <v>0</v>
      </c>
      <c r="AJ111" s="368"/>
      <c r="AN111" s="521">
        <v>26.383561643836</v>
      </c>
      <c r="AO111" s="522"/>
      <c r="AP111" s="447">
        <v>0.0594</v>
      </c>
      <c r="AQ111" s="447">
        <v>0.0108</v>
      </c>
      <c r="AR111" s="447">
        <v>0.0257</v>
      </c>
      <c r="AS111" s="447"/>
      <c r="AT111" s="447">
        <v>0.0409</v>
      </c>
      <c r="AU111" s="635">
        <v>0.0047</v>
      </c>
      <c r="AV111" s="447">
        <v>0</v>
      </c>
      <c r="AW111" s="368"/>
      <c r="BA111" s="521">
        <v>26.383561643836</v>
      </c>
      <c r="BB111" s="522"/>
      <c r="BC111" s="447"/>
      <c r="BD111" s="447"/>
      <c r="BE111" s="447"/>
      <c r="BF111" s="447"/>
      <c r="BG111" s="447"/>
      <c r="BH111" s="760">
        <v>0.010815290775846</v>
      </c>
      <c r="BI111" s="447">
        <v>0</v>
      </c>
      <c r="BJ111" s="368"/>
    </row>
    <row r="112" spans="1:64">
      <c r="A112" s="521">
        <v>26.630136986301</v>
      </c>
      <c r="B112" s="522"/>
      <c r="C112" s="447"/>
      <c r="D112" s="447"/>
      <c r="E112" s="447"/>
      <c r="F112" s="447"/>
      <c r="G112" s="447"/>
      <c r="H112" s="447">
        <v>0.03428787642582</v>
      </c>
      <c r="I112" s="447">
        <v>0</v>
      </c>
      <c r="J112" s="368"/>
      <c r="N112" s="521">
        <v>26.630136986301</v>
      </c>
      <c r="O112" s="522"/>
      <c r="P112" s="447"/>
      <c r="Q112" s="447"/>
      <c r="R112" s="447"/>
      <c r="S112" s="447"/>
      <c r="T112" s="447"/>
      <c r="U112" s="447">
        <v>0.012952052678001</v>
      </c>
      <c r="V112" s="447">
        <v>0</v>
      </c>
      <c r="W112" s="368"/>
      <c r="AA112" s="521">
        <v>26.630136986301</v>
      </c>
      <c r="AB112" s="522"/>
      <c r="AC112" s="447"/>
      <c r="AD112" s="447"/>
      <c r="AE112" s="447"/>
      <c r="AF112" s="447"/>
      <c r="AG112" s="447"/>
      <c r="AH112" s="447">
        <v>0.0085693716314048</v>
      </c>
      <c r="AI112" s="447">
        <v>0</v>
      </c>
      <c r="AJ112" s="368"/>
      <c r="AN112" s="521">
        <v>26.630136986301</v>
      </c>
      <c r="AO112" s="522"/>
      <c r="AP112" s="447">
        <v>0.0592</v>
      </c>
      <c r="AQ112" s="447">
        <v>0.0107</v>
      </c>
      <c r="AR112" s="447">
        <v>0.0257</v>
      </c>
      <c r="AS112" s="447"/>
      <c r="AT112" s="447">
        <v>0.0409</v>
      </c>
      <c r="AU112" s="635">
        <v>0.0045</v>
      </c>
      <c r="AV112" s="447">
        <v>0</v>
      </c>
      <c r="AW112" s="368"/>
      <c r="BA112" s="521">
        <v>26.630136986301</v>
      </c>
      <c r="BB112" s="522"/>
      <c r="BC112" s="447"/>
      <c r="BD112" s="447"/>
      <c r="BE112" s="447"/>
      <c r="BF112" s="447"/>
      <c r="BG112" s="447"/>
      <c r="BH112" s="760">
        <v>0.010761356929277</v>
      </c>
      <c r="BI112" s="447">
        <v>0</v>
      </c>
      <c r="BJ112" s="368"/>
    </row>
    <row r="113" spans="1:64">
      <c r="A113" s="521">
        <v>26.876712328767</v>
      </c>
      <c r="B113" s="522"/>
      <c r="C113" s="447"/>
      <c r="D113" s="447"/>
      <c r="E113" s="447"/>
      <c r="F113" s="447"/>
      <c r="G113" s="447"/>
      <c r="H113" s="447">
        <v>0.034396196854633</v>
      </c>
      <c r="I113" s="447">
        <v>0</v>
      </c>
      <c r="J113" s="368"/>
      <c r="N113" s="521">
        <v>26.876712328767</v>
      </c>
      <c r="O113" s="522"/>
      <c r="P113" s="447"/>
      <c r="Q113" s="447"/>
      <c r="R113" s="447"/>
      <c r="S113" s="447"/>
      <c r="T113" s="447"/>
      <c r="U113" s="447">
        <v>0.012900091218935</v>
      </c>
      <c r="V113" s="447">
        <v>0</v>
      </c>
      <c r="W113" s="368"/>
      <c r="AA113" s="521">
        <v>26.876712328767</v>
      </c>
      <c r="AB113" s="522"/>
      <c r="AC113" s="447"/>
      <c r="AD113" s="447"/>
      <c r="AE113" s="447"/>
      <c r="AF113" s="447"/>
      <c r="AG113" s="447"/>
      <c r="AH113" s="447">
        <v>0.0083443473095883</v>
      </c>
      <c r="AI113" s="447">
        <v>0</v>
      </c>
      <c r="AJ113" s="368"/>
      <c r="AN113" s="521">
        <v>26.876712328767</v>
      </c>
      <c r="AO113" s="522"/>
      <c r="AP113" s="447">
        <v>0.059</v>
      </c>
      <c r="AQ113" s="447">
        <v>0.0106</v>
      </c>
      <c r="AR113" s="447">
        <v>0.0257</v>
      </c>
      <c r="AS113" s="447"/>
      <c r="AT113" s="447">
        <v>0.0408</v>
      </c>
      <c r="AU113" s="635">
        <v>0.0044</v>
      </c>
      <c r="AV113" s="447">
        <v>0</v>
      </c>
      <c r="AW113" s="368"/>
      <c r="BA113" s="521">
        <v>26.876712328767</v>
      </c>
      <c r="BB113" s="522"/>
      <c r="BC113" s="447"/>
      <c r="BD113" s="447"/>
      <c r="BE113" s="447"/>
      <c r="BF113" s="447"/>
      <c r="BG113" s="447"/>
      <c r="BH113" s="760">
        <v>0.010707200394599</v>
      </c>
      <c r="BI113" s="447">
        <v>0</v>
      </c>
      <c r="BJ113" s="368"/>
    </row>
    <row r="114" spans="1:64">
      <c r="A114" s="521">
        <v>27.123287671233</v>
      </c>
      <c r="B114" s="522"/>
      <c r="C114" s="447"/>
      <c r="D114" s="447"/>
      <c r="E114" s="447"/>
      <c r="F114" s="447"/>
      <c r="G114" s="447"/>
      <c r="H114" s="447">
        <v>0.034505441327298</v>
      </c>
      <c r="I114" s="447">
        <v>0</v>
      </c>
      <c r="J114" s="368"/>
      <c r="N114" s="521">
        <v>27.123287671233</v>
      </c>
      <c r="O114" s="522"/>
      <c r="P114" s="447"/>
      <c r="Q114" s="447"/>
      <c r="R114" s="447"/>
      <c r="S114" s="447"/>
      <c r="T114" s="447"/>
      <c r="U114" s="447">
        <v>0.012849532623954</v>
      </c>
      <c r="V114" s="447">
        <v>0</v>
      </c>
      <c r="W114" s="368"/>
      <c r="AA114" s="521">
        <v>27.123287671233</v>
      </c>
      <c r="AB114" s="522"/>
      <c r="AC114" s="447"/>
      <c r="AD114" s="447"/>
      <c r="AE114" s="447"/>
      <c r="AF114" s="447"/>
      <c r="AG114" s="447"/>
      <c r="AH114" s="447">
        <v>0.0081181963085979</v>
      </c>
      <c r="AI114" s="447">
        <v>0</v>
      </c>
      <c r="AJ114" s="368"/>
      <c r="AN114" s="521">
        <v>27.123287671233</v>
      </c>
      <c r="AO114" s="522"/>
      <c r="AP114" s="447">
        <v>0.0587</v>
      </c>
      <c r="AQ114" s="447">
        <v>0.0106</v>
      </c>
      <c r="AR114" s="447">
        <v>0.0256</v>
      </c>
      <c r="AS114" s="447"/>
      <c r="AT114" s="447">
        <v>0.0408</v>
      </c>
      <c r="AU114" s="635">
        <v>0.0043</v>
      </c>
      <c r="AV114" s="447">
        <v>0</v>
      </c>
      <c r="AW114" s="368"/>
      <c r="BA114" s="521">
        <v>27.123287671233</v>
      </c>
      <c r="BB114" s="522"/>
      <c r="BC114" s="447"/>
      <c r="BD114" s="447"/>
      <c r="BE114" s="447"/>
      <c r="BF114" s="447"/>
      <c r="BG114" s="447"/>
      <c r="BH114" s="760">
        <v>0.010652857176482</v>
      </c>
      <c r="BI114" s="447">
        <v>0</v>
      </c>
      <c r="BJ114" s="368"/>
    </row>
    <row r="115" spans="1:64">
      <c r="A115" s="521">
        <v>27.369863013699</v>
      </c>
      <c r="B115" s="522"/>
      <c r="C115" s="447"/>
      <c r="D115" s="447"/>
      <c r="E115" s="447"/>
      <c r="F115" s="447"/>
      <c r="G115" s="447"/>
      <c r="H115" s="447">
        <v>0.034615573787946</v>
      </c>
      <c r="I115" s="447">
        <v>0</v>
      </c>
      <c r="J115" s="368"/>
      <c r="N115" s="521">
        <v>27.369863013699</v>
      </c>
      <c r="O115" s="522"/>
      <c r="P115" s="447"/>
      <c r="Q115" s="447"/>
      <c r="R115" s="447"/>
      <c r="S115" s="447"/>
      <c r="T115" s="447"/>
      <c r="U115" s="447">
        <v>0.012800365063166</v>
      </c>
      <c r="V115" s="447">
        <v>0</v>
      </c>
      <c r="W115" s="368"/>
      <c r="AA115" s="521">
        <v>27.369863013699</v>
      </c>
      <c r="AB115" s="522"/>
      <c r="AC115" s="447"/>
      <c r="AD115" s="447"/>
      <c r="AE115" s="447"/>
      <c r="AF115" s="447"/>
      <c r="AG115" s="447"/>
      <c r="AH115" s="447">
        <v>0.0078909730408716</v>
      </c>
      <c r="AI115" s="447">
        <v>0</v>
      </c>
      <c r="AJ115" s="368"/>
      <c r="AN115" s="521">
        <v>27.369863013699</v>
      </c>
      <c r="AO115" s="522"/>
      <c r="AP115" s="447">
        <v>0.0585</v>
      </c>
      <c r="AQ115" s="447">
        <v>0.0105</v>
      </c>
      <c r="AR115" s="447">
        <v>0.0256</v>
      </c>
      <c r="AS115" s="447"/>
      <c r="AT115" s="447">
        <v>0.0408</v>
      </c>
      <c r="AU115" s="635">
        <v>0.0041</v>
      </c>
      <c r="AV115" s="447">
        <v>0</v>
      </c>
      <c r="AW115" s="368"/>
      <c r="BA115" s="521">
        <v>27.369863013699</v>
      </c>
      <c r="BB115" s="522"/>
      <c r="BC115" s="447"/>
      <c r="BD115" s="447"/>
      <c r="BE115" s="447"/>
      <c r="BF115" s="447"/>
      <c r="BG115" s="447"/>
      <c r="BH115" s="760">
        <v>0.010598359524036</v>
      </c>
      <c r="BI115" s="447">
        <v>0</v>
      </c>
      <c r="BJ115" s="368"/>
    </row>
    <row r="116" spans="1:64">
      <c r="A116" s="521">
        <v>27.616438356164</v>
      </c>
      <c r="B116" s="522"/>
      <c r="C116" s="447"/>
      <c r="D116" s="447"/>
      <c r="E116" s="447"/>
      <c r="F116" s="447"/>
      <c r="G116" s="447"/>
      <c r="H116" s="447">
        <v>0.034726555222343</v>
      </c>
      <c r="I116" s="447">
        <v>0</v>
      </c>
      <c r="J116" s="368"/>
      <c r="N116" s="521">
        <v>27.616438356164</v>
      </c>
      <c r="O116" s="522"/>
      <c r="P116" s="447"/>
      <c r="Q116" s="447"/>
      <c r="R116" s="447"/>
      <c r="S116" s="447"/>
      <c r="T116" s="447"/>
      <c r="U116" s="447">
        <v>0.012752577636634</v>
      </c>
      <c r="V116" s="447">
        <v>0</v>
      </c>
      <c r="W116" s="368"/>
      <c r="AA116" s="521">
        <v>27.616438356164</v>
      </c>
      <c r="AB116" s="522"/>
      <c r="AC116" s="447"/>
      <c r="AD116" s="447"/>
      <c r="AE116" s="447"/>
      <c r="AF116" s="447"/>
      <c r="AG116" s="447"/>
      <c r="AH116" s="447">
        <v>0.0076627280687629</v>
      </c>
      <c r="AI116" s="447">
        <v>0</v>
      </c>
      <c r="AJ116" s="368"/>
      <c r="AN116" s="521">
        <v>27.616438356164</v>
      </c>
      <c r="AO116" s="522"/>
      <c r="AP116" s="447">
        <v>0.0583</v>
      </c>
      <c r="AQ116" s="447">
        <v>0.0104</v>
      </c>
      <c r="AR116" s="447">
        <v>0.0255</v>
      </c>
      <c r="AS116" s="447"/>
      <c r="AT116" s="447">
        <v>0.0407</v>
      </c>
      <c r="AU116" s="635">
        <v>0.004</v>
      </c>
      <c r="AV116" s="447">
        <v>0</v>
      </c>
      <c r="AW116" s="368"/>
      <c r="BA116" s="521">
        <v>27.616438356164</v>
      </c>
      <c r="BB116" s="522"/>
      <c r="BC116" s="447"/>
      <c r="BD116" s="447"/>
      <c r="BE116" s="447"/>
      <c r="BF116" s="447"/>
      <c r="BG116" s="447"/>
      <c r="BH116" s="760">
        <v>0.010543739708731</v>
      </c>
      <c r="BI116" s="447">
        <v>0</v>
      </c>
      <c r="BJ116" s="368"/>
    </row>
    <row r="117" spans="1:64">
      <c r="A117" s="521">
        <v>27.86301369863</v>
      </c>
      <c r="B117" s="522"/>
      <c r="C117" s="447"/>
      <c r="D117" s="447"/>
      <c r="E117" s="447"/>
      <c r="F117" s="447"/>
      <c r="G117" s="447"/>
      <c r="H117" s="447">
        <v>0.034838347654403</v>
      </c>
      <c r="I117" s="447">
        <v>0</v>
      </c>
      <c r="J117" s="368"/>
      <c r="N117" s="521">
        <v>27.86301369863</v>
      </c>
      <c r="O117" s="522"/>
      <c r="P117" s="447"/>
      <c r="Q117" s="447"/>
      <c r="R117" s="447"/>
      <c r="S117" s="447"/>
      <c r="T117" s="447"/>
      <c r="U117" s="447">
        <v>0.012706160445702</v>
      </c>
      <c r="V117" s="447">
        <v>0</v>
      </c>
      <c r="W117" s="368"/>
      <c r="AA117" s="521">
        <v>27.86301369863</v>
      </c>
      <c r="AB117" s="522"/>
      <c r="AC117" s="447"/>
      <c r="AD117" s="447"/>
      <c r="AE117" s="447"/>
      <c r="AF117" s="447"/>
      <c r="AG117" s="447"/>
      <c r="AH117" s="447">
        <v>0.0074335109121377</v>
      </c>
      <c r="AI117" s="447">
        <v>0</v>
      </c>
      <c r="AJ117" s="368"/>
      <c r="AN117" s="521">
        <v>27.86301369863</v>
      </c>
      <c r="AO117" s="522"/>
      <c r="AP117" s="447">
        <v>0.0581</v>
      </c>
      <c r="AQ117" s="447">
        <v>0.0104</v>
      </c>
      <c r="AR117" s="447">
        <v>0.0255</v>
      </c>
      <c r="AS117" s="447"/>
      <c r="AT117" s="447">
        <v>0.0407</v>
      </c>
      <c r="AU117" s="635">
        <v>0.0039</v>
      </c>
      <c r="AV117" s="447">
        <v>0</v>
      </c>
      <c r="AW117" s="368"/>
      <c r="BA117" s="521">
        <v>27.86301369863</v>
      </c>
      <c r="BB117" s="522"/>
      <c r="BC117" s="447"/>
      <c r="BD117" s="447"/>
      <c r="BE117" s="447"/>
      <c r="BF117" s="447"/>
      <c r="BG117" s="447"/>
      <c r="BH117" s="760">
        <v>0.010489028160323</v>
      </c>
      <c r="BI117" s="447">
        <v>0</v>
      </c>
      <c r="BJ117" s="368"/>
    </row>
    <row r="118" spans="1:64">
      <c r="A118" s="521">
        <v>28.109589041096</v>
      </c>
      <c r="B118" s="522"/>
      <c r="C118" s="447"/>
      <c r="D118" s="447"/>
      <c r="E118" s="447"/>
      <c r="F118" s="447"/>
      <c r="G118" s="447"/>
      <c r="H118" s="447">
        <v>0.034950913079612</v>
      </c>
      <c r="I118" s="447">
        <v>0</v>
      </c>
      <c r="J118" s="368"/>
      <c r="N118" s="521">
        <v>28.109589041096</v>
      </c>
      <c r="O118" s="522"/>
      <c r="P118" s="447"/>
      <c r="Q118" s="447"/>
      <c r="R118" s="447"/>
      <c r="S118" s="447"/>
      <c r="T118" s="447"/>
      <c r="U118" s="447">
        <v>0.01266109981149</v>
      </c>
      <c r="V118" s="447">
        <v>0</v>
      </c>
      <c r="W118" s="368"/>
      <c r="AA118" s="521">
        <v>28.109589041096</v>
      </c>
      <c r="AB118" s="522"/>
      <c r="AC118" s="447"/>
      <c r="AD118" s="447"/>
      <c r="AE118" s="447"/>
      <c r="AF118" s="447"/>
      <c r="AG118" s="447"/>
      <c r="AH118" s="447">
        <v>0.0072033719687772</v>
      </c>
      <c r="AI118" s="447">
        <v>0</v>
      </c>
      <c r="AJ118" s="368"/>
      <c r="AN118" s="521">
        <v>28.109589041096</v>
      </c>
      <c r="AO118" s="522"/>
      <c r="AP118" s="447">
        <v>0.0579</v>
      </c>
      <c r="AQ118" s="447">
        <v>0.0103</v>
      </c>
      <c r="AR118" s="447">
        <v>0.0254</v>
      </c>
      <c r="AS118" s="447"/>
      <c r="AT118" s="447">
        <v>0.0407</v>
      </c>
      <c r="AU118" s="635">
        <v>0.0037</v>
      </c>
      <c r="AV118" s="447">
        <v>0</v>
      </c>
      <c r="AW118" s="368"/>
      <c r="BA118" s="521">
        <v>28.109589041096</v>
      </c>
      <c r="BB118" s="522"/>
      <c r="BC118" s="447"/>
      <c r="BD118" s="447"/>
      <c r="BE118" s="447"/>
      <c r="BF118" s="447"/>
      <c r="BG118" s="447"/>
      <c r="BH118" s="760">
        <v>0.010434255320882</v>
      </c>
      <c r="BI118" s="447">
        <v>0</v>
      </c>
      <c r="BJ118" s="368"/>
    </row>
    <row r="119" spans="1:64">
      <c r="A119" s="521">
        <v>28.356164383562</v>
      </c>
      <c r="B119" s="522"/>
      <c r="C119" s="447"/>
      <c r="D119" s="447"/>
      <c r="E119" s="447"/>
      <c r="F119" s="447"/>
      <c r="G119" s="447"/>
      <c r="H119" s="447">
        <v>0.035064217464648</v>
      </c>
      <c r="I119" s="447">
        <v>0</v>
      </c>
      <c r="J119" s="368"/>
      <c r="N119" s="521">
        <v>28.356164383562</v>
      </c>
      <c r="O119" s="522"/>
      <c r="P119" s="447"/>
      <c r="Q119" s="447"/>
      <c r="R119" s="447"/>
      <c r="S119" s="447"/>
      <c r="T119" s="447"/>
      <c r="U119" s="447">
        <v>0.012617385878135</v>
      </c>
      <c r="V119" s="447">
        <v>0</v>
      </c>
      <c r="W119" s="368"/>
      <c r="AA119" s="521">
        <v>28.356164383562</v>
      </c>
      <c r="AB119" s="522"/>
      <c r="AC119" s="447"/>
      <c r="AD119" s="447"/>
      <c r="AE119" s="447"/>
      <c r="AF119" s="447"/>
      <c r="AG119" s="447"/>
      <c r="AH119" s="447">
        <v>0.0069723568307902</v>
      </c>
      <c r="AI119" s="447">
        <v>0</v>
      </c>
      <c r="AJ119" s="368"/>
      <c r="AN119" s="521">
        <v>28.356164383562</v>
      </c>
      <c r="AO119" s="522"/>
      <c r="AP119" s="447">
        <v>0.0576</v>
      </c>
      <c r="AQ119" s="447">
        <v>0.0102</v>
      </c>
      <c r="AR119" s="447">
        <v>0.0254</v>
      </c>
      <c r="AS119" s="447"/>
      <c r="AT119" s="447">
        <v>0.0407</v>
      </c>
      <c r="AU119" s="635">
        <v>0.0036</v>
      </c>
      <c r="AV119" s="447">
        <v>0</v>
      </c>
      <c r="AW119" s="368"/>
      <c r="BA119" s="521">
        <v>28.356164383562</v>
      </c>
      <c r="BB119" s="522"/>
      <c r="BC119" s="447"/>
      <c r="BD119" s="447"/>
      <c r="BE119" s="447"/>
      <c r="BF119" s="447"/>
      <c r="BG119" s="447"/>
      <c r="BH119" s="760">
        <v>0.010379447876769</v>
      </c>
      <c r="BI119" s="447">
        <v>0</v>
      </c>
      <c r="BJ119" s="368"/>
    </row>
    <row r="120" spans="1:64">
      <c r="A120" s="521">
        <v>28.602739726027</v>
      </c>
      <c r="B120" s="522"/>
      <c r="C120" s="447"/>
      <c r="D120" s="447"/>
      <c r="E120" s="447"/>
      <c r="F120" s="447"/>
      <c r="G120" s="447"/>
      <c r="H120" s="447">
        <v>0.035178225748407</v>
      </c>
      <c r="I120" s="447">
        <v>0</v>
      </c>
      <c r="J120" s="368"/>
      <c r="N120" s="521">
        <v>28.602739726027</v>
      </c>
      <c r="O120" s="522"/>
      <c r="P120" s="447"/>
      <c r="Q120" s="447"/>
      <c r="R120" s="447"/>
      <c r="S120" s="447"/>
      <c r="T120" s="447"/>
      <c r="U120" s="447">
        <v>0.012575006894718</v>
      </c>
      <c r="V120" s="447">
        <v>0</v>
      </c>
      <c r="W120" s="368"/>
      <c r="AA120" s="521">
        <v>28.602739726027</v>
      </c>
      <c r="AB120" s="522"/>
      <c r="AC120" s="447"/>
      <c r="AD120" s="447"/>
      <c r="AE120" s="447"/>
      <c r="AF120" s="447"/>
      <c r="AG120" s="447"/>
      <c r="AH120" s="447">
        <v>0.0067405119512167</v>
      </c>
      <c r="AI120" s="447">
        <v>0</v>
      </c>
      <c r="AJ120" s="368"/>
      <c r="AN120" s="521">
        <v>28.602739726027</v>
      </c>
      <c r="AO120" s="522"/>
      <c r="AP120" s="447">
        <v>0.0574</v>
      </c>
      <c r="AQ120" s="447">
        <v>0.0102</v>
      </c>
      <c r="AR120" s="447">
        <v>0.0253</v>
      </c>
      <c r="AS120" s="447"/>
      <c r="AT120" s="447">
        <v>0.0407</v>
      </c>
      <c r="AU120" s="635">
        <v>0.0035</v>
      </c>
      <c r="AV120" s="447">
        <v>0</v>
      </c>
      <c r="AW120" s="368"/>
      <c r="BA120" s="521">
        <v>28.602739726027</v>
      </c>
      <c r="BB120" s="522"/>
      <c r="BC120" s="447"/>
      <c r="BD120" s="447"/>
      <c r="BE120" s="447"/>
      <c r="BF120" s="447"/>
      <c r="BG120" s="447"/>
      <c r="BH120" s="760">
        <v>0.010324632536629</v>
      </c>
      <c r="BI120" s="447">
        <v>0</v>
      </c>
      <c r="BJ120" s="368"/>
    </row>
    <row r="121" spans="1:64">
      <c r="A121" s="521">
        <v>28.849315068493</v>
      </c>
      <c r="B121" s="522"/>
      <c r="C121" s="447"/>
      <c r="D121" s="447"/>
      <c r="E121" s="447"/>
      <c r="F121" s="447"/>
      <c r="G121" s="447"/>
      <c r="H121" s="447">
        <v>0.035292901942545</v>
      </c>
      <c r="I121" s="447">
        <v>0</v>
      </c>
      <c r="J121" s="368"/>
      <c r="N121" s="521">
        <v>28.849315068493</v>
      </c>
      <c r="O121" s="522"/>
      <c r="P121" s="447"/>
      <c r="Q121" s="447"/>
      <c r="R121" s="447"/>
      <c r="S121" s="447"/>
      <c r="T121" s="447"/>
      <c r="U121" s="447">
        <v>0.012533947376736</v>
      </c>
      <c r="V121" s="447">
        <v>0</v>
      </c>
      <c r="W121" s="368"/>
      <c r="AA121" s="521">
        <v>28.849315068493</v>
      </c>
      <c r="AB121" s="522"/>
      <c r="AC121" s="447"/>
      <c r="AD121" s="447"/>
      <c r="AE121" s="447"/>
      <c r="AF121" s="447"/>
      <c r="AG121" s="447"/>
      <c r="AH121" s="447">
        <v>0.0065078856025624</v>
      </c>
      <c r="AI121" s="447">
        <v>0</v>
      </c>
      <c r="AJ121" s="368"/>
      <c r="AN121" s="521">
        <v>28.849315068493</v>
      </c>
      <c r="AO121" s="522"/>
      <c r="AP121" s="447">
        <v>0.0572</v>
      </c>
      <c r="AQ121" s="447">
        <v>0.0101</v>
      </c>
      <c r="AR121" s="447">
        <v>0.0253</v>
      </c>
      <c r="AS121" s="447"/>
      <c r="AT121" s="447">
        <v>0.0406</v>
      </c>
      <c r="AU121" s="635">
        <v>0.0033</v>
      </c>
      <c r="AV121" s="447">
        <v>0</v>
      </c>
      <c r="AW121" s="368"/>
      <c r="BA121" s="521">
        <v>28.849315068493</v>
      </c>
      <c r="BB121" s="522"/>
      <c r="BC121" s="447"/>
      <c r="BD121" s="447"/>
      <c r="BE121" s="447"/>
      <c r="BF121" s="447"/>
      <c r="BG121" s="447"/>
      <c r="BH121" s="760">
        <v>0.010269835098956</v>
      </c>
      <c r="BI121" s="447">
        <v>0</v>
      </c>
      <c r="BJ121" s="368"/>
    </row>
    <row r="122" spans="1:64">
      <c r="A122" s="521">
        <v>29.095890410959</v>
      </c>
      <c r="B122" s="522"/>
      <c r="C122" s="447"/>
      <c r="D122" s="447"/>
      <c r="E122" s="447"/>
      <c r="F122" s="447"/>
      <c r="G122" s="447"/>
      <c r="H122" s="447">
        <v>0.035408211996682</v>
      </c>
      <c r="I122" s="447">
        <v>0</v>
      </c>
      <c r="J122" s="368"/>
      <c r="N122" s="521">
        <v>29.095890410959</v>
      </c>
      <c r="O122" s="522"/>
      <c r="P122" s="447"/>
      <c r="Q122" s="447"/>
      <c r="R122" s="447"/>
      <c r="S122" s="447"/>
      <c r="T122" s="447"/>
      <c r="U122" s="447">
        <v>0.012494197522648</v>
      </c>
      <c r="V122" s="447">
        <v>0</v>
      </c>
      <c r="W122" s="368"/>
      <c r="AA122" s="521">
        <v>29.095890410959</v>
      </c>
      <c r="AB122" s="522"/>
      <c r="AC122" s="447"/>
      <c r="AD122" s="447"/>
      <c r="AE122" s="447"/>
      <c r="AF122" s="447"/>
      <c r="AG122" s="447"/>
      <c r="AH122" s="447">
        <v>0.0062745193722948</v>
      </c>
      <c r="AI122" s="447">
        <v>0</v>
      </c>
      <c r="AJ122" s="368"/>
      <c r="AN122" s="521">
        <v>29.095890410959</v>
      </c>
      <c r="AO122" s="522"/>
      <c r="AP122" s="447">
        <v>0.0569</v>
      </c>
      <c r="AQ122" s="447">
        <v>0.01</v>
      </c>
      <c r="AR122" s="447">
        <v>0.0252</v>
      </c>
      <c r="AS122" s="447"/>
      <c r="AT122" s="447">
        <v>0.0406</v>
      </c>
      <c r="AU122" s="635">
        <v>0.0032</v>
      </c>
      <c r="AV122" s="447">
        <v>0</v>
      </c>
      <c r="AW122" s="368"/>
      <c r="BA122" s="521">
        <v>29.095890410959</v>
      </c>
      <c r="BB122" s="522"/>
      <c r="BC122" s="447"/>
      <c r="BD122" s="447"/>
      <c r="BE122" s="447"/>
      <c r="BF122" s="447"/>
      <c r="BG122" s="447"/>
      <c r="BH122" s="760">
        <v>0.010215078557626</v>
      </c>
      <c r="BI122" s="447">
        <v>0</v>
      </c>
      <c r="BJ122" s="368"/>
    </row>
    <row r="123" spans="1:64">
      <c r="A123" s="521">
        <v>29.342465753425</v>
      </c>
      <c r="B123" s="522"/>
      <c r="C123" s="447"/>
      <c r="D123" s="447"/>
      <c r="E123" s="447"/>
      <c r="F123" s="447"/>
      <c r="G123" s="447"/>
      <c r="H123" s="447">
        <v>0.035524124868536</v>
      </c>
      <c r="I123" s="447">
        <v>0</v>
      </c>
      <c r="J123" s="368"/>
      <c r="N123" s="521">
        <v>29.342465753425</v>
      </c>
      <c r="O123" s="522"/>
      <c r="P123" s="447"/>
      <c r="Q123" s="447"/>
      <c r="R123" s="447"/>
      <c r="S123" s="447"/>
      <c r="T123" s="447"/>
      <c r="U123" s="447">
        <v>0.012455742823819</v>
      </c>
      <c r="V123" s="447">
        <v>0</v>
      </c>
      <c r="W123" s="368"/>
      <c r="AA123" s="521">
        <v>29.342465753425</v>
      </c>
      <c r="AB123" s="522"/>
      <c r="AC123" s="447"/>
      <c r="AD123" s="447"/>
      <c r="AE123" s="447"/>
      <c r="AF123" s="447"/>
      <c r="AG123" s="447"/>
      <c r="AH123" s="447">
        <v>0.0060404566596552</v>
      </c>
      <c r="AI123" s="447">
        <v>0</v>
      </c>
      <c r="AJ123" s="368"/>
      <c r="AN123" s="521">
        <v>29.342465753425</v>
      </c>
      <c r="AO123" s="522"/>
      <c r="AP123" s="447">
        <v>0.0567</v>
      </c>
      <c r="AQ123" s="447">
        <v>0.01</v>
      </c>
      <c r="AR123" s="447">
        <v>0.0252</v>
      </c>
      <c r="AS123" s="447"/>
      <c r="AT123" s="447">
        <v>0.0406</v>
      </c>
      <c r="AU123" s="635">
        <v>0.0031</v>
      </c>
      <c r="AV123" s="447">
        <v>0</v>
      </c>
      <c r="AW123" s="368"/>
      <c r="BA123" s="521">
        <v>29.342465753425</v>
      </c>
      <c r="BB123" s="522"/>
      <c r="BC123" s="447"/>
      <c r="BD123" s="447"/>
      <c r="BE123" s="447"/>
      <c r="BF123" s="447"/>
      <c r="BG123" s="447"/>
      <c r="BH123" s="760">
        <v>0.010160385908978</v>
      </c>
      <c r="BI123" s="447">
        <v>0</v>
      </c>
      <c r="BJ123" s="368"/>
    </row>
    <row r="124" spans="1:64">
      <c r="A124" s="521">
        <v>29.58904109589</v>
      </c>
      <c r="B124" s="522"/>
      <c r="C124" s="447"/>
      <c r="D124" s="447"/>
      <c r="E124" s="447"/>
      <c r="F124" s="447"/>
      <c r="G124" s="447"/>
      <c r="H124" s="447">
        <v>0.035640607486686</v>
      </c>
      <c r="I124" s="447">
        <v>0</v>
      </c>
      <c r="J124" s="368"/>
      <c r="N124" s="521">
        <v>29.58904109589</v>
      </c>
      <c r="O124" s="522"/>
      <c r="P124" s="447"/>
      <c r="Q124" s="447"/>
      <c r="R124" s="447"/>
      <c r="S124" s="447"/>
      <c r="T124" s="447"/>
      <c r="U124" s="447">
        <v>0.012418570670277</v>
      </c>
      <c r="V124" s="447">
        <v>0</v>
      </c>
      <c r="W124" s="368"/>
      <c r="AA124" s="521">
        <v>29.58904109589</v>
      </c>
      <c r="AB124" s="522"/>
      <c r="AC124" s="447"/>
      <c r="AD124" s="447"/>
      <c r="AE124" s="447"/>
      <c r="AF124" s="447"/>
      <c r="AG124" s="447"/>
      <c r="AH124" s="447">
        <v>0.0058057398584572</v>
      </c>
      <c r="AI124" s="447">
        <v>0</v>
      </c>
      <c r="AJ124" s="368"/>
      <c r="AN124" s="521">
        <v>29.58904109589</v>
      </c>
      <c r="AO124" s="522"/>
      <c r="AP124" s="447">
        <v>0.0564</v>
      </c>
      <c r="AQ124" s="447">
        <v>0.0099</v>
      </c>
      <c r="AR124" s="447">
        <v>0.0251</v>
      </c>
      <c r="AS124" s="447"/>
      <c r="AT124" s="447">
        <v>0.0406</v>
      </c>
      <c r="AU124" s="635">
        <v>0.0029</v>
      </c>
      <c r="AV124" s="447">
        <v>0</v>
      </c>
      <c r="AW124" s="368"/>
      <c r="BA124" s="521">
        <v>29.58904109589</v>
      </c>
      <c r="BB124" s="522"/>
      <c r="BC124" s="447"/>
      <c r="BD124" s="447"/>
      <c r="BE124" s="447"/>
      <c r="BF124" s="447"/>
      <c r="BG124" s="447"/>
      <c r="BH124" s="760">
        <v>0.01010577830578</v>
      </c>
      <c r="BI124" s="447">
        <v>0</v>
      </c>
      <c r="BJ124" s="368"/>
    </row>
    <row r="125" spans="1:64">
      <c r="A125" s="521">
        <v>29.835616438356</v>
      </c>
      <c r="B125" s="522"/>
      <c r="C125" s="447"/>
      <c r="D125" s="447"/>
      <c r="E125" s="447"/>
      <c r="F125" s="447"/>
      <c r="G125" s="447"/>
      <c r="H125" s="447">
        <v>0.035757626819721</v>
      </c>
      <c r="I125" s="447">
        <v>0</v>
      </c>
      <c r="J125" s="368"/>
      <c r="N125" s="521">
        <v>29.835616438356</v>
      </c>
      <c r="O125" s="522"/>
      <c r="P125" s="447"/>
      <c r="Q125" s="447"/>
      <c r="R125" s="447"/>
      <c r="S125" s="447"/>
      <c r="T125" s="447"/>
      <c r="U125" s="447">
        <v>0.012382666602101</v>
      </c>
      <c r="V125" s="447">
        <v>0</v>
      </c>
      <c r="W125" s="368"/>
      <c r="AA125" s="521">
        <v>29.835616438356</v>
      </c>
      <c r="AB125" s="522"/>
      <c r="AC125" s="447"/>
      <c r="AD125" s="447"/>
      <c r="AE125" s="447"/>
      <c r="AF125" s="447"/>
      <c r="AG125" s="447"/>
      <c r="AH125" s="447">
        <v>0.0055704112756239</v>
      </c>
      <c r="AI125" s="447">
        <v>0</v>
      </c>
      <c r="AJ125" s="368"/>
      <c r="AN125" s="521">
        <v>29.835616438356</v>
      </c>
      <c r="AO125" s="522"/>
      <c r="AP125" s="447">
        <v>0.0562</v>
      </c>
      <c r="AQ125" s="447">
        <v>0.0098</v>
      </c>
      <c r="AR125" s="447">
        <v>0.025</v>
      </c>
      <c r="AS125" s="447"/>
      <c r="AT125" s="447">
        <v>0.0406</v>
      </c>
      <c r="AU125" s="635">
        <v>0.0028</v>
      </c>
      <c r="AV125" s="447">
        <v>0</v>
      </c>
      <c r="AW125" s="368"/>
      <c r="BA125" s="521">
        <v>29.835616438356</v>
      </c>
      <c r="BB125" s="522"/>
      <c r="BC125" s="447"/>
      <c r="BD125" s="447"/>
      <c r="BE125" s="447"/>
      <c r="BF125" s="447"/>
      <c r="BG125" s="447"/>
      <c r="BH125" s="760">
        <v>0.010051278806712</v>
      </c>
      <c r="BI125" s="447">
        <v>0</v>
      </c>
      <c r="BJ125" s="368"/>
    </row>
    <row r="126" spans="1:64">
      <c r="A126" s="521">
        <v>30.082191780822</v>
      </c>
      <c r="B126" s="522"/>
      <c r="C126" s="447"/>
      <c r="D126" s="447"/>
      <c r="E126" s="447"/>
      <c r="F126" s="447"/>
      <c r="G126" s="447"/>
      <c r="H126" s="447">
        <v>0.035875154745496</v>
      </c>
      <c r="I126" s="447">
        <v>0</v>
      </c>
      <c r="J126" s="368"/>
      <c r="N126" s="521">
        <v>30.082191780822</v>
      </c>
      <c r="O126" s="522"/>
      <c r="P126" s="447"/>
      <c r="Q126" s="447"/>
      <c r="R126" s="447"/>
      <c r="S126" s="447"/>
      <c r="T126" s="447"/>
      <c r="U126" s="447">
        <v>0.012348018045231</v>
      </c>
      <c r="V126" s="447">
        <v>0</v>
      </c>
      <c r="W126" s="368"/>
      <c r="AA126" s="521">
        <v>30.082191780822</v>
      </c>
      <c r="AB126" s="522"/>
      <c r="AC126" s="447"/>
      <c r="AD126" s="447"/>
      <c r="AE126" s="447"/>
      <c r="AF126" s="447"/>
      <c r="AG126" s="447"/>
      <c r="AH126" s="447">
        <v>0.0053345093960844</v>
      </c>
      <c r="AI126" s="447">
        <v>0</v>
      </c>
      <c r="AJ126" s="368"/>
      <c r="AN126" s="521">
        <v>30.082191780822</v>
      </c>
      <c r="AO126" s="522"/>
      <c r="AP126" s="447">
        <v>0.0559</v>
      </c>
      <c r="AQ126" s="447">
        <v>0.0097</v>
      </c>
      <c r="AR126" s="447">
        <v>0.025</v>
      </c>
      <c r="AS126" s="447"/>
      <c r="AT126" s="447">
        <v>0.0406</v>
      </c>
      <c r="AU126" s="635">
        <v>0.0027</v>
      </c>
      <c r="AV126" s="447">
        <v>0</v>
      </c>
      <c r="AW126" s="368"/>
      <c r="BA126" s="521">
        <v>30.082191780822</v>
      </c>
      <c r="BB126" s="522"/>
      <c r="BC126" s="447"/>
      <c r="BD126" s="447"/>
      <c r="BE126" s="447"/>
      <c r="BF126" s="447"/>
      <c r="BG126" s="447"/>
      <c r="BH126" s="760">
        <v>0.0099969048093458</v>
      </c>
      <c r="BI126" s="447">
        <v>0</v>
      </c>
      <c r="BJ126" s="368"/>
    </row>
    <row r="127" spans="1:64">
      <c r="A127" s="521">
        <v>30.328767123288</v>
      </c>
      <c r="B127" s="522"/>
      <c r="C127" s="447"/>
      <c r="D127" s="447"/>
      <c r="E127" s="447"/>
      <c r="F127" s="447"/>
      <c r="G127" s="447"/>
      <c r="H127" s="447">
        <v>0.035993158211381</v>
      </c>
      <c r="I127" s="447">
        <v>0</v>
      </c>
      <c r="J127" s="368"/>
      <c r="N127" s="521">
        <v>30.328767123288</v>
      </c>
      <c r="O127" s="522"/>
      <c r="P127" s="447"/>
      <c r="Q127" s="447"/>
      <c r="R127" s="447"/>
      <c r="S127" s="447"/>
      <c r="T127" s="447"/>
      <c r="U127" s="447">
        <v>0.012314610563106</v>
      </c>
      <c r="V127" s="447">
        <v>0</v>
      </c>
      <c r="W127" s="368"/>
      <c r="AA127" s="521">
        <v>30.328767123288</v>
      </c>
      <c r="AB127" s="522"/>
      <c r="AC127" s="447"/>
      <c r="AD127" s="447"/>
      <c r="AE127" s="447"/>
      <c r="AF127" s="447"/>
      <c r="AG127" s="447"/>
      <c r="AH127" s="447">
        <v>0.005098075446841</v>
      </c>
      <c r="AI127" s="447">
        <v>0</v>
      </c>
      <c r="AJ127" s="368"/>
      <c r="AN127" s="521">
        <v>30.328767123288</v>
      </c>
      <c r="AO127" s="522"/>
      <c r="AP127" s="447">
        <v>0.0557</v>
      </c>
      <c r="AQ127" s="447">
        <v>0.0097</v>
      </c>
      <c r="AR127" s="447">
        <v>0.0249</v>
      </c>
      <c r="AS127" s="447"/>
      <c r="AT127" s="447">
        <v>0.0406</v>
      </c>
      <c r="AU127" s="635">
        <v>0.0026</v>
      </c>
      <c r="AV127" s="447">
        <v>0</v>
      </c>
      <c r="AW127" s="368"/>
      <c r="BA127" s="521">
        <v>30.328767123288</v>
      </c>
      <c r="BB127" s="522"/>
      <c r="BC127" s="447"/>
      <c r="BD127" s="447"/>
      <c r="BE127" s="447"/>
      <c r="BF127" s="447"/>
      <c r="BG127" s="447"/>
      <c r="BH127" s="760">
        <v>0.009942675635854</v>
      </c>
      <c r="BI127" s="447">
        <v>0</v>
      </c>
      <c r="BJ127" s="368"/>
    </row>
    <row r="128" spans="1:64">
      <c r="A128" s="521">
        <v>30.575342465753</v>
      </c>
      <c r="B128" s="522"/>
      <c r="C128" s="447"/>
      <c r="D128" s="447"/>
      <c r="E128" s="447"/>
      <c r="F128" s="447"/>
      <c r="G128" s="447"/>
      <c r="H128" s="447">
        <v>0.036111609144696</v>
      </c>
      <c r="I128" s="447">
        <v>0</v>
      </c>
      <c r="J128" s="368"/>
      <c r="N128" s="521">
        <v>30.575342465753</v>
      </c>
      <c r="O128" s="522"/>
      <c r="P128" s="447"/>
      <c r="Q128" s="447"/>
      <c r="R128" s="447"/>
      <c r="S128" s="447"/>
      <c r="T128" s="447"/>
      <c r="U128" s="447">
        <v>0.012282429741744</v>
      </c>
      <c r="V128" s="447">
        <v>0</v>
      </c>
      <c r="W128" s="368"/>
      <c r="AA128" s="521">
        <v>30.575342465753</v>
      </c>
      <c r="AB128" s="522"/>
      <c r="AC128" s="447"/>
      <c r="AD128" s="447"/>
      <c r="AE128" s="447"/>
      <c r="AF128" s="447"/>
      <c r="AG128" s="447"/>
      <c r="AH128" s="447">
        <v>0.004861146835605</v>
      </c>
      <c r="AI128" s="447">
        <v>0</v>
      </c>
      <c r="AJ128" s="368"/>
      <c r="AN128" s="521">
        <v>30.575342465753</v>
      </c>
      <c r="AO128" s="522"/>
      <c r="AP128" s="447">
        <v>0.0554</v>
      </c>
      <c r="AQ128" s="447">
        <v>0.0096</v>
      </c>
      <c r="AR128" s="447">
        <v>0.0248</v>
      </c>
      <c r="AS128" s="447"/>
      <c r="AT128" s="447">
        <v>0.0406</v>
      </c>
      <c r="AU128" s="635">
        <v>0.0025</v>
      </c>
      <c r="AV128" s="447">
        <v>0</v>
      </c>
      <c r="AW128" s="368"/>
      <c r="BA128" s="521">
        <v>30.575342465753</v>
      </c>
      <c r="BB128" s="522"/>
      <c r="BC128" s="447"/>
      <c r="BD128" s="447"/>
      <c r="BE128" s="447"/>
      <c r="BF128" s="447"/>
      <c r="BG128" s="447"/>
      <c r="BH128" s="760">
        <v>0.0098886087535859</v>
      </c>
      <c r="BI128" s="447">
        <v>0</v>
      </c>
      <c r="BJ128" s="368"/>
    </row>
    <row r="129" spans="1:64">
      <c r="A129" s="521">
        <v>30.821917808219</v>
      </c>
      <c r="B129" s="522"/>
      <c r="C129" s="447"/>
      <c r="D129" s="447"/>
      <c r="E129" s="447"/>
      <c r="F129" s="447"/>
      <c r="G129" s="447"/>
      <c r="H129" s="447">
        <v>0.036230478409587</v>
      </c>
      <c r="I129" s="447">
        <v>0</v>
      </c>
      <c r="J129" s="368"/>
      <c r="N129" s="521">
        <v>30.821917808219</v>
      </c>
      <c r="O129" s="522"/>
      <c r="P129" s="447"/>
      <c r="Q129" s="447"/>
      <c r="R129" s="447"/>
      <c r="S129" s="447"/>
      <c r="T129" s="447"/>
      <c r="U129" s="447">
        <v>0.012251463051666</v>
      </c>
      <c r="V129" s="447">
        <v>0</v>
      </c>
      <c r="W129" s="368"/>
      <c r="AA129" s="521">
        <v>30.821917808219</v>
      </c>
      <c r="AB129" s="522"/>
      <c r="AC129" s="447"/>
      <c r="AD129" s="447"/>
      <c r="AE129" s="447"/>
      <c r="AF129" s="447"/>
      <c r="AG129" s="447"/>
      <c r="AH129" s="447">
        <v>0.0046237590100753</v>
      </c>
      <c r="AI129" s="447">
        <v>0</v>
      </c>
      <c r="AJ129" s="368"/>
      <c r="AN129" s="521">
        <v>30.821917808219</v>
      </c>
      <c r="AO129" s="522"/>
      <c r="AP129" s="447">
        <v>0.0552</v>
      </c>
      <c r="AQ129" s="447">
        <v>0.0095</v>
      </c>
      <c r="AR129" s="447">
        <v>0.0248</v>
      </c>
      <c r="AS129" s="447"/>
      <c r="AT129" s="447">
        <v>0.0406</v>
      </c>
      <c r="AU129" s="635">
        <v>0.0023</v>
      </c>
      <c r="AV129" s="447">
        <v>0</v>
      </c>
      <c r="AW129" s="368"/>
      <c r="BA129" s="521">
        <v>30.821917808219</v>
      </c>
      <c r="BB129" s="522"/>
      <c r="BC129" s="447"/>
      <c r="BD129" s="447"/>
      <c r="BE129" s="447"/>
      <c r="BF129" s="447"/>
      <c r="BG129" s="447"/>
      <c r="BH129" s="760">
        <v>0.0098347206796872</v>
      </c>
      <c r="BI129" s="447">
        <v>0</v>
      </c>
      <c r="BJ129" s="368"/>
    </row>
    <row r="130" spans="1:64">
      <c r="A130" s="521">
        <v>31.068493150685</v>
      </c>
      <c r="B130" s="522"/>
      <c r="C130" s="447"/>
      <c r="D130" s="447"/>
      <c r="E130" s="447"/>
      <c r="F130" s="447"/>
      <c r="G130" s="447"/>
      <c r="H130" s="447">
        <v>0.036349738882169</v>
      </c>
      <c r="I130" s="447">
        <v>0</v>
      </c>
      <c r="J130" s="368"/>
      <c r="N130" s="521">
        <v>31.068493150685</v>
      </c>
      <c r="O130" s="522"/>
      <c r="P130" s="447"/>
      <c r="Q130" s="447"/>
      <c r="R130" s="447"/>
      <c r="S130" s="447"/>
      <c r="T130" s="447"/>
      <c r="U130" s="447">
        <v>0.012221695162613</v>
      </c>
      <c r="V130" s="447">
        <v>0</v>
      </c>
      <c r="W130" s="368"/>
      <c r="AA130" s="521">
        <v>31.068493150685</v>
      </c>
      <c r="AB130" s="522"/>
      <c r="AC130" s="447"/>
      <c r="AD130" s="447"/>
      <c r="AE130" s="447"/>
      <c r="AF130" s="447"/>
      <c r="AG130" s="447"/>
      <c r="AH130" s="447">
        <v>0.0043859520678819</v>
      </c>
      <c r="AI130" s="447">
        <v>0</v>
      </c>
      <c r="AJ130" s="368"/>
      <c r="AN130" s="521">
        <v>31.068493150685</v>
      </c>
      <c r="AO130" s="522"/>
      <c r="AP130" s="447">
        <v>0.0549</v>
      </c>
      <c r="AQ130" s="447">
        <v>0.0094</v>
      </c>
      <c r="AR130" s="447">
        <v>0.0247</v>
      </c>
      <c r="AS130" s="447"/>
      <c r="AT130" s="447">
        <v>0.0406</v>
      </c>
      <c r="AU130" s="635">
        <v>0.0022</v>
      </c>
      <c r="AV130" s="447">
        <v>0</v>
      </c>
      <c r="AW130" s="368"/>
      <c r="BA130" s="521">
        <v>31.068493150685</v>
      </c>
      <c r="BB130" s="522"/>
      <c r="BC130" s="447"/>
      <c r="BD130" s="447"/>
      <c r="BE130" s="447"/>
      <c r="BF130" s="447"/>
      <c r="BG130" s="447"/>
      <c r="BH130" s="760">
        <v>0.009781027970142</v>
      </c>
      <c r="BI130" s="447">
        <v>0</v>
      </c>
      <c r="BJ130" s="368"/>
    </row>
    <row r="131" spans="1:64">
      <c r="A131" s="521">
        <v>31.315068493151</v>
      </c>
      <c r="B131" s="522"/>
      <c r="C131" s="447"/>
      <c r="D131" s="447"/>
      <c r="E131" s="447"/>
      <c r="F131" s="447"/>
      <c r="G131" s="447"/>
      <c r="H131" s="447">
        <v>0.036469362480488</v>
      </c>
      <c r="I131" s="447">
        <v>0</v>
      </c>
      <c r="J131" s="368"/>
      <c r="N131" s="521">
        <v>31.315068493151</v>
      </c>
      <c r="O131" s="522"/>
      <c r="P131" s="447"/>
      <c r="Q131" s="447"/>
      <c r="R131" s="447"/>
      <c r="S131" s="447"/>
      <c r="T131" s="447"/>
      <c r="U131" s="447">
        <v>0.012193111691079</v>
      </c>
      <c r="V131" s="447">
        <v>0</v>
      </c>
      <c r="W131" s="368"/>
      <c r="AA131" s="521">
        <v>31.315068493151</v>
      </c>
      <c r="AB131" s="522"/>
      <c r="AC131" s="447"/>
      <c r="AD131" s="447"/>
      <c r="AE131" s="447"/>
      <c r="AF131" s="447"/>
      <c r="AG131" s="447"/>
      <c r="AH131" s="447">
        <v>0.0041477585119853</v>
      </c>
      <c r="AI131" s="447">
        <v>0</v>
      </c>
      <c r="AJ131" s="368"/>
      <c r="AN131" s="521">
        <v>31.315068493151</v>
      </c>
      <c r="AO131" s="522"/>
      <c r="AP131" s="447">
        <v>0.0547</v>
      </c>
      <c r="AQ131" s="447">
        <v>0.0094</v>
      </c>
      <c r="AR131" s="447">
        <v>0.0246</v>
      </c>
      <c r="AS131" s="447"/>
      <c r="AT131" s="447">
        <v>0.0406</v>
      </c>
      <c r="AU131" s="635">
        <v>0.0021</v>
      </c>
      <c r="AV131" s="447">
        <v>0</v>
      </c>
      <c r="AW131" s="368"/>
      <c r="BA131" s="521">
        <v>31.315068493151</v>
      </c>
      <c r="BB131" s="522"/>
      <c r="BC131" s="447"/>
      <c r="BD131" s="447"/>
      <c r="BE131" s="447"/>
      <c r="BF131" s="447"/>
      <c r="BG131" s="447"/>
      <c r="BH131" s="760">
        <v>0.0097275452972014</v>
      </c>
      <c r="BI131" s="447">
        <v>0</v>
      </c>
      <c r="BJ131" s="368"/>
    </row>
    <row r="132" spans="1:64">
      <c r="A132" s="521">
        <v>31.561643835616</v>
      </c>
      <c r="B132" s="522"/>
      <c r="C132" s="447"/>
      <c r="D132" s="447"/>
      <c r="E132" s="447"/>
      <c r="F132" s="447"/>
      <c r="G132" s="447"/>
      <c r="H132" s="447">
        <v>0.036589322028137</v>
      </c>
      <c r="I132" s="447">
        <v>0</v>
      </c>
      <c r="J132" s="368"/>
      <c r="N132" s="521">
        <v>31.561643835616</v>
      </c>
      <c r="O132" s="522"/>
      <c r="P132" s="447"/>
      <c r="Q132" s="447"/>
      <c r="R132" s="447"/>
      <c r="S132" s="447"/>
      <c r="T132" s="447"/>
      <c r="U132" s="447">
        <v>0.012165699222731</v>
      </c>
      <c r="V132" s="447">
        <v>0</v>
      </c>
      <c r="W132" s="368"/>
      <c r="AA132" s="521">
        <v>31.561643835616</v>
      </c>
      <c r="AB132" s="522"/>
      <c r="AC132" s="447"/>
      <c r="AD132" s="447"/>
      <c r="AE132" s="447"/>
      <c r="AF132" s="447"/>
      <c r="AG132" s="447"/>
      <c r="AH132" s="447">
        <v>0.00390921454906</v>
      </c>
      <c r="AI132" s="447">
        <v>0</v>
      </c>
      <c r="AJ132" s="368"/>
      <c r="AN132" s="521">
        <v>31.561643835616</v>
      </c>
      <c r="AO132" s="522"/>
      <c r="AP132" s="447">
        <v>0.0544</v>
      </c>
      <c r="AQ132" s="447">
        <v>0.0093</v>
      </c>
      <c r="AR132" s="447">
        <v>0.0245</v>
      </c>
      <c r="AS132" s="447"/>
      <c r="AT132" s="447">
        <v>0.0405</v>
      </c>
      <c r="AU132" s="635">
        <v>0.002</v>
      </c>
      <c r="AV132" s="447">
        <v>0</v>
      </c>
      <c r="AW132" s="368"/>
      <c r="BA132" s="521">
        <v>31.561643835616</v>
      </c>
      <c r="BB132" s="522"/>
      <c r="BC132" s="447"/>
      <c r="BD132" s="447"/>
      <c r="BE132" s="447"/>
      <c r="BF132" s="447"/>
      <c r="BG132" s="447"/>
      <c r="BH132" s="760">
        <v>0.0096742864192558</v>
      </c>
      <c r="BI132" s="447">
        <v>0</v>
      </c>
      <c r="BJ132" s="368"/>
    </row>
    <row r="133" spans="1:64">
      <c r="A133" s="521">
        <v>31.808219178082</v>
      </c>
      <c r="B133" s="522"/>
      <c r="C133" s="447"/>
      <c r="D133" s="447"/>
      <c r="E133" s="447"/>
      <c r="F133" s="447"/>
      <c r="G133" s="447"/>
      <c r="H133" s="447">
        <v>0.036709591431263</v>
      </c>
      <c r="I133" s="447">
        <v>0</v>
      </c>
      <c r="J133" s="368"/>
      <c r="N133" s="521">
        <v>31.808219178082</v>
      </c>
      <c r="O133" s="522"/>
      <c r="P133" s="447"/>
      <c r="Q133" s="447"/>
      <c r="R133" s="447"/>
      <c r="S133" s="447"/>
      <c r="T133" s="447"/>
      <c r="U133" s="447">
        <v>0.012139442455344</v>
      </c>
      <c r="V133" s="447">
        <v>0</v>
      </c>
      <c r="W133" s="368"/>
      <c r="AA133" s="521">
        <v>31.808219178082</v>
      </c>
      <c r="AB133" s="522"/>
      <c r="AC133" s="447"/>
      <c r="AD133" s="447"/>
      <c r="AE133" s="447"/>
      <c r="AF133" s="447"/>
      <c r="AG133" s="447"/>
      <c r="AH133" s="447">
        <v>0.0036703535032026</v>
      </c>
      <c r="AI133" s="447">
        <v>0</v>
      </c>
      <c r="AJ133" s="368"/>
      <c r="AN133" s="521">
        <v>31.808219178082</v>
      </c>
      <c r="AO133" s="522"/>
      <c r="AP133" s="447">
        <v>0.0541</v>
      </c>
      <c r="AQ133" s="447">
        <v>0.0092</v>
      </c>
      <c r="AR133" s="447">
        <v>0.0245</v>
      </c>
      <c r="AS133" s="447"/>
      <c r="AT133" s="447">
        <v>0.0405</v>
      </c>
      <c r="AU133" s="635">
        <v>0.0019</v>
      </c>
      <c r="AV133" s="447">
        <v>0</v>
      </c>
      <c r="AW133" s="368"/>
      <c r="BA133" s="521">
        <v>31.808219178082</v>
      </c>
      <c r="BB133" s="522"/>
      <c r="BC133" s="447"/>
      <c r="BD133" s="447"/>
      <c r="BE133" s="447"/>
      <c r="BF133" s="447"/>
      <c r="BG133" s="447"/>
      <c r="BH133" s="760">
        <v>0.0096212651047207</v>
      </c>
      <c r="BI133" s="447">
        <v>0</v>
      </c>
      <c r="BJ133" s="368"/>
    </row>
    <row r="134" spans="1:64">
      <c r="A134" s="521">
        <v>32.054794520548</v>
      </c>
      <c r="B134" s="522"/>
      <c r="C134" s="447"/>
      <c r="D134" s="447"/>
      <c r="E134" s="447"/>
      <c r="F134" s="447"/>
      <c r="G134" s="447"/>
      <c r="H134" s="447">
        <v>0.03683014550289</v>
      </c>
      <c r="I134" s="447">
        <v>0</v>
      </c>
      <c r="J134" s="368"/>
      <c r="N134" s="521">
        <v>32.054794520548</v>
      </c>
      <c r="O134" s="522"/>
      <c r="P134" s="447"/>
      <c r="Q134" s="447"/>
      <c r="R134" s="447"/>
      <c r="S134" s="447"/>
      <c r="T134" s="447"/>
      <c r="U134" s="447">
        <v>0.012114327055036</v>
      </c>
      <c r="V134" s="447">
        <v>0</v>
      </c>
      <c r="W134" s="368"/>
      <c r="AA134" s="521">
        <v>32.054794520548</v>
      </c>
      <c r="AB134" s="522"/>
      <c r="AC134" s="447"/>
      <c r="AD134" s="447"/>
      <c r="AE134" s="447"/>
      <c r="AF134" s="447"/>
      <c r="AG134" s="447"/>
      <c r="AH134" s="447">
        <v>0.0034312086411128</v>
      </c>
      <c r="AI134" s="447">
        <v>0</v>
      </c>
      <c r="AJ134" s="368"/>
      <c r="AN134" s="521">
        <v>32.054794520548</v>
      </c>
      <c r="AO134" s="522"/>
      <c r="AP134" s="447">
        <v>0.0539</v>
      </c>
      <c r="AQ134" s="447">
        <v>0.0091</v>
      </c>
      <c r="AR134" s="447">
        <v>0.0244</v>
      </c>
      <c r="AS134" s="447"/>
      <c r="AT134" s="447">
        <v>0.0406</v>
      </c>
      <c r="AU134" s="635">
        <v>0.0017</v>
      </c>
      <c r="AV134" s="447">
        <v>0</v>
      </c>
      <c r="AW134" s="368"/>
      <c r="BA134" s="521">
        <v>32.054794520548</v>
      </c>
      <c r="BB134" s="522"/>
      <c r="BC134" s="447"/>
      <c r="BD134" s="447"/>
      <c r="BE134" s="447"/>
      <c r="BF134" s="447"/>
      <c r="BG134" s="447"/>
      <c r="BH134" s="760">
        <v>0.00956849419834</v>
      </c>
      <c r="BI134" s="447">
        <v>0</v>
      </c>
      <c r="BJ134" s="368"/>
    </row>
    <row r="135" spans="1:64">
      <c r="A135" s="521">
        <v>32.301369863014</v>
      </c>
      <c r="B135" s="522"/>
      <c r="C135" s="447"/>
      <c r="D135" s="447"/>
      <c r="E135" s="447"/>
      <c r="F135" s="447"/>
      <c r="G135" s="447"/>
      <c r="H135" s="447">
        <v>0.036950959066382</v>
      </c>
      <c r="I135" s="447">
        <v>0</v>
      </c>
      <c r="J135" s="368"/>
      <c r="N135" s="521">
        <v>32.301369863014</v>
      </c>
      <c r="O135" s="522"/>
      <c r="P135" s="447"/>
      <c r="Q135" s="447"/>
      <c r="R135" s="447"/>
      <c r="S135" s="447"/>
      <c r="T135" s="447"/>
      <c r="U135" s="447">
        <v>0.012090337747714</v>
      </c>
      <c r="V135" s="447">
        <v>0</v>
      </c>
      <c r="W135" s="368"/>
      <c r="AA135" s="521">
        <v>32.301369863014</v>
      </c>
      <c r="AB135" s="522"/>
      <c r="AC135" s="447"/>
      <c r="AD135" s="447"/>
      <c r="AE135" s="447"/>
      <c r="AF135" s="447"/>
      <c r="AG135" s="447"/>
      <c r="AH135" s="447">
        <v>0.0031918122345496</v>
      </c>
      <c r="AI135" s="447">
        <v>0</v>
      </c>
      <c r="AJ135" s="368"/>
      <c r="AN135" s="521">
        <v>32.301369863014</v>
      </c>
      <c r="AO135" s="522"/>
      <c r="AP135" s="447">
        <v>0.0536</v>
      </c>
      <c r="AQ135" s="447">
        <v>0.0091</v>
      </c>
      <c r="AR135" s="447">
        <v>0.0243</v>
      </c>
      <c r="AS135" s="447"/>
      <c r="AT135" s="447">
        <v>0.0406</v>
      </c>
      <c r="AU135" s="635">
        <v>0.0016</v>
      </c>
      <c r="AV135" s="447">
        <v>0</v>
      </c>
      <c r="AW135" s="368"/>
      <c r="BA135" s="521">
        <v>32.301369863014</v>
      </c>
      <c r="BB135" s="522"/>
      <c r="BC135" s="447"/>
      <c r="BD135" s="447"/>
      <c r="BE135" s="447"/>
      <c r="BF135" s="447"/>
      <c r="BG135" s="447"/>
      <c r="BH135" s="760">
        <v>0.0095159856297002</v>
      </c>
      <c r="BI135" s="447">
        <v>0</v>
      </c>
      <c r="BJ135" s="368"/>
    </row>
    <row r="136" spans="1:64">
      <c r="A136" s="521">
        <v>32.547945205479</v>
      </c>
      <c r="B136" s="522"/>
      <c r="C136" s="447"/>
      <c r="D136" s="447"/>
      <c r="E136" s="447"/>
      <c r="F136" s="447"/>
      <c r="G136" s="447"/>
      <c r="H136" s="447">
        <v>0.037072007995154</v>
      </c>
      <c r="I136" s="447">
        <v>0</v>
      </c>
      <c r="J136" s="368"/>
      <c r="N136" s="521">
        <v>32.547945205479</v>
      </c>
      <c r="O136" s="522"/>
      <c r="P136" s="447"/>
      <c r="Q136" s="447"/>
      <c r="R136" s="447"/>
      <c r="S136" s="447"/>
      <c r="T136" s="447"/>
      <c r="U136" s="447">
        <v>0.012067461163746</v>
      </c>
      <c r="V136" s="447">
        <v>0</v>
      </c>
      <c r="W136" s="368"/>
      <c r="AA136" s="521">
        <v>32.547945205479</v>
      </c>
      <c r="AB136" s="522"/>
      <c r="AC136" s="447"/>
      <c r="AD136" s="447"/>
      <c r="AE136" s="447"/>
      <c r="AF136" s="447"/>
      <c r="AG136" s="447"/>
      <c r="AH136" s="447">
        <v>0.0029521964931551</v>
      </c>
      <c r="AI136" s="447">
        <v>0</v>
      </c>
      <c r="AJ136" s="368"/>
      <c r="AN136" s="521">
        <v>32.547945205479</v>
      </c>
      <c r="AO136" s="522"/>
      <c r="AP136" s="447">
        <v>0.0533</v>
      </c>
      <c r="AQ136" s="447">
        <v>0.009</v>
      </c>
      <c r="AR136" s="447">
        <v>0.0242</v>
      </c>
      <c r="AS136" s="447"/>
      <c r="AT136" s="447">
        <v>0.0406</v>
      </c>
      <c r="AU136" s="635">
        <v>0.0015</v>
      </c>
      <c r="AV136" s="447">
        <v>0</v>
      </c>
      <c r="AW136" s="368"/>
      <c r="BA136" s="521">
        <v>32.547945205479</v>
      </c>
      <c r="BB136" s="522"/>
      <c r="BC136" s="447"/>
      <c r="BD136" s="447"/>
      <c r="BE136" s="447"/>
      <c r="BF136" s="447"/>
      <c r="BG136" s="447"/>
      <c r="BH136" s="760">
        <v>0.0094637503768196</v>
      </c>
      <c r="BI136" s="447">
        <v>0</v>
      </c>
      <c r="BJ136" s="368"/>
    </row>
    <row r="137" spans="1:64">
      <c r="A137" s="521">
        <v>32.794520547945</v>
      </c>
      <c r="B137" s="522"/>
      <c r="C137" s="447"/>
      <c r="D137" s="447"/>
      <c r="E137" s="447"/>
      <c r="F137" s="447"/>
      <c r="G137" s="447"/>
      <c r="H137" s="447">
        <v>0.037193268066947</v>
      </c>
      <c r="I137" s="447">
        <v>0</v>
      </c>
      <c r="J137" s="368"/>
      <c r="N137" s="521">
        <v>32.794520547945</v>
      </c>
      <c r="O137" s="522"/>
      <c r="P137" s="447"/>
      <c r="Q137" s="447"/>
      <c r="R137" s="447"/>
      <c r="S137" s="447"/>
      <c r="T137" s="447"/>
      <c r="U137" s="447">
        <v>0.012045682055575</v>
      </c>
      <c r="V137" s="447">
        <v>0</v>
      </c>
      <c r="W137" s="368"/>
      <c r="AA137" s="521">
        <v>32.794520547945</v>
      </c>
      <c r="AB137" s="522"/>
      <c r="AC137" s="447"/>
      <c r="AD137" s="447"/>
      <c r="AE137" s="447"/>
      <c r="AF137" s="447"/>
      <c r="AG137" s="447"/>
      <c r="AH137" s="447">
        <v>0.002712390763248</v>
      </c>
      <c r="AI137" s="447">
        <v>0</v>
      </c>
      <c r="AJ137" s="368"/>
      <c r="AN137" s="521">
        <v>32.794520547945</v>
      </c>
      <c r="AO137" s="522"/>
      <c r="AP137" s="447">
        <v>0.053</v>
      </c>
      <c r="AQ137" s="447">
        <v>0.0089</v>
      </c>
      <c r="AR137" s="447">
        <v>0.0241</v>
      </c>
      <c r="AS137" s="447"/>
      <c r="AT137" s="447">
        <v>0.0406</v>
      </c>
      <c r="AU137" s="635">
        <v>0.0014</v>
      </c>
      <c r="AV137" s="447">
        <v>0</v>
      </c>
      <c r="AW137" s="368"/>
      <c r="BA137" s="521">
        <v>32.794520547945</v>
      </c>
      <c r="BB137" s="522"/>
      <c r="BC137" s="447"/>
      <c r="BD137" s="447"/>
      <c r="BE137" s="447"/>
      <c r="BF137" s="447"/>
      <c r="BG137" s="447"/>
      <c r="BH137" s="760">
        <v>0.009411798510768</v>
      </c>
      <c r="BI137" s="447">
        <v>0</v>
      </c>
      <c r="BJ137" s="368"/>
    </row>
    <row r="138" spans="1:64">
      <c r="A138" s="521">
        <v>33.041095890411</v>
      </c>
      <c r="B138" s="522"/>
      <c r="C138" s="447"/>
      <c r="D138" s="447"/>
      <c r="E138" s="447"/>
      <c r="F138" s="447"/>
      <c r="G138" s="447"/>
      <c r="H138" s="447">
        <v>0.037314717114726</v>
      </c>
      <c r="I138" s="447">
        <v>0</v>
      </c>
      <c r="J138" s="368"/>
      <c r="N138" s="521">
        <v>33.041095890411</v>
      </c>
      <c r="O138" s="522"/>
      <c r="P138" s="447"/>
      <c r="Q138" s="447"/>
      <c r="R138" s="447"/>
      <c r="S138" s="447"/>
      <c r="T138" s="447"/>
      <c r="U138" s="447">
        <v>0.01202498705677</v>
      </c>
      <c r="V138" s="447">
        <v>0</v>
      </c>
      <c r="W138" s="368"/>
      <c r="AA138" s="521">
        <v>33.041095890411</v>
      </c>
      <c r="AB138" s="522"/>
      <c r="AC138" s="447"/>
      <c r="AD138" s="447"/>
      <c r="AE138" s="447"/>
      <c r="AF138" s="447"/>
      <c r="AG138" s="447"/>
      <c r="AH138" s="447">
        <v>0.0024724262048172</v>
      </c>
      <c r="AI138" s="447">
        <v>0</v>
      </c>
      <c r="AJ138" s="368"/>
      <c r="AN138" s="521">
        <v>33.041095890411</v>
      </c>
      <c r="AO138" s="522"/>
      <c r="AP138" s="447">
        <v>0.0528</v>
      </c>
      <c r="AQ138" s="447">
        <v>0.0088</v>
      </c>
      <c r="AR138" s="447">
        <v>0.024</v>
      </c>
      <c r="AS138" s="447"/>
      <c r="AT138" s="447">
        <v>0.0406</v>
      </c>
      <c r="AU138" s="635">
        <v>0.0013</v>
      </c>
      <c r="AV138" s="447">
        <v>0</v>
      </c>
      <c r="AW138" s="368"/>
      <c r="BA138" s="521">
        <v>33.041095890411</v>
      </c>
      <c r="BB138" s="522"/>
      <c r="BC138" s="447"/>
      <c r="BD138" s="447"/>
      <c r="BE138" s="447"/>
      <c r="BF138" s="447"/>
      <c r="BG138" s="447"/>
      <c r="BH138" s="760">
        <v>0.0093601410452935</v>
      </c>
      <c r="BI138" s="447">
        <v>0</v>
      </c>
      <c r="BJ138" s="368"/>
    </row>
    <row r="139" spans="1:64">
      <c r="A139" s="521">
        <v>33.287671232877</v>
      </c>
      <c r="B139" s="522"/>
      <c r="C139" s="447"/>
      <c r="D139" s="447"/>
      <c r="E139" s="447"/>
      <c r="F139" s="447"/>
      <c r="G139" s="447"/>
      <c r="H139" s="447">
        <v>0.037436332876519</v>
      </c>
      <c r="I139" s="447">
        <v>0</v>
      </c>
      <c r="J139" s="368"/>
      <c r="N139" s="521">
        <v>33.287671232877</v>
      </c>
      <c r="O139" s="522"/>
      <c r="P139" s="447"/>
      <c r="Q139" s="447"/>
      <c r="R139" s="447"/>
      <c r="S139" s="447"/>
      <c r="T139" s="447"/>
      <c r="U139" s="447">
        <v>0.012005359070868</v>
      </c>
      <c r="V139" s="447">
        <v>0</v>
      </c>
      <c r="W139" s="368"/>
      <c r="AA139" s="521">
        <v>33.287671232877</v>
      </c>
      <c r="AB139" s="522"/>
      <c r="AC139" s="447"/>
      <c r="AD139" s="447"/>
      <c r="AE139" s="447"/>
      <c r="AF139" s="447"/>
      <c r="AG139" s="447"/>
      <c r="AH139" s="447">
        <v>0.0022323311223558</v>
      </c>
      <c r="AI139" s="447">
        <v>0</v>
      </c>
      <c r="AJ139" s="368"/>
      <c r="AN139" s="521">
        <v>33.287671232877</v>
      </c>
      <c r="AO139" s="522"/>
      <c r="AP139" s="447">
        <v>0.0525</v>
      </c>
      <c r="AQ139" s="447">
        <v>0.0087</v>
      </c>
      <c r="AR139" s="447">
        <v>0.0239</v>
      </c>
      <c r="AS139" s="447"/>
      <c r="AT139" s="447">
        <v>0.0406</v>
      </c>
      <c r="AU139" s="635">
        <v>0.0012</v>
      </c>
      <c r="AV139" s="447">
        <v>0</v>
      </c>
      <c r="AW139" s="368"/>
      <c r="BA139" s="521">
        <v>33.287671232877</v>
      </c>
      <c r="BB139" s="522"/>
      <c r="BC139" s="447"/>
      <c r="BD139" s="447"/>
      <c r="BE139" s="447"/>
      <c r="BF139" s="447"/>
      <c r="BG139" s="447"/>
      <c r="BH139" s="760">
        <v>0.0093087871433961</v>
      </c>
      <c r="BI139" s="447">
        <v>0</v>
      </c>
      <c r="BJ139" s="368"/>
    </row>
    <row r="140" spans="1:64">
      <c r="A140" s="521">
        <v>33.534246575342</v>
      </c>
      <c r="B140" s="522"/>
      <c r="C140" s="447"/>
      <c r="D140" s="447"/>
      <c r="E140" s="447"/>
      <c r="F140" s="447"/>
      <c r="G140" s="447"/>
      <c r="H140" s="447">
        <v>0.037558092207791</v>
      </c>
      <c r="I140" s="447">
        <v>0</v>
      </c>
      <c r="J140" s="368"/>
      <c r="N140" s="521">
        <v>33.534246575342</v>
      </c>
      <c r="O140" s="522"/>
      <c r="P140" s="447"/>
      <c r="Q140" s="447"/>
      <c r="R140" s="447"/>
      <c r="S140" s="447"/>
      <c r="T140" s="447"/>
      <c r="U140" s="447">
        <v>0.011986785692893</v>
      </c>
      <c r="V140" s="447">
        <v>0</v>
      </c>
      <c r="W140" s="368"/>
      <c r="AA140" s="521">
        <v>33.534246575342</v>
      </c>
      <c r="AB140" s="522"/>
      <c r="AC140" s="447"/>
      <c r="AD140" s="447"/>
      <c r="AE140" s="447"/>
      <c r="AF140" s="447"/>
      <c r="AG140" s="447"/>
      <c r="AH140" s="447">
        <v>0.0019921337590125</v>
      </c>
      <c r="AI140" s="447">
        <v>0</v>
      </c>
      <c r="AJ140" s="368"/>
      <c r="AN140" s="521">
        <v>33.534246575342</v>
      </c>
      <c r="AO140" s="522"/>
      <c r="AP140" s="447">
        <v>0.0522</v>
      </c>
      <c r="AQ140" s="447">
        <v>0.0087</v>
      </c>
      <c r="AR140" s="447">
        <v>0.0238</v>
      </c>
      <c r="AS140" s="447"/>
      <c r="AT140" s="447">
        <v>0.0406</v>
      </c>
      <c r="AU140" s="635">
        <v>0.0011</v>
      </c>
      <c r="AV140" s="447">
        <v>0</v>
      </c>
      <c r="AW140" s="368"/>
      <c r="BA140" s="521">
        <v>33.534246575342</v>
      </c>
      <c r="BB140" s="522"/>
      <c r="BC140" s="447"/>
      <c r="BD140" s="447"/>
      <c r="BE140" s="447"/>
      <c r="BF140" s="447"/>
      <c r="BG140" s="447"/>
      <c r="BH140" s="760">
        <v>0.0092577450067597</v>
      </c>
      <c r="BI140" s="447">
        <v>0</v>
      </c>
      <c r="BJ140" s="368"/>
    </row>
    <row r="141" spans="1:64">
      <c r="A141" s="521">
        <v>33.780821917808</v>
      </c>
      <c r="B141" s="522"/>
      <c r="C141" s="447"/>
      <c r="D141" s="447"/>
      <c r="E141" s="447"/>
      <c r="F141" s="447"/>
      <c r="G141" s="447"/>
      <c r="H141" s="447">
        <v>0.03767997387749</v>
      </c>
      <c r="I141" s="447">
        <v>0</v>
      </c>
      <c r="J141" s="368"/>
      <c r="N141" s="521">
        <v>33.780821917808</v>
      </c>
      <c r="O141" s="522"/>
      <c r="P141" s="447"/>
      <c r="Q141" s="447"/>
      <c r="R141" s="447"/>
      <c r="S141" s="447"/>
      <c r="T141" s="447"/>
      <c r="U141" s="447">
        <v>0.011969251724118</v>
      </c>
      <c r="V141" s="447">
        <v>0</v>
      </c>
      <c r="W141" s="368"/>
      <c r="AA141" s="521">
        <v>33.780821917808</v>
      </c>
      <c r="AB141" s="522"/>
      <c r="AC141" s="447"/>
      <c r="AD141" s="447"/>
      <c r="AE141" s="447"/>
      <c r="AF141" s="447"/>
      <c r="AG141" s="447"/>
      <c r="AH141" s="447">
        <v>0.0017518632531179</v>
      </c>
      <c r="AI141" s="447">
        <v>0</v>
      </c>
      <c r="AJ141" s="368"/>
      <c r="AN141" s="521">
        <v>33.780821917808</v>
      </c>
      <c r="AO141" s="522"/>
      <c r="AP141" s="447">
        <v>0.0519</v>
      </c>
      <c r="AQ141" s="447">
        <v>0.0086</v>
      </c>
      <c r="AR141" s="447">
        <v>0.0237</v>
      </c>
      <c r="AS141" s="447"/>
      <c r="AT141" s="447">
        <v>0.0406</v>
      </c>
      <c r="AU141" s="635">
        <v>0.001</v>
      </c>
      <c r="AV141" s="447">
        <v>0</v>
      </c>
      <c r="AW141" s="368"/>
      <c r="BA141" s="521">
        <v>33.780821917808</v>
      </c>
      <c r="BB141" s="522"/>
      <c r="BC141" s="447"/>
      <c r="BD141" s="447"/>
      <c r="BE141" s="447"/>
      <c r="BF141" s="447"/>
      <c r="BG141" s="447"/>
      <c r="BH141" s="760">
        <v>0.0092070238318764</v>
      </c>
      <c r="BI141" s="447">
        <v>0</v>
      </c>
      <c r="BJ141" s="368"/>
    </row>
    <row r="142" spans="1:64">
      <c r="A142" s="521">
        <v>34.027397260274</v>
      </c>
      <c r="B142" s="522"/>
      <c r="C142" s="447"/>
      <c r="D142" s="447"/>
      <c r="E142" s="447"/>
      <c r="F142" s="447"/>
      <c r="G142" s="447"/>
      <c r="H142" s="447">
        <v>0.037801958605385</v>
      </c>
      <c r="I142" s="447">
        <v>0</v>
      </c>
      <c r="J142" s="368"/>
      <c r="N142" s="521">
        <v>34.027397260274</v>
      </c>
      <c r="O142" s="522"/>
      <c r="P142" s="447"/>
      <c r="Q142" s="447"/>
      <c r="R142" s="447"/>
      <c r="S142" s="447"/>
      <c r="T142" s="447"/>
      <c r="U142" s="447">
        <v>0.011952742897385</v>
      </c>
      <c r="V142" s="447">
        <v>0</v>
      </c>
      <c r="W142" s="368"/>
      <c r="AA142" s="521">
        <v>34.027397260274</v>
      </c>
      <c r="AB142" s="522"/>
      <c r="AC142" s="447"/>
      <c r="AD142" s="447"/>
      <c r="AE142" s="447"/>
      <c r="AF142" s="447"/>
      <c r="AG142" s="447"/>
      <c r="AH142" s="447">
        <v>0.0015115468150586</v>
      </c>
      <c r="AI142" s="447">
        <v>0</v>
      </c>
      <c r="AJ142" s="368"/>
      <c r="AN142" s="521">
        <v>34.027397260274</v>
      </c>
      <c r="AO142" s="522"/>
      <c r="AP142" s="447">
        <v>0.0516</v>
      </c>
      <c r="AQ142" s="447">
        <v>0.0085</v>
      </c>
      <c r="AR142" s="447">
        <v>0.0236</v>
      </c>
      <c r="AS142" s="447"/>
      <c r="AT142" s="447">
        <v>0.0406</v>
      </c>
      <c r="AU142" s="635">
        <v>0.0008</v>
      </c>
      <c r="AV142" s="447">
        <v>0</v>
      </c>
      <c r="AW142" s="368"/>
      <c r="BA142" s="521">
        <v>34.027397260274</v>
      </c>
      <c r="BB142" s="522"/>
      <c r="BC142" s="447"/>
      <c r="BD142" s="447"/>
      <c r="BE142" s="447"/>
      <c r="BF142" s="447"/>
      <c r="BG142" s="447"/>
      <c r="BH142" s="760">
        <v>0.0091566299587023</v>
      </c>
      <c r="BI142" s="447">
        <v>0</v>
      </c>
      <c r="BJ142" s="368"/>
    </row>
    <row r="143" spans="1:64">
      <c r="A143" s="521">
        <v>34.27397260274</v>
      </c>
      <c r="B143" s="522"/>
      <c r="C143" s="447"/>
      <c r="D143" s="447"/>
      <c r="E143" s="447"/>
      <c r="F143" s="447"/>
      <c r="G143" s="447"/>
      <c r="H143" s="447">
        <v>0.037924024185324</v>
      </c>
      <c r="I143" s="447">
        <v>0</v>
      </c>
      <c r="J143" s="368"/>
      <c r="N143" s="521">
        <v>34.27397260274</v>
      </c>
      <c r="O143" s="522"/>
      <c r="P143" s="447"/>
      <c r="Q143" s="447"/>
      <c r="R143" s="447"/>
      <c r="S143" s="447"/>
      <c r="T143" s="447"/>
      <c r="U143" s="447">
        <v>0.011937243076914</v>
      </c>
      <c r="V143" s="447">
        <v>0</v>
      </c>
      <c r="W143" s="368"/>
      <c r="AA143" s="521">
        <v>34.27397260274</v>
      </c>
      <c r="AB143" s="522"/>
      <c r="AC143" s="447"/>
      <c r="AD143" s="447"/>
      <c r="AE143" s="447"/>
      <c r="AF143" s="447"/>
      <c r="AG143" s="447"/>
      <c r="AH143" s="447">
        <v>0.0012712087985525</v>
      </c>
      <c r="AI143" s="447">
        <v>0</v>
      </c>
      <c r="AJ143" s="368"/>
      <c r="AN143" s="521">
        <v>34.27397260274</v>
      </c>
      <c r="AO143" s="522"/>
      <c r="AP143" s="447">
        <v>0.0513</v>
      </c>
      <c r="AQ143" s="447">
        <v>0.0084</v>
      </c>
      <c r="AR143" s="447">
        <v>0.0235</v>
      </c>
      <c r="AS143" s="447"/>
      <c r="AT143" s="447">
        <v>0.0406</v>
      </c>
      <c r="AU143" s="635">
        <v>0.0007</v>
      </c>
      <c r="AV143" s="447">
        <v>0</v>
      </c>
      <c r="AW143" s="368"/>
      <c r="BA143" s="521">
        <v>34.27397260274</v>
      </c>
      <c r="BB143" s="522"/>
      <c r="BC143" s="447"/>
      <c r="BD143" s="447"/>
      <c r="BE143" s="447"/>
      <c r="BF143" s="447"/>
      <c r="BG143" s="447"/>
      <c r="BH143" s="760">
        <v>0.0091065707209605</v>
      </c>
      <c r="BI143" s="447">
        <v>0</v>
      </c>
      <c r="BJ143" s="368"/>
    </row>
    <row r="144" spans="1:64">
      <c r="A144" s="521">
        <v>34.520547945205</v>
      </c>
      <c r="B144" s="522"/>
      <c r="C144" s="447"/>
      <c r="D144" s="447"/>
      <c r="E144" s="447"/>
      <c r="F144" s="447"/>
      <c r="G144" s="447"/>
      <c r="H144" s="447">
        <v>0.038046151404491</v>
      </c>
      <c r="I144" s="447">
        <v>0</v>
      </c>
      <c r="N144" s="521">
        <v>34.520547945205</v>
      </c>
      <c r="O144" s="522"/>
      <c r="P144" s="447"/>
      <c r="Q144" s="447"/>
      <c r="R144" s="447"/>
      <c r="S144" s="447"/>
      <c r="T144" s="447"/>
      <c r="U144" s="447">
        <v>0.011922739913909</v>
      </c>
      <c r="V144" s="447">
        <v>0</v>
      </c>
      <c r="AA144" s="521">
        <v>34.520547945205</v>
      </c>
      <c r="AB144" s="522"/>
      <c r="AC144" s="447"/>
      <c r="AD144" s="447"/>
      <c r="AE144" s="447"/>
      <c r="AF144" s="447"/>
      <c r="AG144" s="447"/>
      <c r="AH144" s="447">
        <v>0.0010308781954922</v>
      </c>
      <c r="AI144" s="447">
        <v>0</v>
      </c>
      <c r="AN144" s="521">
        <v>34.520547945205</v>
      </c>
      <c r="AO144" s="522"/>
      <c r="AP144" s="447">
        <v>0.0511</v>
      </c>
      <c r="AQ144" s="447">
        <v>0.0083</v>
      </c>
      <c r="AR144" s="447">
        <v>0.0234</v>
      </c>
      <c r="AS144" s="447"/>
      <c r="AT144" s="447">
        <v>0.0406</v>
      </c>
      <c r="AU144" s="635">
        <v>0.0006</v>
      </c>
      <c r="AV144" s="447">
        <v>0</v>
      </c>
      <c r="BA144" s="521">
        <v>34.520547945205</v>
      </c>
      <c r="BB144" s="522"/>
      <c r="BC144" s="447"/>
      <c r="BD144" s="447"/>
      <c r="BE144" s="447"/>
      <c r="BF144" s="447"/>
      <c r="BG144" s="447"/>
      <c r="BH144" s="760">
        <v>0.0090568543853995</v>
      </c>
      <c r="BI144" s="447">
        <v>0</v>
      </c>
    </row>
    <row r="145" spans="1:64">
      <c r="A145" s="521">
        <v>34.767123287671</v>
      </c>
      <c r="B145" s="522"/>
      <c r="C145" s="447"/>
      <c r="D145" s="447"/>
      <c r="E145" s="447"/>
      <c r="F145" s="447"/>
      <c r="G145" s="447"/>
      <c r="H145" s="447">
        <v>0.071976346</v>
      </c>
      <c r="I145" s="447">
        <v>0</v>
      </c>
      <c r="N145" s="521">
        <v>34.767123287671</v>
      </c>
      <c r="O145" s="522"/>
      <c r="P145" s="447"/>
      <c r="Q145" s="447"/>
      <c r="R145" s="447"/>
      <c r="S145" s="447"/>
      <c r="T145" s="447"/>
      <c r="U145" s="447">
        <v>0.079835282</v>
      </c>
      <c r="V145" s="447">
        <v>0</v>
      </c>
      <c r="AA145" s="521">
        <v>34.767123287671</v>
      </c>
      <c r="AB145" s="522"/>
      <c r="AC145" s="447"/>
      <c r="AD145" s="447"/>
      <c r="AE145" s="447"/>
      <c r="AF145" s="447"/>
      <c r="AG145" s="447"/>
      <c r="AH145" s="447">
        <v>0.070153705</v>
      </c>
      <c r="AI145" s="447">
        <v>0</v>
      </c>
      <c r="AN145" s="521">
        <v>34.767123287671</v>
      </c>
      <c r="AO145" s="522"/>
      <c r="AP145" s="447">
        <v>0.0508</v>
      </c>
      <c r="AQ145" s="447">
        <v>0.0082</v>
      </c>
      <c r="AR145" s="447">
        <v>0.0233</v>
      </c>
      <c r="AS145" s="447"/>
      <c r="AT145" s="447">
        <v>0.0406</v>
      </c>
      <c r="AU145" s="635">
        <v>0.0683</v>
      </c>
      <c r="AV145" s="447">
        <v>0</v>
      </c>
      <c r="BA145" s="521">
        <v>34.767123287671</v>
      </c>
      <c r="BB145" s="522"/>
      <c r="BC145" s="447"/>
      <c r="BD145" s="447"/>
      <c r="BE145" s="447"/>
      <c r="BF145" s="447"/>
      <c r="BG145" s="447"/>
      <c r="BH145" s="760">
        <v>0.0089490218550383</v>
      </c>
      <c r="BI145" s="447">
        <v>0</v>
      </c>
    </row>
    <row r="146" spans="1:64">
      <c r="A146" s="521">
        <v>35.013698630137</v>
      </c>
      <c r="B146" s="522"/>
      <c r="C146" s="447"/>
      <c r="D146" s="447"/>
      <c r="E146" s="447"/>
      <c r="F146" s="447"/>
      <c r="G146" s="447"/>
      <c r="H146" s="447">
        <v>0.072000458</v>
      </c>
      <c r="I146" s="447">
        <v>0</v>
      </c>
      <c r="N146" s="521">
        <v>35.013698630137</v>
      </c>
      <c r="O146" s="522"/>
      <c r="P146" s="447"/>
      <c r="Q146" s="447"/>
      <c r="R146" s="447"/>
      <c r="S146" s="447"/>
      <c r="T146" s="447"/>
      <c r="U146" s="447">
        <v>0.079805824</v>
      </c>
      <c r="V146" s="447">
        <v>0</v>
      </c>
      <c r="AA146" s="521">
        <v>35.013698630137</v>
      </c>
      <c r="AB146" s="522"/>
      <c r="AC146" s="447"/>
      <c r="AD146" s="447"/>
      <c r="AE146" s="447"/>
      <c r="AF146" s="447"/>
      <c r="AG146" s="447"/>
      <c r="AH146" s="447">
        <v>0.070158388</v>
      </c>
      <c r="AI146" s="447">
        <v>0</v>
      </c>
      <c r="AN146" s="521">
        <v>35.013698630137</v>
      </c>
      <c r="AO146" s="522"/>
      <c r="AP146" s="447">
        <v>0.0505</v>
      </c>
      <c r="AQ146" s="447">
        <v>0.0082</v>
      </c>
      <c r="AR146" s="447">
        <v>0.0232</v>
      </c>
      <c r="AS146" s="447"/>
      <c r="AT146" s="447">
        <v>0.0407</v>
      </c>
      <c r="AU146" s="635">
        <v>0.0682</v>
      </c>
      <c r="AV146" s="447">
        <v>0</v>
      </c>
      <c r="BA146" s="521">
        <v>35.013698630137</v>
      </c>
      <c r="BB146" s="522"/>
      <c r="BC146" s="447"/>
      <c r="BD146" s="447"/>
      <c r="BE146" s="447"/>
      <c r="BF146" s="447"/>
      <c r="BG146" s="447"/>
      <c r="BH146" s="760">
        <v>0.0088411119760106</v>
      </c>
      <c r="BI146" s="447">
        <v>0</v>
      </c>
    </row>
    <row r="147" spans="1:64">
      <c r="A147" s="521">
        <v>35.260273972603</v>
      </c>
      <c r="B147" s="522"/>
      <c r="C147" s="447"/>
      <c r="D147" s="447"/>
      <c r="E147" s="447"/>
      <c r="F147" s="447"/>
      <c r="G147" s="447"/>
      <c r="H147" s="447">
        <v>0.072024202</v>
      </c>
      <c r="I147" s="447">
        <v>0</v>
      </c>
      <c r="N147" s="521">
        <v>35.260273972603</v>
      </c>
      <c r="O147" s="522"/>
      <c r="P147" s="447"/>
      <c r="Q147" s="447"/>
      <c r="R147" s="447"/>
      <c r="S147" s="447"/>
      <c r="T147" s="447"/>
      <c r="U147" s="447">
        <v>0.079776586</v>
      </c>
      <c r="V147" s="447">
        <v>0</v>
      </c>
      <c r="AA147" s="521">
        <v>35.260273972603</v>
      </c>
      <c r="AB147" s="522"/>
      <c r="AC147" s="447"/>
      <c r="AD147" s="447"/>
      <c r="AE147" s="447"/>
      <c r="AF147" s="447"/>
      <c r="AG147" s="447"/>
      <c r="AH147" s="447">
        <v>0.070162874</v>
      </c>
      <c r="AI147" s="447">
        <v>0</v>
      </c>
      <c r="AN147" s="521">
        <v>35.260273972603</v>
      </c>
      <c r="AO147" s="522"/>
      <c r="AP147" s="447">
        <v>0.0502</v>
      </c>
      <c r="AQ147" s="447">
        <v>0.0081</v>
      </c>
      <c r="AR147" s="447">
        <v>0.0231</v>
      </c>
      <c r="AS147" s="447"/>
      <c r="AT147" s="447">
        <v>0.0407</v>
      </c>
      <c r="AU147" s="635">
        <v>0.0681</v>
      </c>
      <c r="AV147" s="447">
        <v>0</v>
      </c>
      <c r="BA147" s="521">
        <v>35.260273972603</v>
      </c>
      <c r="BB147" s="522"/>
      <c r="BC147" s="447"/>
      <c r="BD147" s="447"/>
      <c r="BE147" s="447"/>
      <c r="BF147" s="447"/>
      <c r="BG147" s="447"/>
      <c r="BH147" s="760">
        <v>0.0087331492735037</v>
      </c>
      <c r="BI147" s="447">
        <v>0</v>
      </c>
    </row>
    <row r="148" spans="1:64">
      <c r="A148" s="521">
        <v>35.506849315068</v>
      </c>
      <c r="B148" s="522"/>
      <c r="C148" s="447"/>
      <c r="D148" s="447"/>
      <c r="E148" s="447"/>
      <c r="F148" s="447"/>
      <c r="G148" s="447"/>
      <c r="H148" s="447">
        <v>0.072047585</v>
      </c>
      <c r="I148" s="447">
        <v>0</v>
      </c>
      <c r="N148" s="521">
        <v>35.506849315068</v>
      </c>
      <c r="O148" s="522"/>
      <c r="P148" s="447"/>
      <c r="Q148" s="447"/>
      <c r="R148" s="447"/>
      <c r="S148" s="447"/>
      <c r="T148" s="447"/>
      <c r="U148" s="447">
        <v>0.079747569</v>
      </c>
      <c r="V148" s="447">
        <v>0</v>
      </c>
      <c r="AA148" s="521">
        <v>35.506849315068</v>
      </c>
      <c r="AB148" s="522"/>
      <c r="AC148" s="447"/>
      <c r="AD148" s="447"/>
      <c r="AE148" s="447"/>
      <c r="AF148" s="447"/>
      <c r="AG148" s="447"/>
      <c r="AH148" s="447">
        <v>0.070167168</v>
      </c>
      <c r="AI148" s="447">
        <v>0</v>
      </c>
      <c r="AN148" s="521">
        <v>35.506849315068</v>
      </c>
      <c r="AO148" s="522"/>
      <c r="AP148" s="447">
        <v>0.0499</v>
      </c>
      <c r="AQ148" s="447">
        <v>0.008</v>
      </c>
      <c r="AR148" s="447">
        <v>0.023</v>
      </c>
      <c r="AS148" s="447"/>
      <c r="AT148" s="447">
        <v>0.0407</v>
      </c>
      <c r="AU148" s="635">
        <v>0.068</v>
      </c>
      <c r="AV148" s="447">
        <v>0</v>
      </c>
      <c r="BA148" s="521">
        <v>35.506849315068</v>
      </c>
      <c r="BB148" s="522"/>
      <c r="BC148" s="447"/>
      <c r="BD148" s="447"/>
      <c r="BE148" s="447"/>
      <c r="BF148" s="447"/>
      <c r="BG148" s="447"/>
      <c r="BH148" s="760">
        <v>0.0086251592159805</v>
      </c>
      <c r="BI148" s="447">
        <v>0</v>
      </c>
    </row>
    <row r="149" spans="1:64">
      <c r="A149" s="521">
        <v>35.753424657534</v>
      </c>
      <c r="B149" s="522"/>
      <c r="C149" s="447"/>
      <c r="D149" s="447"/>
      <c r="E149" s="447"/>
      <c r="F149" s="447"/>
      <c r="G149" s="447"/>
      <c r="H149" s="447">
        <v>0.072070615</v>
      </c>
      <c r="I149" s="447">
        <v>0</v>
      </c>
      <c r="N149" s="521">
        <v>35.753424657534</v>
      </c>
      <c r="O149" s="522"/>
      <c r="P149" s="447"/>
      <c r="Q149" s="447"/>
      <c r="R149" s="447"/>
      <c r="S149" s="447"/>
      <c r="T149" s="447"/>
      <c r="U149" s="447">
        <v>0.079718774</v>
      </c>
      <c r="V149" s="447">
        <v>0</v>
      </c>
      <c r="AA149" s="521">
        <v>35.753424657534</v>
      </c>
      <c r="AB149" s="522"/>
      <c r="AC149" s="447"/>
      <c r="AD149" s="447"/>
      <c r="AE149" s="447"/>
      <c r="AF149" s="447"/>
      <c r="AG149" s="447"/>
      <c r="AH149" s="447">
        <v>0.070171275</v>
      </c>
      <c r="AI149" s="447">
        <v>0</v>
      </c>
      <c r="AN149" s="521">
        <v>35.753424657534</v>
      </c>
      <c r="AO149" s="522"/>
      <c r="AP149" s="447">
        <v>0.0496</v>
      </c>
      <c r="AQ149" s="447">
        <v>0.0079</v>
      </c>
      <c r="AR149" s="447">
        <v>0.0229</v>
      </c>
      <c r="AS149" s="447"/>
      <c r="AT149" s="447">
        <v>0.0407</v>
      </c>
      <c r="AU149" s="635">
        <v>0.0679</v>
      </c>
      <c r="AV149" s="447">
        <v>0</v>
      </c>
      <c r="BA149" s="521">
        <v>35.753424657534</v>
      </c>
      <c r="BB149" s="522"/>
      <c r="BC149" s="447"/>
      <c r="BD149" s="447"/>
      <c r="BE149" s="447"/>
      <c r="BF149" s="447"/>
      <c r="BG149" s="447"/>
      <c r="BH149" s="760">
        <v>0.0085171663286279</v>
      </c>
      <c r="BI149" s="447">
        <v>0</v>
      </c>
    </row>
    <row r="150" spans="1:64">
      <c r="A150" s="521">
        <v>36</v>
      </c>
      <c r="B150" s="522"/>
      <c r="C150" s="447"/>
      <c r="D150" s="447"/>
      <c r="E150" s="447"/>
      <c r="F150" s="447"/>
      <c r="G150" s="447"/>
      <c r="H150" s="447">
        <v>0.0720933</v>
      </c>
      <c r="I150" s="447">
        <v>0</v>
      </c>
      <c r="N150" s="521">
        <v>36</v>
      </c>
      <c r="O150" s="522"/>
      <c r="P150" s="447"/>
      <c r="Q150" s="447"/>
      <c r="R150" s="447"/>
      <c r="S150" s="447"/>
      <c r="T150" s="447"/>
      <c r="U150" s="447">
        <v>0.0796902</v>
      </c>
      <c r="V150" s="447">
        <v>0</v>
      </c>
      <c r="AA150" s="521">
        <v>36</v>
      </c>
      <c r="AB150" s="522"/>
      <c r="AC150" s="447"/>
      <c r="AD150" s="447"/>
      <c r="AE150" s="447"/>
      <c r="AF150" s="447"/>
      <c r="AG150" s="447"/>
      <c r="AH150" s="447">
        <v>0.0701752</v>
      </c>
      <c r="AI150" s="447">
        <v>0</v>
      </c>
      <c r="AN150" s="521">
        <v>36</v>
      </c>
      <c r="AO150" s="522"/>
      <c r="AP150" s="447">
        <v>0.0493</v>
      </c>
      <c r="AQ150" s="447">
        <v>0.0078</v>
      </c>
      <c r="AR150" s="447">
        <v>0.0228</v>
      </c>
      <c r="AS150" s="447"/>
      <c r="AT150" s="447">
        <v>0.0407</v>
      </c>
      <c r="AU150" s="635">
        <v>0.0678</v>
      </c>
      <c r="AV150" s="447">
        <v>0</v>
      </c>
      <c r="BA150" s="521">
        <v>36</v>
      </c>
      <c r="BB150" s="522"/>
      <c r="BC150" s="447"/>
      <c r="BD150" s="447"/>
      <c r="BE150" s="447"/>
      <c r="BF150" s="447"/>
      <c r="BG150" s="447"/>
      <c r="BH150" s="760">
        <v>0.0084091941933566</v>
      </c>
      <c r="BI150" s="447">
        <v>0</v>
      </c>
    </row>
    <row r="151" spans="1:64">
      <c r="A151" s="521">
        <v>36.246575342466</v>
      </c>
      <c r="B151" s="522"/>
      <c r="C151" s="447"/>
      <c r="D151" s="447"/>
      <c r="E151" s="447"/>
      <c r="F151" s="447"/>
      <c r="G151" s="447"/>
      <c r="H151" s="447">
        <v>0.072115647</v>
      </c>
      <c r="I151" s="447">
        <v>0</v>
      </c>
      <c r="N151" s="521">
        <v>36.246575342466</v>
      </c>
      <c r="O151" s="522"/>
      <c r="P151" s="447"/>
      <c r="Q151" s="447"/>
      <c r="R151" s="447"/>
      <c r="S151" s="447"/>
      <c r="T151" s="447"/>
      <c r="U151" s="447">
        <v>0.079661849</v>
      </c>
      <c r="V151" s="447">
        <v>0</v>
      </c>
      <c r="AA151" s="521">
        <v>36.246575342466</v>
      </c>
      <c r="AB151" s="522"/>
      <c r="AC151" s="447"/>
      <c r="AD151" s="447"/>
      <c r="AE151" s="447"/>
      <c r="AF151" s="447"/>
      <c r="AG151" s="447"/>
      <c r="AH151" s="447">
        <v>0.070178946</v>
      </c>
      <c r="AI151" s="447">
        <v>0</v>
      </c>
      <c r="AN151" s="521">
        <v>36.246575342466</v>
      </c>
      <c r="AO151" s="522"/>
      <c r="AP151" s="447">
        <v>0.049</v>
      </c>
      <c r="AQ151" s="447">
        <v>0.0078</v>
      </c>
      <c r="AR151" s="447">
        <v>0.0226</v>
      </c>
      <c r="AS151" s="447"/>
      <c r="AT151" s="447">
        <v>0.0407</v>
      </c>
      <c r="AU151" s="635">
        <v>0.0677</v>
      </c>
      <c r="AV151" s="447">
        <v>0</v>
      </c>
      <c r="BA151" s="521">
        <v>36.246575342466</v>
      </c>
      <c r="BB151" s="522"/>
      <c r="BC151" s="447"/>
      <c r="BD151" s="447"/>
      <c r="BE151" s="447"/>
      <c r="BF151" s="447"/>
      <c r="BG151" s="447"/>
      <c r="BH151" s="760">
        <v>0.0083012645055243</v>
      </c>
      <c r="BI151" s="447">
        <v>0</v>
      </c>
    </row>
    <row r="152" spans="1:64">
      <c r="A152" s="521">
        <v>36.493150684932</v>
      </c>
      <c r="B152" s="522"/>
      <c r="C152" s="447"/>
      <c r="D152" s="447"/>
      <c r="E152" s="447"/>
      <c r="F152" s="447"/>
      <c r="G152" s="447"/>
      <c r="H152" s="447">
        <v>0.072137664</v>
      </c>
      <c r="I152" s="447">
        <v>0</v>
      </c>
      <c r="N152" s="521">
        <v>36.493150684932</v>
      </c>
      <c r="O152" s="522"/>
      <c r="P152" s="447"/>
      <c r="Q152" s="447"/>
      <c r="R152" s="447"/>
      <c r="S152" s="447"/>
      <c r="T152" s="447"/>
      <c r="U152" s="447">
        <v>0.07963372</v>
      </c>
      <c r="V152" s="447">
        <v>0</v>
      </c>
      <c r="AA152" s="521">
        <v>36.493150684932</v>
      </c>
      <c r="AB152" s="522"/>
      <c r="AC152" s="447"/>
      <c r="AD152" s="447"/>
      <c r="AE152" s="447"/>
      <c r="AF152" s="447"/>
      <c r="AG152" s="447"/>
      <c r="AH152" s="447">
        <v>0.070182519</v>
      </c>
      <c r="AI152" s="447">
        <v>0</v>
      </c>
      <c r="AN152" s="521">
        <v>36.493150684932</v>
      </c>
      <c r="AO152" s="522"/>
      <c r="AP152" s="447">
        <v>0.0487</v>
      </c>
      <c r="AQ152" s="447">
        <v>0.0077</v>
      </c>
      <c r="AR152" s="447">
        <v>0.0225</v>
      </c>
      <c r="AS152" s="447"/>
      <c r="AT152" s="447">
        <v>0.0408</v>
      </c>
      <c r="AU152" s="635">
        <v>0.0676</v>
      </c>
      <c r="AV152" s="447">
        <v>0</v>
      </c>
      <c r="BA152" s="521">
        <v>36.493150684932</v>
      </c>
      <c r="BB152" s="522"/>
      <c r="BC152" s="447"/>
      <c r="BD152" s="447"/>
      <c r="BE152" s="447"/>
      <c r="BF152" s="447"/>
      <c r="BG152" s="447"/>
      <c r="BH152" s="760">
        <v>0.0081933980172118</v>
      </c>
      <c r="BI152" s="447">
        <v>0</v>
      </c>
    </row>
    <row r="153" spans="1:64">
      <c r="A153" s="521">
        <v>36.739726027397</v>
      </c>
      <c r="B153" s="522"/>
      <c r="C153" s="447"/>
      <c r="D153" s="447"/>
      <c r="E153" s="447"/>
      <c r="F153" s="447"/>
      <c r="G153" s="447"/>
      <c r="H153" s="447">
        <v>0.072159356</v>
      </c>
      <c r="I153" s="447">
        <v>0</v>
      </c>
      <c r="N153" s="521">
        <v>36.739726027397</v>
      </c>
      <c r="O153" s="522"/>
      <c r="P153" s="447"/>
      <c r="Q153" s="447"/>
      <c r="R153" s="447"/>
      <c r="S153" s="447"/>
      <c r="T153" s="447"/>
      <c r="U153" s="447">
        <v>0.079605815</v>
      </c>
      <c r="V153" s="447">
        <v>0</v>
      </c>
      <c r="AA153" s="521">
        <v>36.739726027397</v>
      </c>
      <c r="AB153" s="522"/>
      <c r="AC153" s="447"/>
      <c r="AD153" s="447"/>
      <c r="AE153" s="447"/>
      <c r="AF153" s="447"/>
      <c r="AG153" s="447"/>
      <c r="AH153" s="447">
        <v>0.070185923</v>
      </c>
      <c r="AI153" s="447">
        <v>0</v>
      </c>
      <c r="AN153" s="521">
        <v>36.739726027397</v>
      </c>
      <c r="AO153" s="522"/>
      <c r="AP153" s="447">
        <v>0.0484</v>
      </c>
      <c r="AQ153" s="447">
        <v>0.0076</v>
      </c>
      <c r="AR153" s="447">
        <v>0.0224</v>
      </c>
      <c r="AS153" s="447"/>
      <c r="AT153" s="447">
        <v>0.0408</v>
      </c>
      <c r="AU153" s="635">
        <v>0.0675</v>
      </c>
      <c r="AV153" s="447">
        <v>0</v>
      </c>
      <c r="BA153" s="521">
        <v>36.739726027397</v>
      </c>
      <c r="BB153" s="522"/>
      <c r="BC153" s="447"/>
      <c r="BD153" s="447"/>
      <c r="BE153" s="447"/>
      <c r="BF153" s="447"/>
      <c r="BG153" s="447"/>
      <c r="BH153" s="760">
        <v>0.0080856164237773</v>
      </c>
      <c r="BI153" s="447">
        <v>0</v>
      </c>
    </row>
    <row r="154" spans="1:64">
      <c r="A154" s="521">
        <v>36.986301369863</v>
      </c>
      <c r="B154" s="522"/>
      <c r="C154" s="447"/>
      <c r="D154" s="447"/>
      <c r="E154" s="447"/>
      <c r="F154" s="447"/>
      <c r="G154" s="447"/>
      <c r="H154" s="447">
        <v>0.072180732</v>
      </c>
      <c r="I154" s="447">
        <v>0</v>
      </c>
      <c r="N154" s="521">
        <v>36.986301369863</v>
      </c>
      <c r="O154" s="522"/>
      <c r="P154" s="447"/>
      <c r="Q154" s="447"/>
      <c r="R154" s="447"/>
      <c r="S154" s="447"/>
      <c r="T154" s="447"/>
      <c r="U154" s="447">
        <v>0.079578132</v>
      </c>
      <c r="V154" s="447">
        <v>0</v>
      </c>
      <c r="AA154" s="521">
        <v>36.986301369863</v>
      </c>
      <c r="AB154" s="522"/>
      <c r="AC154" s="447"/>
      <c r="AD154" s="447"/>
      <c r="AE154" s="447"/>
      <c r="AF154" s="447"/>
      <c r="AG154" s="447"/>
      <c r="AH154" s="447">
        <v>0.070189161</v>
      </c>
      <c r="AI154" s="447">
        <v>0</v>
      </c>
      <c r="AN154" s="521">
        <v>36.986301369863</v>
      </c>
      <c r="AO154" s="522"/>
      <c r="AP154" s="447">
        <v>0.0481</v>
      </c>
      <c r="AQ154" s="447">
        <v>0.0075</v>
      </c>
      <c r="AR154" s="447">
        <v>0.0223</v>
      </c>
      <c r="AS154" s="447"/>
      <c r="AT154" s="447">
        <v>0.0408</v>
      </c>
      <c r="AU154" s="635">
        <v>0.0674</v>
      </c>
      <c r="AV154" s="447">
        <v>0</v>
      </c>
      <c r="BA154" s="521">
        <v>36.986301369863</v>
      </c>
      <c r="BB154" s="522"/>
      <c r="BC154" s="447"/>
      <c r="BD154" s="447"/>
      <c r="BE154" s="447"/>
      <c r="BF154" s="447"/>
      <c r="BG154" s="447"/>
      <c r="BH154" s="760">
        <v>0.0079779404773015</v>
      </c>
      <c r="BI154" s="447">
        <v>0</v>
      </c>
    </row>
    <row r="155" spans="1:64">
      <c r="A155" s="521">
        <v>37.232876712329</v>
      </c>
      <c r="B155" s="522"/>
      <c r="C155" s="447"/>
      <c r="D155" s="447"/>
      <c r="E155" s="447"/>
      <c r="F155" s="447"/>
      <c r="G155" s="447"/>
      <c r="H155" s="447">
        <v>0.072201797</v>
      </c>
      <c r="I155" s="447">
        <v>0</v>
      </c>
      <c r="N155" s="521">
        <v>37.232876712329</v>
      </c>
      <c r="O155" s="522"/>
      <c r="P155" s="447"/>
      <c r="Q155" s="447"/>
      <c r="R155" s="447"/>
      <c r="S155" s="447"/>
      <c r="T155" s="447"/>
      <c r="U155" s="447">
        <v>0.079550672</v>
      </c>
      <c r="V155" s="447">
        <v>0</v>
      </c>
      <c r="AA155" s="521">
        <v>37.232876712329</v>
      </c>
      <c r="AB155" s="522"/>
      <c r="AC155" s="447"/>
      <c r="AD155" s="447"/>
      <c r="AE155" s="447"/>
      <c r="AF155" s="447"/>
      <c r="AG155" s="447"/>
      <c r="AH155" s="447">
        <v>0.070192237</v>
      </c>
      <c r="AI155" s="447">
        <v>0</v>
      </c>
      <c r="AN155" s="521">
        <v>37.232876712329</v>
      </c>
      <c r="AO155" s="522"/>
      <c r="AP155" s="447">
        <v>0.0478</v>
      </c>
      <c r="AQ155" s="447">
        <v>0.0074</v>
      </c>
      <c r="AR155" s="447">
        <v>0.0222</v>
      </c>
      <c r="AS155" s="447"/>
      <c r="AT155" s="447">
        <v>0.0408</v>
      </c>
      <c r="AU155" s="635">
        <v>0.0673</v>
      </c>
      <c r="AV155" s="447">
        <v>0</v>
      </c>
      <c r="BA155" s="521">
        <v>37.232876712329</v>
      </c>
      <c r="BB155" s="522"/>
      <c r="BC155" s="447"/>
      <c r="BD155" s="447"/>
      <c r="BE155" s="447"/>
      <c r="BF155" s="447"/>
      <c r="BG155" s="447"/>
      <c r="BH155" s="760">
        <v>0.0078703871567603</v>
      </c>
      <c r="BI155" s="447">
        <v>0</v>
      </c>
    </row>
    <row r="156" spans="1:64">
      <c r="A156" s="521">
        <v>37.479452054795</v>
      </c>
      <c r="B156" s="522"/>
      <c r="C156" s="447"/>
      <c r="D156" s="447"/>
      <c r="E156" s="447"/>
      <c r="F156" s="447"/>
      <c r="G156" s="447"/>
      <c r="H156" s="447">
        <v>0.072222558</v>
      </c>
      <c r="I156" s="447">
        <v>0</v>
      </c>
      <c r="N156" s="521">
        <v>37.479452054795</v>
      </c>
      <c r="O156" s="522"/>
      <c r="P156" s="447"/>
      <c r="Q156" s="447"/>
      <c r="R156" s="447"/>
      <c r="S156" s="447"/>
      <c r="T156" s="447"/>
      <c r="U156" s="447">
        <v>0.079523435</v>
      </c>
      <c r="V156" s="447">
        <v>0</v>
      </c>
      <c r="AA156" s="521">
        <v>37.479452054795</v>
      </c>
      <c r="AB156" s="522"/>
      <c r="AC156" s="447"/>
      <c r="AD156" s="447"/>
      <c r="AE156" s="447"/>
      <c r="AF156" s="447"/>
      <c r="AG156" s="447"/>
      <c r="AH156" s="447">
        <v>0.070195156</v>
      </c>
      <c r="AI156" s="447">
        <v>0</v>
      </c>
      <c r="AN156" s="521">
        <v>37.479452054795</v>
      </c>
      <c r="AO156" s="522"/>
      <c r="AP156" s="447">
        <v>0.0474</v>
      </c>
      <c r="AQ156" s="447">
        <v>0.0073</v>
      </c>
      <c r="AR156" s="447">
        <v>0.022</v>
      </c>
      <c r="AS156" s="447"/>
      <c r="AT156" s="447">
        <v>0.0409</v>
      </c>
      <c r="AU156" s="635">
        <v>0.0672</v>
      </c>
      <c r="AV156" s="447">
        <v>0</v>
      </c>
      <c r="BA156" s="521">
        <v>37.479452054795</v>
      </c>
      <c r="BB156" s="522"/>
      <c r="BC156" s="447"/>
      <c r="BD156" s="447"/>
      <c r="BE156" s="447"/>
      <c r="BF156" s="447"/>
      <c r="BG156" s="447"/>
      <c r="BH156" s="760">
        <v>0.0077629772142345</v>
      </c>
      <c r="BI156" s="447">
        <v>0</v>
      </c>
    </row>
    <row r="157" spans="1:64">
      <c r="A157" s="521">
        <v>37.72602739726</v>
      </c>
      <c r="B157" s="522"/>
      <c r="C157" s="447"/>
      <c r="D157" s="447"/>
      <c r="E157" s="447"/>
      <c r="F157" s="447"/>
      <c r="G157" s="447"/>
      <c r="H157" s="447">
        <v>0.072243022</v>
      </c>
      <c r="I157" s="447">
        <v>0</v>
      </c>
      <c r="N157" s="521">
        <v>37.72602739726</v>
      </c>
      <c r="O157" s="522"/>
      <c r="P157" s="447"/>
      <c r="Q157" s="447"/>
      <c r="R157" s="447"/>
      <c r="S157" s="447"/>
      <c r="T157" s="447"/>
      <c r="U157" s="447">
        <v>0.07949642</v>
      </c>
      <c r="V157" s="447">
        <v>0</v>
      </c>
      <c r="AA157" s="521">
        <v>37.72602739726</v>
      </c>
      <c r="AB157" s="522"/>
      <c r="AC157" s="447"/>
      <c r="AD157" s="447"/>
      <c r="AE157" s="447"/>
      <c r="AF157" s="447"/>
      <c r="AG157" s="447"/>
      <c r="AH157" s="447">
        <v>0.070197922</v>
      </c>
      <c r="AI157" s="447">
        <v>0</v>
      </c>
      <c r="AN157" s="521">
        <v>37.72602739726</v>
      </c>
      <c r="AO157" s="522"/>
      <c r="AP157" s="447">
        <v>0.0471</v>
      </c>
      <c r="AQ157" s="447">
        <v>0.0073</v>
      </c>
      <c r="AR157" s="447">
        <v>0.0219</v>
      </c>
      <c r="AS157" s="447"/>
      <c r="AT157" s="447">
        <v>0.0409</v>
      </c>
      <c r="AU157" s="635">
        <v>0.0671</v>
      </c>
      <c r="AV157" s="447">
        <v>0</v>
      </c>
      <c r="BA157" s="521">
        <v>37.72602739726</v>
      </c>
      <c r="BB157" s="522"/>
      <c r="BC157" s="447"/>
      <c r="BD157" s="447"/>
      <c r="BE157" s="447"/>
      <c r="BF157" s="447"/>
      <c r="BG157" s="447"/>
      <c r="BH157" s="760">
        <v>0.0076557266854236</v>
      </c>
      <c r="BI157" s="447">
        <v>0</v>
      </c>
    </row>
    <row r="158" spans="1:64">
      <c r="A158" s="521">
        <v>37.972602739726</v>
      </c>
      <c r="B158" s="522"/>
      <c r="C158" s="447"/>
      <c r="D158" s="447"/>
      <c r="E158" s="447"/>
      <c r="F158" s="447"/>
      <c r="G158" s="447"/>
      <c r="H158" s="447">
        <v>0.072263194</v>
      </c>
      <c r="I158" s="447">
        <v>0</v>
      </c>
      <c r="N158" s="521">
        <v>37.972602739726</v>
      </c>
      <c r="O158" s="522"/>
      <c r="P158" s="447"/>
      <c r="Q158" s="447"/>
      <c r="R158" s="447"/>
      <c r="S158" s="447"/>
      <c r="T158" s="447"/>
      <c r="U158" s="447">
        <v>0.079469626</v>
      </c>
      <c r="V158" s="447">
        <v>0</v>
      </c>
      <c r="AA158" s="521">
        <v>37.972602739726</v>
      </c>
      <c r="AB158" s="522"/>
      <c r="AC158" s="447"/>
      <c r="AD158" s="447"/>
      <c r="AE158" s="447"/>
      <c r="AF158" s="447"/>
      <c r="AG158" s="447"/>
      <c r="AH158" s="447">
        <v>0.070200538</v>
      </c>
      <c r="AI158" s="447">
        <v>0</v>
      </c>
      <c r="AN158" s="521">
        <v>37.972602739726</v>
      </c>
      <c r="AO158" s="522"/>
      <c r="AP158" s="447">
        <v>0.0468</v>
      </c>
      <c r="AQ158" s="447">
        <v>0.0072</v>
      </c>
      <c r="AR158" s="447">
        <v>0.0218</v>
      </c>
      <c r="AS158" s="447"/>
      <c r="AT158" s="447">
        <v>0.0409</v>
      </c>
      <c r="AU158" s="635">
        <v>0.067</v>
      </c>
      <c r="AV158" s="447">
        <v>0</v>
      </c>
      <c r="BA158" s="521">
        <v>37.972602739726</v>
      </c>
      <c r="BB158" s="522"/>
      <c r="BC158" s="447"/>
      <c r="BD158" s="447"/>
      <c r="BE158" s="447"/>
      <c r="BF158" s="447"/>
      <c r="BG158" s="447"/>
      <c r="BH158" s="760">
        <v>0.0075486534925795</v>
      </c>
      <c r="BI158" s="447">
        <v>0</v>
      </c>
    </row>
    <row r="159" spans="1:64">
      <c r="A159" s="521">
        <v>38.219178082192</v>
      </c>
      <c r="B159" s="522"/>
      <c r="C159" s="447"/>
      <c r="D159" s="447"/>
      <c r="E159" s="447"/>
      <c r="F159" s="447"/>
      <c r="G159" s="447"/>
      <c r="H159" s="447">
        <v>0.07228308</v>
      </c>
      <c r="I159" s="447">
        <v>0</v>
      </c>
      <c r="N159" s="521">
        <v>38.219178082192</v>
      </c>
      <c r="O159" s="522"/>
      <c r="P159" s="447"/>
      <c r="Q159" s="447"/>
      <c r="R159" s="447"/>
      <c r="S159" s="447"/>
      <c r="T159" s="447"/>
      <c r="U159" s="447">
        <v>0.079443054</v>
      </c>
      <c r="V159" s="447">
        <v>0</v>
      </c>
      <c r="AA159" s="521">
        <v>38.219178082192</v>
      </c>
      <c r="AB159" s="522"/>
      <c r="AC159" s="447"/>
      <c r="AD159" s="447"/>
      <c r="AE159" s="447"/>
      <c r="AF159" s="447"/>
      <c r="AG159" s="447"/>
      <c r="AH159" s="447">
        <v>0.070203007</v>
      </c>
      <c r="AI159" s="447">
        <v>0</v>
      </c>
      <c r="AN159" s="521">
        <v>38.219178082192</v>
      </c>
      <c r="AO159" s="522"/>
      <c r="AP159" s="447">
        <v>0.0465</v>
      </c>
      <c r="AQ159" s="447">
        <v>0.0071</v>
      </c>
      <c r="AR159" s="447">
        <v>0.0216</v>
      </c>
      <c r="AS159" s="447"/>
      <c r="AT159" s="447">
        <v>0.0409</v>
      </c>
      <c r="AU159" s="635">
        <v>0.0669</v>
      </c>
      <c r="AV159" s="447">
        <v>0</v>
      </c>
      <c r="BA159" s="521">
        <v>38.219178082192</v>
      </c>
      <c r="BB159" s="522"/>
      <c r="BC159" s="447"/>
      <c r="BD159" s="447"/>
      <c r="BE159" s="447"/>
      <c r="BF159" s="447"/>
      <c r="BG159" s="447"/>
      <c r="BH159" s="760">
        <v>0.0074417727281249</v>
      </c>
      <c r="BI159" s="447">
        <v>0</v>
      </c>
    </row>
    <row r="160" spans="1:64">
      <c r="A160" s="521">
        <v>38.465753424658</v>
      </c>
      <c r="B160" s="522"/>
      <c r="C160" s="447"/>
      <c r="D160" s="447"/>
      <c r="E160" s="447"/>
      <c r="F160" s="447"/>
      <c r="G160" s="447"/>
      <c r="H160" s="447">
        <v>0.072302686</v>
      </c>
      <c r="I160" s="447">
        <v>0</v>
      </c>
      <c r="N160" s="521">
        <v>38.465753424658</v>
      </c>
      <c r="O160" s="522"/>
      <c r="P160" s="447"/>
      <c r="Q160" s="447"/>
      <c r="R160" s="447"/>
      <c r="S160" s="447"/>
      <c r="T160" s="447"/>
      <c r="U160" s="447">
        <v>0.079416703</v>
      </c>
      <c r="V160" s="447">
        <v>0</v>
      </c>
      <c r="AA160" s="521">
        <v>38.465753424658</v>
      </c>
      <c r="AB160" s="522"/>
      <c r="AC160" s="447"/>
      <c r="AD160" s="447"/>
      <c r="AE160" s="447"/>
      <c r="AF160" s="447"/>
      <c r="AG160" s="447"/>
      <c r="AH160" s="447">
        <v>0.070205334</v>
      </c>
      <c r="AI160" s="447">
        <v>0</v>
      </c>
      <c r="AN160" s="521">
        <v>38.465753424658</v>
      </c>
      <c r="AO160" s="522"/>
      <c r="AP160" s="447">
        <v>0.0462</v>
      </c>
      <c r="AQ160" s="447">
        <v>0.007</v>
      </c>
      <c r="AR160" s="447">
        <v>0.0215</v>
      </c>
      <c r="AS160" s="447"/>
      <c r="AT160" s="447">
        <v>0.041</v>
      </c>
      <c r="AU160" s="635">
        <v>0.0668</v>
      </c>
      <c r="AV160" s="447">
        <v>0</v>
      </c>
      <c r="BA160" s="521">
        <v>38.465753424658</v>
      </c>
      <c r="BB160" s="522"/>
      <c r="BC160" s="447"/>
      <c r="BD160" s="447"/>
      <c r="BE160" s="447"/>
      <c r="BF160" s="447"/>
      <c r="BG160" s="447"/>
      <c r="BH160" s="760">
        <v>0.0073351023143113</v>
      </c>
      <c r="BI160" s="447">
        <v>0</v>
      </c>
    </row>
    <row r="161" spans="1:64">
      <c r="A161" s="521">
        <v>38.712328767123</v>
      </c>
      <c r="B161" s="522"/>
      <c r="C161" s="447"/>
      <c r="D161" s="447"/>
      <c r="E161" s="447"/>
      <c r="F161" s="447"/>
      <c r="G161" s="447"/>
      <c r="H161" s="447">
        <v>0.072322018</v>
      </c>
      <c r="I161" s="447">
        <v>0</v>
      </c>
      <c r="N161" s="521">
        <v>38.712328767123</v>
      </c>
      <c r="O161" s="522"/>
      <c r="P161" s="447"/>
      <c r="Q161" s="447"/>
      <c r="R161" s="447"/>
      <c r="S161" s="447"/>
      <c r="T161" s="447"/>
      <c r="U161" s="447">
        <v>0.079390572</v>
      </c>
      <c r="V161" s="447">
        <v>0</v>
      </c>
      <c r="AA161" s="521">
        <v>38.712328767123</v>
      </c>
      <c r="AB161" s="522"/>
      <c r="AC161" s="447"/>
      <c r="AD161" s="447"/>
      <c r="AE161" s="447"/>
      <c r="AF161" s="447"/>
      <c r="AG161" s="447"/>
      <c r="AH161" s="447">
        <v>0.070207522</v>
      </c>
      <c r="AI161" s="447">
        <v>0</v>
      </c>
      <c r="AN161" s="521">
        <v>38.712328767123</v>
      </c>
      <c r="AO161" s="522"/>
      <c r="AP161" s="447">
        <v>0.0459</v>
      </c>
      <c r="AQ161" s="447">
        <v>0.0069</v>
      </c>
      <c r="AR161" s="447">
        <v>0.0214</v>
      </c>
      <c r="AS161" s="447"/>
      <c r="AT161" s="447">
        <v>0.041</v>
      </c>
      <c r="AU161" s="635">
        <v>0.0667</v>
      </c>
      <c r="AV161" s="447">
        <v>0</v>
      </c>
      <c r="BA161" s="521">
        <v>38.712328767123</v>
      </c>
      <c r="BB161" s="522"/>
      <c r="BC161" s="447"/>
      <c r="BD161" s="447"/>
      <c r="BE161" s="447"/>
      <c r="BF161" s="447"/>
      <c r="BG161" s="447"/>
      <c r="BH161" s="760">
        <v>0.0072286554570091</v>
      </c>
      <c r="BI161" s="447">
        <v>0</v>
      </c>
    </row>
    <row r="162" spans="1:64">
      <c r="A162" s="521">
        <v>38.958904109589</v>
      </c>
      <c r="B162" s="522"/>
      <c r="C162" s="447"/>
      <c r="D162" s="447"/>
      <c r="E162" s="447"/>
      <c r="F162" s="447"/>
      <c r="G162" s="447"/>
      <c r="H162" s="447">
        <v>0.072341081</v>
      </c>
      <c r="I162" s="447">
        <v>0</v>
      </c>
      <c r="N162" s="521">
        <v>38.958904109589</v>
      </c>
      <c r="O162" s="522"/>
      <c r="P162" s="447"/>
      <c r="Q162" s="447"/>
      <c r="R162" s="447"/>
      <c r="S162" s="447"/>
      <c r="T162" s="447"/>
      <c r="U162" s="447">
        <v>0.079364659</v>
      </c>
      <c r="V162" s="447">
        <v>0</v>
      </c>
      <c r="AA162" s="521">
        <v>38.958904109589</v>
      </c>
      <c r="AB162" s="522"/>
      <c r="AC162" s="447"/>
      <c r="AD162" s="447"/>
      <c r="AE162" s="447"/>
      <c r="AF162" s="447"/>
      <c r="AG162" s="447"/>
      <c r="AH162" s="447">
        <v>0.070209574</v>
      </c>
      <c r="AI162" s="447">
        <v>0</v>
      </c>
      <c r="AN162" s="521">
        <v>38.958904109589</v>
      </c>
      <c r="AO162" s="522"/>
      <c r="AP162" s="447">
        <v>0.0456</v>
      </c>
      <c r="AQ162" s="447">
        <v>0.0068</v>
      </c>
      <c r="AR162" s="447">
        <v>0.0212</v>
      </c>
      <c r="AS162" s="447"/>
      <c r="AT162" s="447">
        <v>0.041</v>
      </c>
      <c r="AU162" s="635">
        <v>0.0666</v>
      </c>
      <c r="AV162" s="447">
        <v>0</v>
      </c>
      <c r="BA162" s="521">
        <v>38.958904109589</v>
      </c>
      <c r="BB162" s="522"/>
      <c r="BC162" s="447"/>
      <c r="BD162" s="447"/>
      <c r="BE162" s="447"/>
      <c r="BF162" s="447"/>
      <c r="BG162" s="447"/>
      <c r="BH162" s="760">
        <v>0.0071224472486409</v>
      </c>
      <c r="BI162" s="447">
        <v>0</v>
      </c>
    </row>
    <row r="163" spans="1:64">
      <c r="A163" s="521">
        <v>39.205479452055</v>
      </c>
      <c r="B163" s="522"/>
      <c r="C163" s="447"/>
      <c r="D163" s="447"/>
      <c r="E163" s="447"/>
      <c r="F163" s="447"/>
      <c r="G163" s="447"/>
      <c r="H163" s="447">
        <v>0.07235988</v>
      </c>
      <c r="I163" s="447">
        <v>0</v>
      </c>
      <c r="N163" s="521">
        <v>39.205479452055</v>
      </c>
      <c r="O163" s="522"/>
      <c r="P163" s="447"/>
      <c r="Q163" s="447"/>
      <c r="R163" s="447"/>
      <c r="S163" s="447"/>
      <c r="T163" s="447"/>
      <c r="U163" s="447">
        <v>0.079338965</v>
      </c>
      <c r="V163" s="447">
        <v>0</v>
      </c>
      <c r="AA163" s="521">
        <v>39.205479452055</v>
      </c>
      <c r="AB163" s="522"/>
      <c r="AC163" s="447"/>
      <c r="AD163" s="447"/>
      <c r="AE163" s="447"/>
      <c r="AF163" s="447"/>
      <c r="AG163" s="447"/>
      <c r="AH163" s="447">
        <v>0.070211494</v>
      </c>
      <c r="AI163" s="447">
        <v>0</v>
      </c>
      <c r="AN163" s="521">
        <v>39.205479452055</v>
      </c>
      <c r="AO163" s="522"/>
      <c r="AP163" s="447">
        <v>0.0452</v>
      </c>
      <c r="AQ163" s="447">
        <v>0.0068</v>
      </c>
      <c r="AR163" s="447">
        <v>0.0211</v>
      </c>
      <c r="AS163" s="447"/>
      <c r="AT163" s="447">
        <v>0.041</v>
      </c>
      <c r="AU163" s="635">
        <v>0.0665</v>
      </c>
      <c r="AV163" s="447">
        <v>0</v>
      </c>
      <c r="BA163" s="521">
        <v>39.205479452055</v>
      </c>
      <c r="BB163" s="522"/>
      <c r="BC163" s="447"/>
      <c r="BD163" s="447"/>
      <c r="BE163" s="447"/>
      <c r="BF163" s="447"/>
      <c r="BG163" s="447"/>
      <c r="BH163" s="760">
        <v>0.0070164918383531</v>
      </c>
      <c r="BI163" s="447">
        <v>0</v>
      </c>
    </row>
    <row r="164" spans="1:64">
      <c r="A164" s="521">
        <v>39.452054794521</v>
      </c>
      <c r="B164" s="522"/>
      <c r="C164" s="447"/>
      <c r="D164" s="447"/>
      <c r="E164" s="447"/>
      <c r="F164" s="447"/>
      <c r="G164" s="447"/>
      <c r="H164" s="447">
        <v>0.072378421</v>
      </c>
      <c r="I164" s="447">
        <v>0</v>
      </c>
      <c r="N164" s="521">
        <v>39.452054794521</v>
      </c>
      <c r="O164" s="522"/>
      <c r="P164" s="447"/>
      <c r="Q164" s="447"/>
      <c r="R164" s="447"/>
      <c r="S164" s="447"/>
      <c r="T164" s="447"/>
      <c r="U164" s="447">
        <v>0.079313489</v>
      </c>
      <c r="V164" s="447">
        <v>0</v>
      </c>
      <c r="AA164" s="521">
        <v>39.452054794521</v>
      </c>
      <c r="AB164" s="522"/>
      <c r="AC164" s="447"/>
      <c r="AD164" s="447"/>
      <c r="AE164" s="447"/>
      <c r="AF164" s="447"/>
      <c r="AG164" s="447"/>
      <c r="AH164" s="447">
        <v>0.070213284</v>
      </c>
      <c r="AI164" s="447">
        <v>0</v>
      </c>
      <c r="AN164" s="521">
        <v>39.452054794521</v>
      </c>
      <c r="AO164" s="522"/>
      <c r="AP164" s="447"/>
      <c r="AQ164" s="447"/>
      <c r="AR164" s="447"/>
      <c r="AS164" s="447"/>
      <c r="AT164" s="447"/>
      <c r="AU164" s="635">
        <v>0.0664</v>
      </c>
      <c r="AV164" s="447">
        <v>0</v>
      </c>
      <c r="BA164" s="521">
        <v>39.452054794521</v>
      </c>
      <c r="BB164" s="522"/>
      <c r="BC164" s="447"/>
      <c r="BD164" s="447"/>
      <c r="BE164" s="447"/>
      <c r="BF164" s="447"/>
      <c r="BG164" s="447"/>
      <c r="BH164" s="760">
        <v>0.0069108014887387</v>
      </c>
      <c r="BI164" s="447">
        <v>0</v>
      </c>
    </row>
  </sheetData>
  <sheetProtection formatCells="0" formatColumns="0" formatRows="0" insertColumns="0" insertRows="0" insertHyperlinks="0" deleteColumns="0" deleteRows="0" sort="0" autoFilter="0" pivotTables="0"/>
  <mergeCells>
    <mergeCell ref="A1:I1"/>
    <mergeCell ref="N1:V1"/>
    <mergeCell ref="AA1:AI1"/>
    <mergeCell ref="AN1:AV1"/>
    <mergeCell ref="BA1:B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DU52"/>
  <sheetViews>
    <sheetView tabSelected="0" workbookViewId="0" showGridLines="true" showRowColHeaders="1" topLeftCell="A10">
      <selection activeCell="B27" sqref="B27"/>
    </sheetView>
  </sheetViews>
  <sheetFormatPr defaultRowHeight="14.4" defaultColWidth="11.44140625" outlineLevelRow="0" outlineLevelCol="0"/>
  <cols>
    <col min="1" max="1" width="29" customWidth="true" style="0"/>
    <col min="2" max="2" width="27.109375" customWidth="true" style="0"/>
    <col min="3" max="3" width="11.5546875" customWidth="true" style="0"/>
    <col min="4" max="4" width="25.88671875" customWidth="true" style="0"/>
    <col min="5" max="5" width="29.44140625" customWidth="true" style="0"/>
    <col min="6" max="6" width="11.6640625" customWidth="true" style="0"/>
    <col min="7" max="7" width="11.6640625" customWidth="true" style="0"/>
    <col min="8" max="8" width="11.88671875" customWidth="true" style="0"/>
    <col min="9" max="9" width="11.88671875" customWidth="true" style="0"/>
    <col min="10" max="10" width="11.88671875" customWidth="true" style="0"/>
    <col min="11" max="11" width="11.88671875" customWidth="true" style="0"/>
    <col min="12" max="12" width="11.88671875" customWidth="true" style="0"/>
    <col min="13" max="13" width="11.88671875" customWidth="true" style="0"/>
    <col min="14" max="14" width="11.88671875" customWidth="true" style="0"/>
    <col min="15" max="15" width="11.88671875" customWidth="true" style="0"/>
  </cols>
  <sheetData>
    <row r="2" spans="1:125">
      <c r="A2" s="1" t="s">
        <v>502</v>
      </c>
      <c r="B2" s="2">
        <f>IRR(E3:DU3)</f>
        <v>0.079308265447617</v>
      </c>
      <c r="C2" s="3"/>
      <c r="D2" s="4" t="s">
        <v>503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13</v>
      </c>
      <c r="S2" s="5">
        <v>14</v>
      </c>
      <c r="T2" s="5">
        <v>15</v>
      </c>
      <c r="U2" s="5">
        <v>16</v>
      </c>
      <c r="V2" s="5">
        <v>17</v>
      </c>
      <c r="W2" s="5">
        <v>18</v>
      </c>
      <c r="X2" s="5">
        <v>19</v>
      </c>
      <c r="Y2" s="5">
        <v>20</v>
      </c>
      <c r="Z2" s="5">
        <v>21</v>
      </c>
      <c r="AA2" s="5">
        <v>22</v>
      </c>
      <c r="AB2" s="5">
        <v>23</v>
      </c>
      <c r="AC2" s="5">
        <v>24</v>
      </c>
      <c r="AD2" s="5">
        <v>25</v>
      </c>
      <c r="AE2" s="5">
        <v>26</v>
      </c>
      <c r="AF2" s="5">
        <v>27</v>
      </c>
      <c r="AG2" s="5">
        <v>28</v>
      </c>
      <c r="AH2" s="5">
        <v>29</v>
      </c>
      <c r="AI2" s="5">
        <v>30</v>
      </c>
      <c r="AJ2" s="5">
        <v>31</v>
      </c>
      <c r="AK2" s="5">
        <v>32</v>
      </c>
      <c r="AL2" s="5">
        <v>33</v>
      </c>
      <c r="AM2" s="5">
        <v>34</v>
      </c>
      <c r="AN2" s="5">
        <v>35</v>
      </c>
      <c r="AO2" s="5">
        <v>36</v>
      </c>
      <c r="AP2" s="5">
        <v>37</v>
      </c>
      <c r="AQ2" s="5">
        <v>38</v>
      </c>
      <c r="AR2" s="5">
        <v>39</v>
      </c>
      <c r="AS2" s="5">
        <v>40</v>
      </c>
      <c r="AT2" s="5">
        <v>41</v>
      </c>
      <c r="AU2" s="5">
        <v>42</v>
      </c>
      <c r="AV2" s="5">
        <v>43</v>
      </c>
      <c r="AW2" s="5">
        <v>44</v>
      </c>
      <c r="AX2" s="5">
        <v>45</v>
      </c>
      <c r="AY2" s="5">
        <v>46</v>
      </c>
      <c r="AZ2" s="5">
        <v>47</v>
      </c>
      <c r="BA2" s="5">
        <v>48</v>
      </c>
      <c r="BB2" s="5">
        <v>49</v>
      </c>
      <c r="BC2" s="5">
        <v>50</v>
      </c>
      <c r="BD2" s="5">
        <v>51</v>
      </c>
      <c r="BE2" s="5">
        <v>52</v>
      </c>
      <c r="BF2" s="5">
        <v>53</v>
      </c>
      <c r="BG2" s="5">
        <v>54</v>
      </c>
      <c r="BH2" s="5">
        <v>55</v>
      </c>
      <c r="BI2" s="5">
        <v>56</v>
      </c>
      <c r="BJ2" s="5">
        <v>57</v>
      </c>
      <c r="BK2" s="5">
        <v>58</v>
      </c>
      <c r="BL2" s="5">
        <v>59</v>
      </c>
      <c r="BM2" s="5">
        <v>60</v>
      </c>
      <c r="BN2" s="6">
        <v>61</v>
      </c>
      <c r="BO2" s="6">
        <v>62</v>
      </c>
      <c r="BP2" s="6">
        <v>63</v>
      </c>
      <c r="BQ2" s="6">
        <v>64</v>
      </c>
      <c r="BR2" s="6">
        <v>65</v>
      </c>
      <c r="BS2" s="6">
        <v>66</v>
      </c>
      <c r="BT2" s="6">
        <v>67</v>
      </c>
      <c r="BU2" s="6">
        <v>68</v>
      </c>
      <c r="BV2" s="6">
        <v>69</v>
      </c>
      <c r="BW2" s="6">
        <v>70</v>
      </c>
      <c r="BX2" s="6">
        <v>71</v>
      </c>
      <c r="BY2" s="6">
        <v>72</v>
      </c>
      <c r="BZ2" s="6">
        <v>73</v>
      </c>
      <c r="CA2" s="6">
        <v>74</v>
      </c>
      <c r="CB2" s="6">
        <v>75</v>
      </c>
      <c r="CC2" s="6">
        <v>76</v>
      </c>
      <c r="CD2" s="6">
        <v>77</v>
      </c>
      <c r="CE2" s="6">
        <v>78</v>
      </c>
      <c r="CF2" s="6">
        <v>79</v>
      </c>
      <c r="CG2" s="6">
        <v>80</v>
      </c>
      <c r="CH2" s="6">
        <v>81</v>
      </c>
      <c r="CI2" s="6">
        <v>82</v>
      </c>
      <c r="CJ2" s="6">
        <v>83</v>
      </c>
      <c r="CK2" s="6">
        <v>84</v>
      </c>
      <c r="CL2" s="6">
        <v>85</v>
      </c>
      <c r="CM2" s="6">
        <v>86</v>
      </c>
      <c r="CN2" s="6">
        <v>87</v>
      </c>
      <c r="CO2" s="6">
        <v>88</v>
      </c>
      <c r="CP2" s="6">
        <v>89</v>
      </c>
      <c r="CQ2" s="6">
        <v>90</v>
      </c>
      <c r="CR2" s="6">
        <v>91</v>
      </c>
      <c r="CS2" s="6">
        <v>92</v>
      </c>
      <c r="CT2" s="6">
        <v>93</v>
      </c>
      <c r="CU2" s="6">
        <v>94</v>
      </c>
      <c r="CV2" s="6">
        <v>95</v>
      </c>
      <c r="CW2" s="6">
        <v>96</v>
      </c>
      <c r="CX2" s="6">
        <v>97</v>
      </c>
      <c r="CY2" s="6">
        <v>98</v>
      </c>
      <c r="CZ2" s="6">
        <v>99</v>
      </c>
      <c r="DA2" s="6">
        <v>100</v>
      </c>
      <c r="DB2" s="6">
        <v>101</v>
      </c>
      <c r="DC2" s="6">
        <v>102</v>
      </c>
      <c r="DD2" s="6">
        <v>103</v>
      </c>
      <c r="DE2" s="6">
        <v>104</v>
      </c>
      <c r="DF2" s="6">
        <v>105</v>
      </c>
      <c r="DG2" s="6">
        <v>106</v>
      </c>
      <c r="DH2" s="6">
        <v>107</v>
      </c>
      <c r="DI2" s="6">
        <v>108</v>
      </c>
      <c r="DJ2" s="6">
        <v>109</v>
      </c>
      <c r="DK2" s="6">
        <v>110</v>
      </c>
      <c r="DL2" s="6">
        <v>111</v>
      </c>
      <c r="DM2" s="6">
        <v>112</v>
      </c>
      <c r="DN2" s="6">
        <v>113</v>
      </c>
      <c r="DO2" s="6">
        <v>114</v>
      </c>
      <c r="DP2" s="6">
        <v>115</v>
      </c>
      <c r="DQ2" s="6">
        <v>116</v>
      </c>
      <c r="DR2" s="6">
        <v>117</v>
      </c>
      <c r="DS2" s="6">
        <v>118</v>
      </c>
      <c r="DT2" s="6">
        <v>119</v>
      </c>
      <c r="DU2" s="6">
        <v>120</v>
      </c>
    </row>
    <row r="3" spans="1:125">
      <c r="A3" s="1" t="s">
        <v>504</v>
      </c>
      <c r="B3" s="70">
        <f>Flujos!C6</f>
        <v>5</v>
      </c>
      <c r="C3" s="7"/>
      <c r="D3" s="8" t="s">
        <v>505</v>
      </c>
      <c r="E3" s="9">
        <f>-B6</f>
        <v>-2000</v>
      </c>
      <c r="F3" s="10">
        <f>F4</f>
        <v>500</v>
      </c>
      <c r="G3" s="10">
        <f>G4</f>
        <v>500</v>
      </c>
      <c r="H3" s="10">
        <f>H4</f>
        <v>500</v>
      </c>
      <c r="I3" s="10">
        <f>I4</f>
        <v>500</v>
      </c>
      <c r="J3" s="10">
        <f>J4</f>
        <v>500</v>
      </c>
      <c r="K3" s="10">
        <f>K4</f>
        <v/>
      </c>
      <c r="L3" s="10">
        <f>L4</f>
        <v/>
      </c>
      <c r="M3" s="10">
        <f>M4</f>
        <v/>
      </c>
      <c r="N3" s="10">
        <f>N4</f>
        <v/>
      </c>
      <c r="O3" s="10">
        <f>O4</f>
        <v/>
      </c>
      <c r="P3" s="10">
        <f>P4</f>
        <v/>
      </c>
      <c r="Q3" s="10">
        <f>Q4</f>
        <v/>
      </c>
      <c r="R3" s="10">
        <f>R4</f>
        <v/>
      </c>
      <c r="S3" s="10">
        <f>S4</f>
        <v/>
      </c>
      <c r="T3" s="10">
        <f>T4</f>
        <v/>
      </c>
      <c r="U3" s="10">
        <f>U4</f>
        <v/>
      </c>
      <c r="V3" s="10">
        <f>V4</f>
        <v/>
      </c>
      <c r="W3" s="10">
        <f>W4</f>
        <v/>
      </c>
      <c r="X3" s="10">
        <f>X4</f>
        <v/>
      </c>
      <c r="Y3" s="10">
        <f>Y4</f>
        <v/>
      </c>
      <c r="Z3" s="10">
        <f>Z4</f>
        <v/>
      </c>
      <c r="AA3" s="10">
        <f>AA4</f>
        <v/>
      </c>
      <c r="AB3" s="10">
        <f>AB4</f>
        <v/>
      </c>
      <c r="AC3" s="10">
        <f>AC4</f>
        <v/>
      </c>
      <c r="AD3" s="10">
        <f>AD4</f>
        <v/>
      </c>
      <c r="AE3" s="10">
        <f>AE4</f>
        <v/>
      </c>
      <c r="AF3" s="10">
        <f>AF4</f>
        <v/>
      </c>
      <c r="AG3" s="10">
        <f>AG4</f>
        <v/>
      </c>
      <c r="AH3" s="10">
        <f>AH4</f>
        <v/>
      </c>
      <c r="AI3" s="10">
        <f>AI4</f>
        <v/>
      </c>
      <c r="AJ3" s="10">
        <f>AJ4</f>
        <v/>
      </c>
      <c r="AK3" s="10">
        <f>AK4</f>
        <v/>
      </c>
      <c r="AL3" s="10">
        <f>AL4</f>
        <v/>
      </c>
      <c r="AM3" s="10">
        <f>AM4</f>
        <v/>
      </c>
      <c r="AN3" s="10">
        <f>AN4</f>
        <v/>
      </c>
      <c r="AO3" s="10">
        <f>AO4</f>
        <v/>
      </c>
      <c r="AP3" s="10">
        <f>AP4</f>
        <v/>
      </c>
      <c r="AQ3" s="10">
        <f>AQ4</f>
        <v/>
      </c>
      <c r="AR3" s="10">
        <f>AR4</f>
        <v/>
      </c>
      <c r="AS3" s="10">
        <f>AS4</f>
        <v/>
      </c>
      <c r="AT3" s="10">
        <f>AT4</f>
        <v/>
      </c>
      <c r="AU3" s="10">
        <f>AU4</f>
        <v/>
      </c>
      <c r="AV3" s="10">
        <f>AV4</f>
        <v/>
      </c>
      <c r="AW3" s="10">
        <f>AW4</f>
        <v/>
      </c>
      <c r="AX3" s="10">
        <f>AX4</f>
        <v/>
      </c>
      <c r="AY3" s="10">
        <f>AY4</f>
        <v/>
      </c>
      <c r="AZ3" s="10">
        <f>AZ4</f>
        <v/>
      </c>
      <c r="BA3" s="10">
        <f>BA4</f>
        <v/>
      </c>
      <c r="BB3" s="10">
        <f>BB4</f>
        <v/>
      </c>
      <c r="BC3" s="10">
        <f>BC4</f>
        <v/>
      </c>
      <c r="BD3" s="10">
        <f>BD4</f>
        <v/>
      </c>
      <c r="BE3" s="10">
        <f>BE4</f>
        <v/>
      </c>
      <c r="BF3" s="10">
        <f>BF4</f>
        <v/>
      </c>
      <c r="BG3" s="10">
        <f>BG4</f>
        <v/>
      </c>
      <c r="BH3" s="10">
        <f>BH4</f>
        <v/>
      </c>
      <c r="BI3" s="10">
        <f>BI4</f>
        <v/>
      </c>
      <c r="BJ3" s="10">
        <f>BJ4</f>
        <v/>
      </c>
      <c r="BK3" s="10">
        <f>BK4</f>
        <v/>
      </c>
      <c r="BL3" s="10">
        <f>BL4</f>
        <v/>
      </c>
      <c r="BM3" s="10">
        <f>BM4</f>
        <v/>
      </c>
      <c r="BN3" s="10">
        <f>BN4</f>
        <v/>
      </c>
      <c r="BO3" s="10">
        <f>BO4</f>
        <v/>
      </c>
      <c r="BP3" s="10">
        <f>BP4</f>
        <v/>
      </c>
      <c r="BQ3" s="10">
        <f>BQ4</f>
        <v/>
      </c>
      <c r="BR3" s="10">
        <f>BR4</f>
        <v/>
      </c>
      <c r="BS3" s="10">
        <f>BS4</f>
        <v/>
      </c>
      <c r="BT3" s="10">
        <f>BT4</f>
        <v/>
      </c>
      <c r="BU3" s="10">
        <f>BU4</f>
        <v/>
      </c>
      <c r="BV3" s="10">
        <f>BV4</f>
        <v/>
      </c>
      <c r="BW3" s="10">
        <f>BW4</f>
        <v/>
      </c>
      <c r="BX3" s="10">
        <f>BX4</f>
        <v/>
      </c>
      <c r="BY3" s="10">
        <f>BY4</f>
        <v/>
      </c>
      <c r="BZ3" s="10">
        <f>BZ4</f>
        <v/>
      </c>
      <c r="CA3" s="10">
        <f>CA4</f>
        <v/>
      </c>
      <c r="CB3" s="10">
        <f>CB4</f>
        <v/>
      </c>
      <c r="CC3" s="10">
        <f>CC4</f>
        <v/>
      </c>
      <c r="CD3" s="10">
        <f>CD4</f>
        <v/>
      </c>
      <c r="CE3" s="10">
        <f>CE4</f>
        <v/>
      </c>
      <c r="CF3" s="10">
        <f>CF4</f>
        <v/>
      </c>
      <c r="CG3" s="10">
        <f>CG4</f>
        <v/>
      </c>
      <c r="CH3" s="10">
        <f>CH4</f>
        <v/>
      </c>
      <c r="CI3" s="10">
        <f>CI4</f>
        <v/>
      </c>
      <c r="CJ3" s="10">
        <f>CJ4</f>
        <v/>
      </c>
      <c r="CK3" s="10">
        <f>CK4</f>
        <v/>
      </c>
      <c r="CL3" s="10">
        <f>CL4</f>
        <v/>
      </c>
      <c r="CM3" s="10">
        <f>CM4</f>
        <v/>
      </c>
      <c r="CN3" s="10">
        <f>CN4</f>
        <v/>
      </c>
      <c r="CO3" s="10">
        <f>CO4</f>
        <v/>
      </c>
      <c r="CP3" s="10">
        <f>CP4</f>
        <v/>
      </c>
      <c r="CQ3" s="10">
        <f>CQ4</f>
        <v/>
      </c>
      <c r="CR3" s="10">
        <f>CR4</f>
        <v/>
      </c>
      <c r="CS3" s="10">
        <f>CS4</f>
        <v/>
      </c>
      <c r="CT3" s="10">
        <f>CT4</f>
        <v/>
      </c>
      <c r="CU3" s="10">
        <f>CU4</f>
        <v/>
      </c>
      <c r="CV3" s="10">
        <f>CV4</f>
        <v/>
      </c>
      <c r="CW3" s="10">
        <f>CW4</f>
        <v/>
      </c>
      <c r="CX3" s="10">
        <f>CX4</f>
        <v/>
      </c>
      <c r="CY3" s="10">
        <f>CY4</f>
        <v/>
      </c>
      <c r="CZ3" s="10">
        <f>CZ4</f>
        <v/>
      </c>
      <c r="DA3" s="10">
        <f>DA4</f>
        <v/>
      </c>
      <c r="DB3" s="10">
        <f>DB4</f>
        <v/>
      </c>
      <c r="DC3" s="10">
        <f>DC4</f>
        <v/>
      </c>
      <c r="DD3" s="10">
        <f>DD4</f>
        <v/>
      </c>
      <c r="DE3" s="10">
        <f>DE4</f>
        <v/>
      </c>
      <c r="DF3" s="10">
        <f>DF4</f>
        <v/>
      </c>
      <c r="DG3" s="10">
        <f>DG4</f>
        <v/>
      </c>
      <c r="DH3" s="10">
        <f>DH4</f>
        <v/>
      </c>
      <c r="DI3" s="10">
        <f>DI4</f>
        <v/>
      </c>
      <c r="DJ3" s="10">
        <f>DJ4</f>
        <v/>
      </c>
      <c r="DK3" s="10">
        <f>DK4</f>
        <v/>
      </c>
      <c r="DL3" s="10">
        <f>DL4</f>
        <v/>
      </c>
      <c r="DM3" s="10">
        <f>DM4</f>
        <v/>
      </c>
      <c r="DN3" s="10">
        <f>DN4</f>
        <v/>
      </c>
      <c r="DO3" s="10">
        <f>DO4</f>
        <v/>
      </c>
      <c r="DP3" s="10">
        <f>DP4</f>
        <v/>
      </c>
      <c r="DQ3" s="10">
        <f>DQ4</f>
        <v/>
      </c>
      <c r="DR3" s="10">
        <f>DR4</f>
        <v/>
      </c>
      <c r="DS3" s="10">
        <f>DS4</f>
        <v/>
      </c>
      <c r="DT3" s="10">
        <f>DT4</f>
        <v/>
      </c>
      <c r="DU3" s="10">
        <f>DU4</f>
        <v/>
      </c>
    </row>
    <row r="4" spans="1:125">
      <c r="A4" s="1" t="s">
        <v>506</v>
      </c>
      <c r="B4" s="71" t="str">
        <f>Flujos!C5</f>
        <v>Anual</v>
      </c>
      <c r="C4" s="7"/>
      <c r="D4" s="8" t="s">
        <v>507</v>
      </c>
      <c r="E4" s="11">
        <f>Flujos!C11</f>
        <v/>
      </c>
      <c r="F4" s="11">
        <f>Flujos!D11</f>
        <v>500</v>
      </c>
      <c r="G4" s="11">
        <f>Flujos!E11</f>
        <v>500</v>
      </c>
      <c r="H4" s="11">
        <f>Flujos!F11</f>
        <v>500</v>
      </c>
      <c r="I4" s="11">
        <f>Flujos!G11</f>
        <v>500</v>
      </c>
      <c r="J4" s="11">
        <f>Flujos!H11</f>
        <v>500</v>
      </c>
      <c r="K4" s="11">
        <f>Flujos!I11</f>
        <v/>
      </c>
      <c r="L4" s="11">
        <f>Flujos!J11</f>
        <v/>
      </c>
      <c r="M4" s="11">
        <f>Flujos!K11</f>
        <v/>
      </c>
      <c r="N4" s="11">
        <f>Flujos!L11</f>
        <v/>
      </c>
      <c r="O4" s="11">
        <f>Flujos!M11</f>
        <v/>
      </c>
      <c r="P4" s="11">
        <f>Flujos!N11</f>
        <v/>
      </c>
      <c r="Q4" s="11">
        <f>Flujos!O11</f>
        <v/>
      </c>
      <c r="R4" s="11">
        <f>Flujos!P11</f>
        <v/>
      </c>
      <c r="S4" s="11">
        <f>Flujos!Q11</f>
        <v/>
      </c>
      <c r="T4" s="11">
        <f>Flujos!R11</f>
        <v/>
      </c>
      <c r="U4" s="11">
        <f>Flujos!S11</f>
        <v/>
      </c>
      <c r="V4" s="11">
        <f>Flujos!T11</f>
        <v/>
      </c>
      <c r="W4" s="11">
        <f>Flujos!U11</f>
        <v/>
      </c>
      <c r="X4" s="11">
        <f>Flujos!V11</f>
        <v/>
      </c>
      <c r="Y4" s="11">
        <f>Flujos!W11</f>
        <v/>
      </c>
      <c r="Z4" s="11">
        <f>Flujos!X11</f>
        <v/>
      </c>
      <c r="AA4" s="11">
        <f>Flujos!Y11</f>
        <v/>
      </c>
      <c r="AB4" s="11">
        <f>Flujos!Z11</f>
        <v/>
      </c>
      <c r="AC4" s="11">
        <f>Flujos!AA11</f>
        <v/>
      </c>
      <c r="AD4" s="11">
        <f>Flujos!AB11</f>
        <v/>
      </c>
      <c r="AE4" s="11">
        <f>Flujos!AC11</f>
        <v/>
      </c>
      <c r="AF4" s="11">
        <f>Flujos!AD11</f>
        <v/>
      </c>
      <c r="AG4" s="11">
        <f>Flujos!AE11</f>
        <v/>
      </c>
      <c r="AH4" s="11">
        <f>Flujos!AF11</f>
        <v/>
      </c>
      <c r="AI4" s="11">
        <f>Flujos!AG11</f>
        <v/>
      </c>
      <c r="AJ4" s="11">
        <f>Flujos!AH11</f>
        <v/>
      </c>
      <c r="AK4" s="11">
        <f>Flujos!AI11</f>
        <v/>
      </c>
      <c r="AL4" s="11">
        <f>Flujos!AJ11</f>
        <v/>
      </c>
      <c r="AM4" s="11">
        <f>Flujos!AK11</f>
        <v/>
      </c>
      <c r="AN4" s="11">
        <f>Flujos!AL11</f>
        <v/>
      </c>
      <c r="AO4" s="11">
        <f>Flujos!AM11</f>
        <v/>
      </c>
      <c r="AP4" s="11">
        <f>Flujos!AN11</f>
        <v/>
      </c>
      <c r="AQ4" s="11">
        <f>Flujos!AO11</f>
        <v/>
      </c>
      <c r="AR4" s="11">
        <f>Flujos!AP11</f>
        <v/>
      </c>
      <c r="AS4" s="11">
        <f>Flujos!AQ11</f>
        <v/>
      </c>
      <c r="AT4" s="11">
        <f>Flujos!AR11</f>
        <v/>
      </c>
      <c r="AU4" s="11">
        <f>Flujos!AS11</f>
        <v/>
      </c>
      <c r="AV4" s="11">
        <f>Flujos!AT11</f>
        <v/>
      </c>
      <c r="AW4" s="11">
        <f>Flujos!AU11</f>
        <v/>
      </c>
      <c r="AX4" s="11">
        <f>Flujos!AV11</f>
        <v/>
      </c>
      <c r="AY4" s="11">
        <f>Flujos!AW11</f>
        <v/>
      </c>
      <c r="AZ4" s="11">
        <f>Flujos!AX11</f>
        <v/>
      </c>
      <c r="BA4" s="11">
        <f>Flujos!AY11</f>
        <v/>
      </c>
      <c r="BB4" s="11">
        <f>Flujos!AZ11</f>
        <v/>
      </c>
      <c r="BC4" s="11">
        <f>Flujos!BA11</f>
        <v/>
      </c>
      <c r="BD4" s="11">
        <f>Flujos!BB11</f>
        <v/>
      </c>
      <c r="BE4" s="11">
        <f>Flujos!BC11</f>
        <v/>
      </c>
      <c r="BF4" s="11">
        <f>Flujos!BD11</f>
        <v/>
      </c>
      <c r="BG4" s="11">
        <f>Flujos!BE11</f>
        <v/>
      </c>
      <c r="BH4" s="11">
        <f>Flujos!BF11</f>
        <v/>
      </c>
      <c r="BI4" s="11">
        <f>Flujos!BG11</f>
        <v/>
      </c>
      <c r="BJ4" s="11">
        <f>Flujos!BH11</f>
        <v/>
      </c>
      <c r="BK4" s="11">
        <f>Flujos!BI11</f>
        <v/>
      </c>
      <c r="BL4" s="11">
        <f>Flujos!BJ11</f>
        <v/>
      </c>
      <c r="BM4" s="11">
        <f>Flujos!BK11</f>
        <v/>
      </c>
      <c r="BN4" s="11">
        <f>Flujos!BL11</f>
        <v/>
      </c>
      <c r="BO4" s="11">
        <f>Flujos!BM11</f>
        <v/>
      </c>
      <c r="BP4" s="11">
        <f>Flujos!BN11</f>
        <v/>
      </c>
      <c r="BQ4" s="11">
        <f>Flujos!BO11</f>
        <v/>
      </c>
      <c r="BR4" s="11">
        <f>Flujos!BP11</f>
        <v/>
      </c>
      <c r="BS4" s="11">
        <f>Flujos!BQ11</f>
        <v/>
      </c>
      <c r="BT4" s="11">
        <f>Flujos!BR11</f>
        <v/>
      </c>
      <c r="BU4" s="11">
        <f>Flujos!BS11</f>
        <v/>
      </c>
      <c r="BV4" s="11">
        <f>Flujos!BT11</f>
        <v/>
      </c>
      <c r="BW4" s="11">
        <f>Flujos!BU11</f>
        <v/>
      </c>
      <c r="BX4" s="11">
        <f>Flujos!BV11</f>
        <v/>
      </c>
      <c r="BY4" s="11">
        <f>Flujos!BW11</f>
        <v/>
      </c>
      <c r="BZ4" s="11">
        <f>Flujos!BX11</f>
        <v/>
      </c>
      <c r="CA4" s="11">
        <f>Flujos!BY11</f>
        <v/>
      </c>
      <c r="CB4" s="11">
        <f>Flujos!BZ11</f>
        <v/>
      </c>
      <c r="CC4" s="11">
        <f>Flujos!CA11</f>
        <v/>
      </c>
      <c r="CD4" s="11">
        <f>Flujos!CB11</f>
        <v/>
      </c>
      <c r="CE4" s="11">
        <f>Flujos!CC11</f>
        <v/>
      </c>
      <c r="CF4" s="11">
        <f>Flujos!CD11</f>
        <v/>
      </c>
      <c r="CG4" s="11">
        <f>Flujos!CE11</f>
        <v/>
      </c>
      <c r="CH4" s="11">
        <f>Flujos!CF11</f>
        <v/>
      </c>
      <c r="CI4" s="11">
        <f>Flujos!CG11</f>
        <v/>
      </c>
      <c r="CJ4" s="11">
        <f>Flujos!CH11</f>
        <v/>
      </c>
      <c r="CK4" s="11">
        <f>Flujos!CI11</f>
        <v/>
      </c>
      <c r="CL4" s="11">
        <f>Flujos!CJ11</f>
        <v/>
      </c>
      <c r="CM4" s="11">
        <f>Flujos!CK11</f>
        <v/>
      </c>
      <c r="CN4" s="11">
        <f>Flujos!CL11</f>
        <v/>
      </c>
      <c r="CO4" s="11">
        <f>Flujos!CM11</f>
        <v/>
      </c>
      <c r="CP4" s="11">
        <f>Flujos!CN11</f>
        <v/>
      </c>
      <c r="CQ4" s="11">
        <f>Flujos!CO11</f>
        <v/>
      </c>
      <c r="CR4" s="11">
        <f>Flujos!CP11</f>
        <v/>
      </c>
      <c r="CS4" s="11">
        <f>Flujos!CQ11</f>
        <v/>
      </c>
      <c r="CT4" s="11">
        <f>Flujos!CR11</f>
        <v/>
      </c>
      <c r="CU4" s="11">
        <f>Flujos!CS11</f>
        <v/>
      </c>
      <c r="CV4" s="11">
        <f>Flujos!CT11</f>
        <v/>
      </c>
      <c r="CW4" s="11">
        <f>Flujos!CU11</f>
        <v/>
      </c>
      <c r="CX4" s="11">
        <f>Flujos!CV11</f>
        <v/>
      </c>
      <c r="CY4" s="11">
        <f>Flujos!CW11</f>
        <v/>
      </c>
      <c r="CZ4" s="11">
        <f>Flujos!CX11</f>
        <v/>
      </c>
      <c r="DA4" s="11">
        <f>Flujos!CY11</f>
        <v/>
      </c>
      <c r="DB4" s="11">
        <f>Flujos!CZ11</f>
        <v/>
      </c>
      <c r="DC4" s="11">
        <f>Flujos!DA11</f>
        <v/>
      </c>
      <c r="DD4" s="11">
        <f>Flujos!DB11</f>
        <v/>
      </c>
      <c r="DE4" s="11">
        <f>Flujos!DC11</f>
        <v/>
      </c>
      <c r="DF4" s="11">
        <f>Flujos!DD11</f>
        <v/>
      </c>
      <c r="DG4" s="11">
        <f>Flujos!DE11</f>
        <v/>
      </c>
      <c r="DH4" s="11">
        <f>Flujos!DF11</f>
        <v/>
      </c>
      <c r="DI4" s="11">
        <f>Flujos!DG11</f>
        <v/>
      </c>
      <c r="DJ4" s="11">
        <f>Flujos!DH11</f>
        <v/>
      </c>
      <c r="DK4" s="11">
        <f>Flujos!DI11</f>
        <v/>
      </c>
      <c r="DL4" s="11">
        <f>Flujos!DJ11</f>
        <v/>
      </c>
      <c r="DM4" s="11">
        <f>Flujos!DK11</f>
        <v/>
      </c>
      <c r="DN4" s="11">
        <f>Flujos!DL11</f>
        <v/>
      </c>
      <c r="DO4" s="11">
        <f>Flujos!DM11</f>
        <v/>
      </c>
      <c r="DP4" s="11">
        <f>Flujos!DN11</f>
        <v/>
      </c>
      <c r="DQ4" s="11">
        <f>Flujos!DO11</f>
        <v/>
      </c>
      <c r="DR4" s="11">
        <f>Flujos!DP11</f>
        <v/>
      </c>
      <c r="DS4" s="11">
        <f>Flujos!DQ11</f>
        <v/>
      </c>
      <c r="DT4" s="11">
        <f>Flujos!DR11</f>
        <v/>
      </c>
      <c r="DU4" s="11">
        <f>Flujos!DS11</f>
        <v/>
      </c>
    </row>
    <row r="5" spans="1:125">
      <c r="A5" s="1" t="s">
        <v>508</v>
      </c>
      <c r="B5" s="12">
        <f>NPV(B2,F5:AI5)</f>
        <v>5695.4864595014</v>
      </c>
      <c r="C5" s="13"/>
      <c r="D5" s="10" t="s">
        <v>509</v>
      </c>
      <c r="E5" s="10"/>
      <c r="F5" s="10">
        <f>F3*F2</f>
        <v>500</v>
      </c>
      <c r="G5" s="10">
        <f>G3*G2</f>
        <v>1000</v>
      </c>
      <c r="H5" s="10">
        <f>H3*H2</f>
        <v>1500</v>
      </c>
      <c r="I5" s="10">
        <f>I3*I2</f>
        <v>2000</v>
      </c>
      <c r="J5" s="10">
        <f>J3*J2</f>
        <v>2500</v>
      </c>
      <c r="K5" s="10">
        <f>K3*K2</f>
        <v>0</v>
      </c>
      <c r="L5" s="10">
        <f>L3*L2</f>
        <v>0</v>
      </c>
      <c r="M5" s="10">
        <f>M3*M2</f>
        <v>0</v>
      </c>
      <c r="N5" s="10">
        <f>N3*N2</f>
        <v>0</v>
      </c>
      <c r="O5" s="10">
        <f>O3*O2</f>
        <v>0</v>
      </c>
      <c r="P5" s="10">
        <f>P3*P2</f>
        <v>0</v>
      </c>
      <c r="Q5" s="10">
        <f>Q3*Q2</f>
        <v>0</v>
      </c>
      <c r="R5" s="10">
        <f>R3*R2</f>
        <v>0</v>
      </c>
      <c r="S5" s="10">
        <f>S3*S2</f>
        <v>0</v>
      </c>
      <c r="T5" s="10">
        <f>T3*T2</f>
        <v>0</v>
      </c>
      <c r="U5" s="10">
        <f>U3*U2</f>
        <v>0</v>
      </c>
      <c r="V5" s="10">
        <f>V3*V2</f>
        <v>0</v>
      </c>
      <c r="W5" s="10">
        <f>W3*W2</f>
        <v>0</v>
      </c>
      <c r="X5" s="10">
        <f>X3*X2</f>
        <v>0</v>
      </c>
      <c r="Y5" s="10">
        <f>Y3*Y2</f>
        <v>0</v>
      </c>
      <c r="Z5" s="10">
        <f>Z3*Z2</f>
        <v>0</v>
      </c>
      <c r="AA5" s="10">
        <f>AA3*AA2</f>
        <v>0</v>
      </c>
      <c r="AB5" s="10">
        <f>AB3*AB2</f>
        <v>0</v>
      </c>
      <c r="AC5" s="10">
        <f>AC3*AC2</f>
        <v>0</v>
      </c>
      <c r="AD5" s="10">
        <f>AD3*AD2</f>
        <v>0</v>
      </c>
      <c r="AE5" s="10">
        <f>AE3*AE2</f>
        <v>0</v>
      </c>
      <c r="AF5" s="10">
        <f>AF3*AF2</f>
        <v>0</v>
      </c>
      <c r="AG5" s="10">
        <f>AG3*AG2</f>
        <v>0</v>
      </c>
      <c r="AH5" s="10">
        <f>AH3*AH2</f>
        <v>0</v>
      </c>
      <c r="AI5" s="10">
        <f>AI3*AI2</f>
        <v>0</v>
      </c>
      <c r="AJ5" s="10">
        <f>AJ3*AJ2</f>
        <v>0</v>
      </c>
      <c r="AK5" s="10">
        <f>AK3*AK2</f>
        <v>0</v>
      </c>
      <c r="AL5" s="10">
        <f>AL3*AL2</f>
        <v>0</v>
      </c>
      <c r="AM5" s="10">
        <f>AM3*AM2</f>
        <v>0</v>
      </c>
      <c r="AN5" s="10">
        <f>AN3*AN2</f>
        <v>0</v>
      </c>
      <c r="AO5" s="10">
        <f>AO3*AO2</f>
        <v>0</v>
      </c>
      <c r="AP5" s="10">
        <f>AP3*AP2</f>
        <v>0</v>
      </c>
      <c r="AQ5" s="10">
        <f>AQ3*AQ2</f>
        <v>0</v>
      </c>
      <c r="AR5" s="10">
        <f>AR3*AR2</f>
        <v>0</v>
      </c>
      <c r="AS5" s="10">
        <f>AS3*AS2</f>
        <v>0</v>
      </c>
      <c r="AT5" s="10">
        <f>AT3*AT2</f>
        <v>0</v>
      </c>
      <c r="AU5" s="10">
        <f>AU3*AU2</f>
        <v>0</v>
      </c>
      <c r="AV5" s="10">
        <f>AV3*AV2</f>
        <v>0</v>
      </c>
      <c r="AW5" s="10">
        <f>AW3*AW2</f>
        <v>0</v>
      </c>
      <c r="AX5" s="10">
        <f>AX3*AX2</f>
        <v>0</v>
      </c>
      <c r="AY5" s="10">
        <f>AY3*AY2</f>
        <v>0</v>
      </c>
      <c r="AZ5" s="10">
        <f>AZ3*AZ2</f>
        <v>0</v>
      </c>
      <c r="BA5" s="10">
        <f>BA3*BA2</f>
        <v>0</v>
      </c>
      <c r="BB5" s="10">
        <f>BB3*BB2</f>
        <v>0</v>
      </c>
      <c r="BC5" s="10">
        <f>BC3*BC2</f>
        <v>0</v>
      </c>
      <c r="BD5" s="10">
        <f>BD3*BD2</f>
        <v>0</v>
      </c>
      <c r="BE5" s="10">
        <f>BE3*BE2</f>
        <v>0</v>
      </c>
      <c r="BF5" s="10">
        <f>BF3*BF2</f>
        <v>0</v>
      </c>
      <c r="BG5" s="10">
        <f>BG3*BG2</f>
        <v>0</v>
      </c>
      <c r="BH5" s="10">
        <f>BH3*BH2</f>
        <v>0</v>
      </c>
      <c r="BI5" s="10">
        <f>BI3*BI2</f>
        <v>0</v>
      </c>
      <c r="BJ5" s="10">
        <f>BJ3*BJ2</f>
        <v>0</v>
      </c>
      <c r="BK5" s="10">
        <f>BK3*BK2</f>
        <v>0</v>
      </c>
      <c r="BL5" s="10">
        <f>BL3*BL2</f>
        <v>0</v>
      </c>
      <c r="BM5" s="10">
        <f>BM3*BM2</f>
        <v>0</v>
      </c>
      <c r="BN5" s="10">
        <f>BN3*BN2</f>
        <v>0</v>
      </c>
      <c r="BO5" s="10">
        <f>BO3*BO2</f>
        <v>0</v>
      </c>
      <c r="BP5" s="10">
        <f>BP3*BP2</f>
        <v>0</v>
      </c>
      <c r="BQ5" s="10">
        <f>BQ3*BQ2</f>
        <v>0</v>
      </c>
      <c r="BR5" s="10">
        <f>BR3*BR2</f>
        <v>0</v>
      </c>
      <c r="BS5" s="10">
        <f>BS3*BS2</f>
        <v>0</v>
      </c>
      <c r="BT5" s="10">
        <f>BT3*BT2</f>
        <v>0</v>
      </c>
      <c r="BU5" s="10">
        <f>BU3*BU2</f>
        <v>0</v>
      </c>
      <c r="BV5" s="10">
        <f>BV3*BV2</f>
        <v>0</v>
      </c>
      <c r="BW5" s="10">
        <f>BW3*BW2</f>
        <v>0</v>
      </c>
      <c r="BX5" s="10">
        <f>BX3*BX2</f>
        <v>0</v>
      </c>
      <c r="BY5" s="10">
        <f>BY3*BY2</f>
        <v>0</v>
      </c>
      <c r="BZ5" s="10">
        <f>BZ3*BZ2</f>
        <v>0</v>
      </c>
      <c r="CA5" s="10">
        <f>CA3*CA2</f>
        <v>0</v>
      </c>
      <c r="CB5" s="10">
        <f>CB3*CB2</f>
        <v>0</v>
      </c>
      <c r="CC5" s="10">
        <f>CC3*CC2</f>
        <v>0</v>
      </c>
      <c r="CD5" s="10">
        <f>CD3*CD2</f>
        <v>0</v>
      </c>
      <c r="CE5" s="10">
        <f>CE3*CE2</f>
        <v>0</v>
      </c>
      <c r="CF5" s="10">
        <f>CF3*CF2</f>
        <v>0</v>
      </c>
      <c r="CG5" s="10">
        <f>CG3*CG2</f>
        <v>0</v>
      </c>
      <c r="CH5" s="10">
        <f>CH3*CH2</f>
        <v>0</v>
      </c>
      <c r="CI5" s="10">
        <f>CI3*CI2</f>
        <v>0</v>
      </c>
      <c r="CJ5" s="10">
        <f>CJ3*CJ2</f>
        <v>0</v>
      </c>
      <c r="CK5" s="10">
        <f>CK3*CK2</f>
        <v>0</v>
      </c>
      <c r="CL5" s="10">
        <f>CL3*CL2</f>
        <v>0</v>
      </c>
      <c r="CM5" s="10">
        <f>CM3*CM2</f>
        <v>0</v>
      </c>
      <c r="CN5" s="10">
        <f>CN3*CN2</f>
        <v>0</v>
      </c>
      <c r="CO5" s="10">
        <f>CO3*CO2</f>
        <v>0</v>
      </c>
      <c r="CP5" s="10">
        <f>CP3*CP2</f>
        <v>0</v>
      </c>
      <c r="CQ5" s="10">
        <f>CQ3*CQ2</f>
        <v>0</v>
      </c>
      <c r="CR5" s="10">
        <f>CR3*CR2</f>
        <v>0</v>
      </c>
      <c r="CS5" s="10">
        <f>CS3*CS2</f>
        <v>0</v>
      </c>
      <c r="CT5" s="10">
        <f>CT3*CT2</f>
        <v>0</v>
      </c>
      <c r="CU5" s="10">
        <f>CU3*CU2</f>
        <v>0</v>
      </c>
      <c r="CV5" s="10">
        <f>CV3*CV2</f>
        <v>0</v>
      </c>
      <c r="CW5" s="10">
        <f>CW3*CW2</f>
        <v>0</v>
      </c>
      <c r="CX5" s="10">
        <f>CX3*CX2</f>
        <v>0</v>
      </c>
      <c r="CY5" s="10">
        <f>CY3*CY2</f>
        <v>0</v>
      </c>
      <c r="CZ5" s="10">
        <f>CZ3*CZ2</f>
        <v>0</v>
      </c>
      <c r="DA5" s="10">
        <f>DA3*DA2</f>
        <v>0</v>
      </c>
      <c r="DB5" s="10">
        <f>DB3*DB2</f>
        <v>0</v>
      </c>
      <c r="DC5" s="10">
        <f>DC3*DC2</f>
        <v>0</v>
      </c>
      <c r="DD5" s="10">
        <f>DD3*DD2</f>
        <v>0</v>
      </c>
      <c r="DE5" s="10">
        <f>DE3*DE2</f>
        <v>0</v>
      </c>
      <c r="DF5" s="10">
        <f>DF3*DF2</f>
        <v>0</v>
      </c>
      <c r="DG5" s="10">
        <f>DG3*DG2</f>
        <v>0</v>
      </c>
      <c r="DH5" s="10">
        <f>DH3*DH2</f>
        <v>0</v>
      </c>
      <c r="DI5" s="10">
        <f>DI3*DI2</f>
        <v>0</v>
      </c>
      <c r="DJ5" s="10">
        <f>DJ3*DJ2</f>
        <v>0</v>
      </c>
      <c r="DK5" s="10">
        <f>DK3*DK2</f>
        <v>0</v>
      </c>
      <c r="DL5" s="10">
        <f>DL3*DL2</f>
        <v>0</v>
      </c>
      <c r="DM5" s="10">
        <f>DM3*DM2</f>
        <v>0</v>
      </c>
      <c r="DN5" s="10">
        <f>DN3*DN2</f>
        <v>0</v>
      </c>
      <c r="DO5" s="10">
        <f>DO3*DO2</f>
        <v>0</v>
      </c>
      <c r="DP5" s="10">
        <f>DP3*DP2</f>
        <v>0</v>
      </c>
      <c r="DQ5" s="10">
        <f>DQ3*DQ2</f>
        <v>0</v>
      </c>
      <c r="DR5" s="10">
        <f>DR3*DR2</f>
        <v>0</v>
      </c>
      <c r="DS5" s="10">
        <f>DS3*DS2</f>
        <v>0</v>
      </c>
      <c r="DT5" s="10">
        <f>DT3*DT2</f>
        <v>0</v>
      </c>
      <c r="DU5" s="10">
        <f>DU3*DU2</f>
        <v>0</v>
      </c>
    </row>
    <row r="6" spans="1:125">
      <c r="A6" s="1" t="s">
        <v>510</v>
      </c>
      <c r="B6" s="12">
        <f>-(NPV(E8,F6:DU6)+E6)</f>
        <v>2000</v>
      </c>
      <c r="C6" s="13"/>
      <c r="D6" s="8" t="s">
        <v>511</v>
      </c>
      <c r="E6" s="11">
        <f>-Flujos!C12</f>
        <v>-2000</v>
      </c>
      <c r="F6" s="11" t="e">
        <f>-Flujos!D12</f>
        <v>#VALUE!</v>
      </c>
      <c r="G6" s="11" t="e">
        <f>-Flujos!E12</f>
        <v>#VALUE!</v>
      </c>
      <c r="H6" s="11" t="e">
        <f>-Flujos!F12</f>
        <v>#VALUE!</v>
      </c>
      <c r="I6" s="11" t="e">
        <f>-Flujos!G12</f>
        <v>#VALUE!</v>
      </c>
      <c r="J6" s="11" t="e">
        <f>-Flujos!H12</f>
        <v>#VALUE!</v>
      </c>
      <c r="K6" s="11" t="e">
        <f>-Flujos!I12</f>
        <v>#VALUE!</v>
      </c>
      <c r="L6" s="11" t="e">
        <f>-Flujos!J12</f>
        <v>#VALUE!</v>
      </c>
      <c r="M6" s="11" t="e">
        <f>-Flujos!K12</f>
        <v>#VALUE!</v>
      </c>
      <c r="N6" s="11" t="e">
        <f>-Flujos!L12</f>
        <v>#VALUE!</v>
      </c>
      <c r="O6" s="11" t="e">
        <f>-Flujos!M12</f>
        <v>#VALUE!</v>
      </c>
      <c r="P6" s="11" t="e">
        <f>-Flujos!N12</f>
        <v>#VALUE!</v>
      </c>
      <c r="Q6" s="11" t="e">
        <f>-Flujos!O12</f>
        <v>#VALUE!</v>
      </c>
      <c r="R6" s="11" t="e">
        <f>-Flujos!P12</f>
        <v>#VALUE!</v>
      </c>
      <c r="S6" s="11" t="e">
        <f>-Flujos!Q12</f>
        <v>#VALUE!</v>
      </c>
      <c r="T6" s="11" t="e">
        <f>-Flujos!R12</f>
        <v>#VALUE!</v>
      </c>
      <c r="U6" s="11" t="e">
        <f>-Flujos!S12</f>
        <v>#VALUE!</v>
      </c>
      <c r="V6" s="11" t="e">
        <f>-Flujos!T12</f>
        <v>#VALUE!</v>
      </c>
      <c r="W6" s="11" t="e">
        <f>-Flujos!U12</f>
        <v>#VALUE!</v>
      </c>
      <c r="X6" s="11" t="e">
        <f>-Flujos!V12</f>
        <v>#VALUE!</v>
      </c>
      <c r="Y6" s="11" t="e">
        <f>-Flujos!W12</f>
        <v>#VALUE!</v>
      </c>
      <c r="Z6" s="11" t="e">
        <f>-Flujos!X12</f>
        <v>#VALUE!</v>
      </c>
      <c r="AA6" s="11" t="e">
        <f>-Flujos!Y12</f>
        <v>#VALUE!</v>
      </c>
      <c r="AB6" s="11" t="e">
        <f>-Flujos!Z12</f>
        <v>#VALUE!</v>
      </c>
      <c r="AC6" s="11" t="e">
        <f>-Flujos!AA12</f>
        <v>#VALUE!</v>
      </c>
      <c r="AD6" s="11" t="e">
        <f>-Flujos!AB12</f>
        <v>#VALUE!</v>
      </c>
      <c r="AE6" s="11" t="e">
        <f>-Flujos!AC12</f>
        <v>#VALUE!</v>
      </c>
      <c r="AF6" s="11" t="e">
        <f>-Flujos!AD12</f>
        <v>#VALUE!</v>
      </c>
      <c r="AG6" s="11" t="e">
        <f>-Flujos!AE12</f>
        <v>#VALUE!</v>
      </c>
      <c r="AH6" s="11" t="e">
        <f>-Flujos!AF12</f>
        <v>#VALUE!</v>
      </c>
      <c r="AI6" s="11" t="e">
        <f>-Flujos!AG12</f>
        <v>#VALUE!</v>
      </c>
      <c r="AJ6" s="11" t="e">
        <f>-Flujos!AH12</f>
        <v>#VALUE!</v>
      </c>
      <c r="AK6" s="11" t="e">
        <f>-Flujos!AI12</f>
        <v>#VALUE!</v>
      </c>
      <c r="AL6" s="11" t="e">
        <f>-Flujos!AJ12</f>
        <v>#VALUE!</v>
      </c>
      <c r="AM6" s="11" t="e">
        <f>-Flujos!AK12</f>
        <v>#VALUE!</v>
      </c>
      <c r="AN6" s="11" t="e">
        <f>-Flujos!AL12</f>
        <v>#VALUE!</v>
      </c>
      <c r="AO6" s="11" t="e">
        <f>-Flujos!AM12</f>
        <v>#VALUE!</v>
      </c>
      <c r="AP6" s="11" t="e">
        <f>-Flujos!AN12</f>
        <v>#VALUE!</v>
      </c>
      <c r="AQ6" s="11" t="e">
        <f>-Flujos!AO12</f>
        <v>#VALUE!</v>
      </c>
      <c r="AR6" s="11" t="e">
        <f>-Flujos!AP12</f>
        <v>#VALUE!</v>
      </c>
      <c r="AS6" s="11" t="e">
        <f>-Flujos!AQ12</f>
        <v>#VALUE!</v>
      </c>
      <c r="AT6" s="11" t="e">
        <f>-Flujos!AR12</f>
        <v>#VALUE!</v>
      </c>
      <c r="AU6" s="11" t="e">
        <f>-Flujos!AS12</f>
        <v>#VALUE!</v>
      </c>
      <c r="AV6" s="11" t="e">
        <f>-Flujos!AT12</f>
        <v>#VALUE!</v>
      </c>
      <c r="AW6" s="11" t="e">
        <f>-Flujos!AU12</f>
        <v>#VALUE!</v>
      </c>
      <c r="AX6" s="11" t="e">
        <f>-Flujos!AV12</f>
        <v>#VALUE!</v>
      </c>
      <c r="AY6" s="11" t="e">
        <f>-Flujos!AW12</f>
        <v>#VALUE!</v>
      </c>
      <c r="AZ6" s="11" t="e">
        <f>-Flujos!AX12</f>
        <v>#VALUE!</v>
      </c>
      <c r="BA6" s="11" t="e">
        <f>-Flujos!AY12</f>
        <v>#VALUE!</v>
      </c>
      <c r="BB6" s="11" t="e">
        <f>-Flujos!AZ12</f>
        <v>#VALUE!</v>
      </c>
      <c r="BC6" s="11" t="e">
        <f>-Flujos!BA12</f>
        <v>#VALUE!</v>
      </c>
      <c r="BD6" s="11" t="e">
        <f>-Flujos!BB12</f>
        <v>#VALUE!</v>
      </c>
      <c r="BE6" s="11" t="e">
        <f>-Flujos!BC12</f>
        <v>#VALUE!</v>
      </c>
      <c r="BF6" s="11" t="e">
        <f>-Flujos!BD12</f>
        <v>#VALUE!</v>
      </c>
      <c r="BG6" s="11" t="e">
        <f>-Flujos!BE12</f>
        <v>#VALUE!</v>
      </c>
      <c r="BH6" s="11" t="e">
        <f>-Flujos!BF12</f>
        <v>#VALUE!</v>
      </c>
      <c r="BI6" s="11" t="e">
        <f>-Flujos!BG12</f>
        <v>#VALUE!</v>
      </c>
      <c r="BJ6" s="11" t="e">
        <f>-Flujos!BH12</f>
        <v>#VALUE!</v>
      </c>
      <c r="BK6" s="11" t="e">
        <f>-Flujos!BI12</f>
        <v>#VALUE!</v>
      </c>
      <c r="BL6" s="11" t="e">
        <f>-Flujos!BJ12</f>
        <v>#VALUE!</v>
      </c>
      <c r="BM6" s="11" t="e">
        <f>-Flujos!BK12</f>
        <v>#VALUE!</v>
      </c>
      <c r="BN6" s="11" t="e">
        <f>-Flujos!BL12</f>
        <v>#VALUE!</v>
      </c>
      <c r="BO6" s="11" t="e">
        <f>-Flujos!BM12</f>
        <v>#VALUE!</v>
      </c>
      <c r="BP6" s="11" t="e">
        <f>-Flujos!BN12</f>
        <v>#VALUE!</v>
      </c>
      <c r="BQ6" s="11" t="e">
        <f>-Flujos!BO12</f>
        <v>#VALUE!</v>
      </c>
      <c r="BR6" s="11" t="e">
        <f>-Flujos!BP12</f>
        <v>#VALUE!</v>
      </c>
      <c r="BS6" s="11" t="e">
        <f>-Flujos!BQ12</f>
        <v>#VALUE!</v>
      </c>
      <c r="BT6" s="11" t="e">
        <f>-Flujos!BR12</f>
        <v>#VALUE!</v>
      </c>
      <c r="BU6" s="11" t="e">
        <f>-Flujos!BS12</f>
        <v>#VALUE!</v>
      </c>
      <c r="BV6" s="11" t="e">
        <f>-Flujos!BT12</f>
        <v>#VALUE!</v>
      </c>
      <c r="BW6" s="11" t="e">
        <f>-Flujos!BU12</f>
        <v>#VALUE!</v>
      </c>
      <c r="BX6" s="11" t="e">
        <f>-Flujos!BV12</f>
        <v>#VALUE!</v>
      </c>
      <c r="BY6" s="11" t="e">
        <f>-Flujos!BW12</f>
        <v>#VALUE!</v>
      </c>
      <c r="BZ6" s="11" t="e">
        <f>-Flujos!BX12</f>
        <v>#VALUE!</v>
      </c>
      <c r="CA6" s="11" t="e">
        <f>-Flujos!BY12</f>
        <v>#VALUE!</v>
      </c>
      <c r="CB6" s="11" t="e">
        <f>-Flujos!BZ12</f>
        <v>#VALUE!</v>
      </c>
      <c r="CC6" s="11" t="e">
        <f>-Flujos!CA12</f>
        <v>#VALUE!</v>
      </c>
      <c r="CD6" s="11" t="e">
        <f>-Flujos!CB12</f>
        <v>#VALUE!</v>
      </c>
      <c r="CE6" s="11" t="e">
        <f>-Flujos!CC12</f>
        <v>#VALUE!</v>
      </c>
      <c r="CF6" s="11" t="e">
        <f>-Flujos!CD12</f>
        <v>#VALUE!</v>
      </c>
      <c r="CG6" s="11" t="e">
        <f>-Flujos!CE12</f>
        <v>#VALUE!</v>
      </c>
      <c r="CH6" s="11" t="e">
        <f>-Flujos!CF12</f>
        <v>#VALUE!</v>
      </c>
      <c r="CI6" s="11" t="e">
        <f>-Flujos!CG12</f>
        <v>#VALUE!</v>
      </c>
      <c r="CJ6" s="11" t="e">
        <f>-Flujos!CH12</f>
        <v>#VALUE!</v>
      </c>
      <c r="CK6" s="11" t="e">
        <f>-Flujos!CI12</f>
        <v>#VALUE!</v>
      </c>
      <c r="CL6" s="11" t="e">
        <f>-Flujos!CJ12</f>
        <v>#VALUE!</v>
      </c>
      <c r="CM6" s="11" t="e">
        <f>-Flujos!CK12</f>
        <v>#VALUE!</v>
      </c>
      <c r="CN6" s="11" t="e">
        <f>-Flujos!CL12</f>
        <v>#VALUE!</v>
      </c>
      <c r="CO6" s="11" t="e">
        <f>-Flujos!CM12</f>
        <v>#VALUE!</v>
      </c>
      <c r="CP6" s="11" t="e">
        <f>-Flujos!CN12</f>
        <v>#VALUE!</v>
      </c>
      <c r="CQ6" s="11" t="e">
        <f>-Flujos!CO12</f>
        <v>#VALUE!</v>
      </c>
      <c r="CR6" s="11" t="e">
        <f>-Flujos!CP12</f>
        <v>#VALUE!</v>
      </c>
      <c r="CS6" s="11" t="e">
        <f>-Flujos!CQ12</f>
        <v>#VALUE!</v>
      </c>
      <c r="CT6" s="11" t="e">
        <f>-Flujos!CR12</f>
        <v>#VALUE!</v>
      </c>
      <c r="CU6" s="11" t="e">
        <f>-Flujos!CS12</f>
        <v>#VALUE!</v>
      </c>
      <c r="CV6" s="11" t="e">
        <f>-Flujos!CT12</f>
        <v>#VALUE!</v>
      </c>
      <c r="CW6" s="11" t="e">
        <f>-Flujos!CU12</f>
        <v>#VALUE!</v>
      </c>
      <c r="CX6" s="11" t="e">
        <f>-Flujos!CV12</f>
        <v>#VALUE!</v>
      </c>
      <c r="CY6" s="11" t="e">
        <f>-Flujos!CW12</f>
        <v>#VALUE!</v>
      </c>
      <c r="CZ6" s="11" t="e">
        <f>-Flujos!CX12</f>
        <v>#VALUE!</v>
      </c>
      <c r="DA6" s="11" t="e">
        <f>-Flujos!CY12</f>
        <v>#VALUE!</v>
      </c>
      <c r="DB6" s="11" t="e">
        <f>-Flujos!CZ12</f>
        <v>#VALUE!</v>
      </c>
      <c r="DC6" s="11" t="e">
        <f>-Flujos!DA12</f>
        <v>#VALUE!</v>
      </c>
      <c r="DD6" s="11" t="e">
        <f>-Flujos!DB12</f>
        <v>#VALUE!</v>
      </c>
      <c r="DE6" s="11" t="e">
        <f>-Flujos!DC12</f>
        <v>#VALUE!</v>
      </c>
      <c r="DF6" s="11" t="e">
        <f>-Flujos!DD12</f>
        <v>#VALUE!</v>
      </c>
      <c r="DG6" s="11" t="e">
        <f>-Flujos!DE12</f>
        <v>#VALUE!</v>
      </c>
      <c r="DH6" s="11" t="e">
        <f>-Flujos!DF12</f>
        <v>#VALUE!</v>
      </c>
      <c r="DI6" s="11" t="e">
        <f>-Flujos!DG12</f>
        <v>#VALUE!</v>
      </c>
      <c r="DJ6" s="11" t="e">
        <f>-Flujos!DH12</f>
        <v>#VALUE!</v>
      </c>
      <c r="DK6" s="11" t="e">
        <f>-Flujos!DI12</f>
        <v>#VALUE!</v>
      </c>
      <c r="DL6" s="11" t="e">
        <f>-Flujos!DJ12</f>
        <v>#VALUE!</v>
      </c>
      <c r="DM6" s="11" t="e">
        <f>-Flujos!DK12</f>
        <v>#VALUE!</v>
      </c>
      <c r="DN6" s="11" t="e">
        <f>-Flujos!DL12</f>
        <v>#VALUE!</v>
      </c>
      <c r="DO6" s="11" t="e">
        <f>-Flujos!DM12</f>
        <v>#VALUE!</v>
      </c>
      <c r="DP6" s="11" t="e">
        <f>-Flujos!DN12</f>
        <v>#VALUE!</v>
      </c>
      <c r="DQ6" s="11" t="e">
        <f>-Flujos!DO12</f>
        <v>#VALUE!</v>
      </c>
      <c r="DR6" s="11" t="e">
        <f>-Flujos!DP12</f>
        <v>#VALUE!</v>
      </c>
      <c r="DS6" s="11" t="e">
        <f>-Flujos!DQ12</f>
        <v>#VALUE!</v>
      </c>
      <c r="DT6" s="11" t="e">
        <f>-Flujos!DR12</f>
        <v>#VALUE!</v>
      </c>
      <c r="DU6" s="11" t="e">
        <f>-Flujos!DS12</f>
        <v>#VALUE!</v>
      </c>
    </row>
    <row r="7" spans="1:125">
      <c r="A7" s="1" t="s">
        <v>512</v>
      </c>
      <c r="B7" s="14">
        <f>B5/B6</f>
        <v>2.8477432297507</v>
      </c>
      <c r="C7" s="15"/>
      <c r="D7" s="8" t="s">
        <v>513</v>
      </c>
      <c r="E7" s="9">
        <f>E4+E6</f>
        <v>-2000</v>
      </c>
      <c r="F7" s="9" t="e">
        <f>F4+F6</f>
        <v>#VALUE!</v>
      </c>
      <c r="G7" s="9" t="e">
        <f>G4+G6</f>
        <v>#VALUE!</v>
      </c>
      <c r="H7" s="9" t="e">
        <f>H4+H6</f>
        <v>#VALUE!</v>
      </c>
      <c r="I7" s="9" t="e">
        <f>I4+I6</f>
        <v>#VALUE!</v>
      </c>
      <c r="J7" s="9" t="e">
        <f>J4+J6</f>
        <v>#VALUE!</v>
      </c>
      <c r="K7" s="9" t="e">
        <f>K4+K6</f>
        <v>#VALUE!</v>
      </c>
      <c r="L7" s="9" t="e">
        <f>L4+L6</f>
        <v>#VALUE!</v>
      </c>
      <c r="M7" s="9" t="e">
        <f>M4+M6</f>
        <v>#VALUE!</v>
      </c>
      <c r="N7" s="9" t="e">
        <f>N4+N6</f>
        <v>#VALUE!</v>
      </c>
      <c r="O7" s="9" t="e">
        <f>O4+O6</f>
        <v>#VALUE!</v>
      </c>
      <c r="P7" s="9" t="e">
        <f>P4+P6</f>
        <v>#VALUE!</v>
      </c>
      <c r="Q7" s="9" t="e">
        <f>Q4+Q6</f>
        <v>#VALUE!</v>
      </c>
      <c r="R7" s="9" t="e">
        <f>R4+R6</f>
        <v>#VALUE!</v>
      </c>
      <c r="S7" s="9" t="e">
        <f>S4+S6</f>
        <v>#VALUE!</v>
      </c>
      <c r="T7" s="9" t="e">
        <f>T4+T6</f>
        <v>#VALUE!</v>
      </c>
      <c r="U7" s="9" t="e">
        <f>U4+U6</f>
        <v>#VALUE!</v>
      </c>
      <c r="V7" s="9" t="e">
        <f>V4+V6</f>
        <v>#VALUE!</v>
      </c>
      <c r="W7" s="9" t="e">
        <f>W4+W6</f>
        <v>#VALUE!</v>
      </c>
      <c r="X7" s="9" t="e">
        <f>X4+X6</f>
        <v>#VALUE!</v>
      </c>
      <c r="Y7" s="9" t="e">
        <f>Y4+Y6</f>
        <v>#VALUE!</v>
      </c>
      <c r="Z7" s="9" t="e">
        <f>Z4+Z6</f>
        <v>#VALUE!</v>
      </c>
      <c r="AA7" s="9" t="e">
        <f>AA4+AA6</f>
        <v>#VALUE!</v>
      </c>
      <c r="AB7" s="9" t="e">
        <f>AB4+AB6</f>
        <v>#VALUE!</v>
      </c>
      <c r="AC7" s="9" t="e">
        <f>AC4+AC6</f>
        <v>#VALUE!</v>
      </c>
      <c r="AD7" s="9" t="e">
        <f>AD4+AD6</f>
        <v>#VALUE!</v>
      </c>
      <c r="AE7" s="9" t="e">
        <f>AE4+AE6</f>
        <v>#VALUE!</v>
      </c>
      <c r="AF7" s="9" t="e">
        <f>AF4+AF6</f>
        <v>#VALUE!</v>
      </c>
      <c r="AG7" s="9" t="e">
        <f>AG4+AG6</f>
        <v>#VALUE!</v>
      </c>
      <c r="AH7" s="9" t="e">
        <f>AH4+AH6</f>
        <v>#VALUE!</v>
      </c>
      <c r="AI7" s="9" t="e">
        <f>AI4+AI6</f>
        <v>#VALUE!</v>
      </c>
      <c r="AJ7" s="9" t="e">
        <f>AJ4+AJ6</f>
        <v>#VALUE!</v>
      </c>
      <c r="AK7" s="9" t="e">
        <f>AK4+AK6</f>
        <v>#VALUE!</v>
      </c>
      <c r="AL7" s="9" t="e">
        <f>AL4+AL6</f>
        <v>#VALUE!</v>
      </c>
      <c r="AM7" s="9" t="e">
        <f>AM4+AM6</f>
        <v>#VALUE!</v>
      </c>
      <c r="AN7" s="9" t="e">
        <f>AN4+AN6</f>
        <v>#VALUE!</v>
      </c>
      <c r="AO7" s="9" t="e">
        <f>AO4+AO6</f>
        <v>#VALUE!</v>
      </c>
      <c r="AP7" s="9" t="e">
        <f>AP4+AP6</f>
        <v>#VALUE!</v>
      </c>
      <c r="AQ7" s="9" t="e">
        <f>AQ4+AQ6</f>
        <v>#VALUE!</v>
      </c>
      <c r="AR7" s="9" t="e">
        <f>AR4+AR6</f>
        <v>#VALUE!</v>
      </c>
      <c r="AS7" s="9" t="e">
        <f>AS4+AS6</f>
        <v>#VALUE!</v>
      </c>
      <c r="AT7" s="9" t="e">
        <f>AT4+AT6</f>
        <v>#VALUE!</v>
      </c>
      <c r="AU7" s="9" t="e">
        <f>AU4+AU6</f>
        <v>#VALUE!</v>
      </c>
      <c r="AV7" s="9" t="e">
        <f>AV4+AV6</f>
        <v>#VALUE!</v>
      </c>
      <c r="AW7" s="9" t="e">
        <f>AW4+AW6</f>
        <v>#VALUE!</v>
      </c>
      <c r="AX7" s="9" t="e">
        <f>AX4+AX6</f>
        <v>#VALUE!</v>
      </c>
      <c r="AY7" s="9" t="e">
        <f>AY4+AY6</f>
        <v>#VALUE!</v>
      </c>
      <c r="AZ7" s="9" t="e">
        <f>AZ4+AZ6</f>
        <v>#VALUE!</v>
      </c>
      <c r="BA7" s="9" t="e">
        <f>BA4+BA6</f>
        <v>#VALUE!</v>
      </c>
      <c r="BB7" s="9" t="e">
        <f>BB4+BB6</f>
        <v>#VALUE!</v>
      </c>
      <c r="BC7" s="9" t="e">
        <f>BC4+BC6</f>
        <v>#VALUE!</v>
      </c>
      <c r="BD7" s="9" t="e">
        <f>BD4+BD6</f>
        <v>#VALUE!</v>
      </c>
      <c r="BE7" s="9" t="e">
        <f>BE4+BE6</f>
        <v>#VALUE!</v>
      </c>
      <c r="BF7" s="9" t="e">
        <f>BF4+BF6</f>
        <v>#VALUE!</v>
      </c>
      <c r="BG7" s="9" t="e">
        <f>BG4+BG6</f>
        <v>#VALUE!</v>
      </c>
      <c r="BH7" s="9" t="e">
        <f>BH4+BH6</f>
        <v>#VALUE!</v>
      </c>
      <c r="BI7" s="9" t="e">
        <f>BI4+BI6</f>
        <v>#VALUE!</v>
      </c>
      <c r="BJ7" s="9" t="e">
        <f>BJ4+BJ6</f>
        <v>#VALUE!</v>
      </c>
      <c r="BK7" s="9" t="e">
        <f>BK4+BK6</f>
        <v>#VALUE!</v>
      </c>
      <c r="BL7" s="9" t="e">
        <f>BL4+BL6</f>
        <v>#VALUE!</v>
      </c>
      <c r="BM7" s="9" t="e">
        <f>BM4+BM6</f>
        <v>#VALUE!</v>
      </c>
      <c r="BN7" s="9" t="e">
        <f>BN4+BN6</f>
        <v>#VALUE!</v>
      </c>
      <c r="BO7" s="9" t="e">
        <f>BO4+BO6</f>
        <v>#VALUE!</v>
      </c>
      <c r="BP7" s="9" t="e">
        <f>BP4+BP6</f>
        <v>#VALUE!</v>
      </c>
      <c r="BQ7" s="9" t="e">
        <f>BQ4+BQ6</f>
        <v>#VALUE!</v>
      </c>
      <c r="BR7" s="9" t="e">
        <f>BR4+BR6</f>
        <v>#VALUE!</v>
      </c>
      <c r="BS7" s="9" t="e">
        <f>BS4+BS6</f>
        <v>#VALUE!</v>
      </c>
      <c r="BT7" s="9" t="e">
        <f>BT4+BT6</f>
        <v>#VALUE!</v>
      </c>
      <c r="BU7" s="9" t="e">
        <f>BU4+BU6</f>
        <v>#VALUE!</v>
      </c>
      <c r="BV7" s="9" t="e">
        <f>BV4+BV6</f>
        <v>#VALUE!</v>
      </c>
      <c r="BW7" s="9" t="e">
        <f>BW4+BW6</f>
        <v>#VALUE!</v>
      </c>
      <c r="BX7" s="9" t="e">
        <f>BX4+BX6</f>
        <v>#VALUE!</v>
      </c>
      <c r="BY7" s="9" t="e">
        <f>BY4+BY6</f>
        <v>#VALUE!</v>
      </c>
      <c r="BZ7" s="9" t="e">
        <f>BZ4+BZ6</f>
        <v>#VALUE!</v>
      </c>
      <c r="CA7" s="9" t="e">
        <f>CA4+CA6</f>
        <v>#VALUE!</v>
      </c>
      <c r="CB7" s="9" t="e">
        <f>CB4+CB6</f>
        <v>#VALUE!</v>
      </c>
      <c r="CC7" s="9" t="e">
        <f>CC4+CC6</f>
        <v>#VALUE!</v>
      </c>
      <c r="CD7" s="9" t="e">
        <f>CD4+CD6</f>
        <v>#VALUE!</v>
      </c>
      <c r="CE7" s="9" t="e">
        <f>CE4+CE6</f>
        <v>#VALUE!</v>
      </c>
      <c r="CF7" s="9" t="e">
        <f>CF4+CF6</f>
        <v>#VALUE!</v>
      </c>
      <c r="CG7" s="9" t="e">
        <f>CG4+CG6</f>
        <v>#VALUE!</v>
      </c>
      <c r="CH7" s="9" t="e">
        <f>CH4+CH6</f>
        <v>#VALUE!</v>
      </c>
      <c r="CI7" s="9" t="e">
        <f>CI4+CI6</f>
        <v>#VALUE!</v>
      </c>
      <c r="CJ7" s="9" t="e">
        <f>CJ4+CJ6</f>
        <v>#VALUE!</v>
      </c>
      <c r="CK7" s="9" t="e">
        <f>CK4+CK6</f>
        <v>#VALUE!</v>
      </c>
      <c r="CL7" s="9" t="e">
        <f>CL4+CL6</f>
        <v>#VALUE!</v>
      </c>
      <c r="CM7" s="9" t="e">
        <f>CM4+CM6</f>
        <v>#VALUE!</v>
      </c>
      <c r="CN7" s="9" t="e">
        <f>CN4+CN6</f>
        <v>#VALUE!</v>
      </c>
      <c r="CO7" s="9" t="e">
        <f>CO4+CO6</f>
        <v>#VALUE!</v>
      </c>
      <c r="CP7" s="9" t="e">
        <f>CP4+CP6</f>
        <v>#VALUE!</v>
      </c>
      <c r="CQ7" s="9" t="e">
        <f>CQ4+CQ6</f>
        <v>#VALUE!</v>
      </c>
      <c r="CR7" s="9" t="e">
        <f>CR4+CR6</f>
        <v>#VALUE!</v>
      </c>
      <c r="CS7" s="9" t="e">
        <f>CS4+CS6</f>
        <v>#VALUE!</v>
      </c>
      <c r="CT7" s="9" t="e">
        <f>CT4+CT6</f>
        <v>#VALUE!</v>
      </c>
      <c r="CU7" s="9" t="e">
        <f>CU4+CU6</f>
        <v>#VALUE!</v>
      </c>
      <c r="CV7" s="9" t="e">
        <f>CV4+CV6</f>
        <v>#VALUE!</v>
      </c>
      <c r="CW7" s="9" t="e">
        <f>CW4+CW6</f>
        <v>#VALUE!</v>
      </c>
      <c r="CX7" s="9" t="e">
        <f>CX4+CX6</f>
        <v>#VALUE!</v>
      </c>
      <c r="CY7" s="9" t="e">
        <f>CY4+CY6</f>
        <v>#VALUE!</v>
      </c>
      <c r="CZ7" s="9" t="e">
        <f>CZ4+CZ6</f>
        <v>#VALUE!</v>
      </c>
      <c r="DA7" s="9" t="e">
        <f>DA4+DA6</f>
        <v>#VALUE!</v>
      </c>
      <c r="DB7" s="9" t="e">
        <f>DB4+DB6</f>
        <v>#VALUE!</v>
      </c>
      <c r="DC7" s="9" t="e">
        <f>DC4+DC6</f>
        <v>#VALUE!</v>
      </c>
      <c r="DD7" s="9" t="e">
        <f>DD4+DD6</f>
        <v>#VALUE!</v>
      </c>
      <c r="DE7" s="9" t="e">
        <f>DE4+DE6</f>
        <v>#VALUE!</v>
      </c>
      <c r="DF7" s="9" t="e">
        <f>DF4+DF6</f>
        <v>#VALUE!</v>
      </c>
      <c r="DG7" s="9" t="e">
        <f>DG4+DG6</f>
        <v>#VALUE!</v>
      </c>
      <c r="DH7" s="9" t="e">
        <f>DH4+DH6</f>
        <v>#VALUE!</v>
      </c>
      <c r="DI7" s="9" t="e">
        <f>DI4+DI6</f>
        <v>#VALUE!</v>
      </c>
      <c r="DJ7" s="9" t="e">
        <f>DJ4+DJ6</f>
        <v>#VALUE!</v>
      </c>
      <c r="DK7" s="9" t="e">
        <f>DK4+DK6</f>
        <v>#VALUE!</v>
      </c>
      <c r="DL7" s="9" t="e">
        <f>DL4+DL6</f>
        <v>#VALUE!</v>
      </c>
      <c r="DM7" s="9" t="e">
        <f>DM4+DM6</f>
        <v>#VALUE!</v>
      </c>
      <c r="DN7" s="9" t="e">
        <f>DN4+DN6</f>
        <v>#VALUE!</v>
      </c>
      <c r="DO7" s="9" t="e">
        <f>DO4+DO6</f>
        <v>#VALUE!</v>
      </c>
      <c r="DP7" s="9" t="e">
        <f>DP4+DP6</f>
        <v>#VALUE!</v>
      </c>
      <c r="DQ7" s="9" t="e">
        <f>DQ4+DQ6</f>
        <v>#VALUE!</v>
      </c>
      <c r="DR7" s="9" t="e">
        <f>DR4+DR6</f>
        <v>#VALUE!</v>
      </c>
      <c r="DS7" s="9" t="e">
        <f>DS4+DS6</f>
        <v>#VALUE!</v>
      </c>
      <c r="DT7" s="9" t="e">
        <f>DT4+DT6</f>
        <v>#VALUE!</v>
      </c>
      <c r="DU7" s="9" t="e">
        <f>DU4+DU6</f>
        <v>#VALUE!</v>
      </c>
    </row>
    <row r="8" spans="1:125">
      <c r="A8" s="1" t="s">
        <v>514</v>
      </c>
      <c r="B8" s="16">
        <f>IF(B4="Trimestral",B7*1/4,IF(B4="Semestral",B7*1/2,B7))</f>
        <v>2.8477432297507</v>
      </c>
      <c r="C8" s="15"/>
      <c r="D8" s="8" t="s">
        <v>515</v>
      </c>
      <c r="E8" s="17" t="e">
        <f>IRR(E7:DU7)</f>
        <v>#VALUE!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 spans="1:125"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</row>
    <row r="10" spans="1:125">
      <c r="A10" t="s">
        <v>516</v>
      </c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1:125">
      <c r="D11" s="76" t="s">
        <v>512</v>
      </c>
      <c r="E11" s="77">
        <f>B8</f>
        <v>2.8477432297507</v>
      </c>
      <c r="G11" s="79" t="s">
        <v>517</v>
      </c>
      <c r="H11" s="79" t="s">
        <v>518</v>
      </c>
    </row>
    <row r="12" spans="1:125">
      <c r="B12" s="83" t="s">
        <v>519</v>
      </c>
      <c r="C12" s="21"/>
      <c r="D12" s="78" t="s">
        <v>520</v>
      </c>
      <c r="E12" s="80">
        <f>((E11-G12)*H13+(G13-E11)*H12)/(G13-G12)</f>
        <v>0.04266954864595</v>
      </c>
      <c r="F12" s="81"/>
      <c r="G12" s="6">
        <f>INDEX($A$14:$B$25,MATCH(E11,$A$14:$A$25,1),1)</f>
        <v>2</v>
      </c>
      <c r="H12" s="80">
        <f>VLOOKUP(G12,$A$14:$B$25,2,TRUE)</f>
        <v>0.0425</v>
      </c>
    </row>
    <row r="13" spans="1:125" customHeight="1" ht="15">
      <c r="A13" s="84" t="s">
        <v>521</v>
      </c>
      <c r="B13" s="103">
        <f>WACC!F3</f>
        <v>45838</v>
      </c>
      <c r="C13" s="102"/>
      <c r="F13" s="81"/>
      <c r="G13" s="6">
        <f>IF(INDEX($A$14:$B$25,MATCH(E11,$A$14:$A$25,1)+1,1,1)="0.25 (3 meses)",0.25,INDEX($A$14:$B$25,MATCH(E11,$A$14:$A$25,1)+1,1,1))</f>
        <v>3</v>
      </c>
      <c r="H13" s="80">
        <f>VLOOKUP(G13,$A$14:$B$25,2,TRUE)</f>
        <v>0.0427</v>
      </c>
      <c r="K13" s="19"/>
    </row>
    <row r="14" spans="1:125" customHeight="1" ht="15">
      <c r="A14" s="85">
        <f>1/12</f>
        <v>0.083333333333333</v>
      </c>
      <c r="B14" s="456">
        <f>+_xlfn.XLOOKUP($B$13,'Rf Base de datos'!$A:$A,'Rf Base de datos'!B:B)</f>
        <v>0.044</v>
      </c>
      <c r="C14" s="10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25">
      <c r="A15" s="85">
        <f>2/12</f>
        <v>0.16666666666667</v>
      </c>
      <c r="B15" s="456">
        <f>+_xlfn.XLOOKUP($B$13,'Rf Base de datos'!$A:$A,'Rf Base de datos'!C:C)</f>
        <v>0.0439</v>
      </c>
      <c r="C15" s="101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</row>
    <row r="16" spans="1:125" customHeight="1" ht="17.4">
      <c r="A16" s="85" t="s">
        <v>522</v>
      </c>
      <c r="B16" s="456">
        <f>+_xlfn.XLOOKUP($B$13,'Rf Base de datos'!$A:$A,'Rf Base de datos'!D:D)</f>
        <v>0.0437</v>
      </c>
      <c r="C16" s="101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20"/>
    </row>
    <row r="17" spans="1:125">
      <c r="A17" s="85" t="s">
        <v>523</v>
      </c>
      <c r="B17" s="456">
        <f>+_xlfn.XLOOKUP($B$13,'Rf Base de datos'!$A:$A,'Rf Base de datos'!E:E)</f>
        <v>0.0424</v>
      </c>
      <c r="C17" s="101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25">
      <c r="A18" s="85">
        <v>1</v>
      </c>
      <c r="B18" s="456">
        <f>+_xlfn.XLOOKUP($B$13,'Rf Base de datos'!$A:$A,'Rf Base de datos'!F:F)</f>
        <v>0.0416</v>
      </c>
      <c r="C18" s="101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25">
      <c r="A19" s="85">
        <v>2</v>
      </c>
      <c r="B19" s="456">
        <f>+_xlfn.XLOOKUP($B$13,'Rf Base de datos'!$A:$A,'Rf Base de datos'!G:G)</f>
        <v>0.0425</v>
      </c>
      <c r="C19" s="101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</row>
    <row r="20" spans="1:125">
      <c r="A20" s="85">
        <v>3</v>
      </c>
      <c r="B20" s="456">
        <f>+_xlfn.XLOOKUP($B$13,'Rf Base de datos'!$A:$A,'Rf Base de datos'!H:H)</f>
        <v>0.0427</v>
      </c>
      <c r="C20" s="101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1:125" customHeight="1" ht="17.4">
      <c r="A21" s="85">
        <v>5</v>
      </c>
      <c r="B21" s="456">
        <f>+_xlfn.XLOOKUP($B$13,'Rf Base de datos'!$A:$A,'Rf Base de datos'!I:I)</f>
        <v>0.0438</v>
      </c>
      <c r="C21" s="101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20"/>
    </row>
    <row r="22" spans="1:125" customHeight="1" ht="17.4">
      <c r="A22" s="85">
        <v>7</v>
      </c>
      <c r="B22" s="456">
        <f>+_xlfn.XLOOKUP($B$13,'Rf Base de datos'!$A:$A,'Rf Base de datos'!J:J)</f>
        <v>0.0448</v>
      </c>
      <c r="C22" s="101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20"/>
    </row>
    <row r="23" spans="1:125">
      <c r="A23" s="85">
        <v>10</v>
      </c>
      <c r="B23" s="456">
        <f>+_xlfn.XLOOKUP($B$13,'Rf Base de datos'!$A:$A,'Rf Base de datos'!K:K)</f>
        <v>0.0458</v>
      </c>
      <c r="C23" s="101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20"/>
    </row>
    <row r="24" spans="1:125">
      <c r="A24" s="85">
        <v>20</v>
      </c>
      <c r="B24" s="456">
        <f>+_xlfn.XLOOKUP($B$13,'Rf Base de datos'!$A:$A,'Rf Base de datos'!L:L)</f>
        <v>0.0486</v>
      </c>
      <c r="C24" s="101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</row>
    <row r="25" spans="1:125">
      <c r="A25" s="85">
        <v>30</v>
      </c>
      <c r="B25" s="456">
        <f>+_xlfn.XLOOKUP($B$13,'Rf Base de datos'!$A:$A,'Rf Base de datos'!M:M)</f>
        <v>0.0478</v>
      </c>
      <c r="C25" s="101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</row>
    <row r="26" spans="1:125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25">
      <c r="A27" s="23" t="s">
        <v>524</v>
      </c>
      <c r="B27" s="82">
        <f>B8</f>
        <v>2.8477432297507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25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25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25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25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25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25">
      <c r="C33" s="22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25" customHeight="1" ht="17.4">
      <c r="B34" s="92"/>
      <c r="C34" s="94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25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25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25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25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42" spans="1:125">
      <c r="I42" s="19"/>
    </row>
    <row r="43" spans="1:125">
      <c r="I43" s="19"/>
    </row>
    <row r="46" spans="1:125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25" customHeight="1" ht="17.4"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50" spans="1:125" customHeight="1" ht="15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25" customHeight="1" ht="15">
      <c r="C51" s="97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</row>
    <row r="52" spans="1:125">
      <c r="C52" s="9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O21"/>
  <sheetViews>
    <sheetView tabSelected="0" workbookViewId="0" showGridLines="true" showRowColHeaders="1">
      <selection activeCell="C1" sqref="C1"/>
    </sheetView>
  </sheetViews>
  <sheetFormatPr defaultRowHeight="14.4" outlineLevelRow="0" outlineLevelCol="0"/>
  <sheetData>
    <row r="1" spans="1:15">
      <c r="B1" s="85">
        <f>1/12</f>
        <v>0.083333333333333</v>
      </c>
      <c r="C1" s="85">
        <f>2/12</f>
        <v>0.16666666666667</v>
      </c>
      <c r="D1" s="85">
        <v>0.25</v>
      </c>
      <c r="E1" s="85">
        <v>0.5</v>
      </c>
      <c r="F1" s="85">
        <v>1</v>
      </c>
      <c r="G1" s="85">
        <v>2</v>
      </c>
      <c r="H1" s="85">
        <v>3</v>
      </c>
      <c r="I1" s="85">
        <v>5</v>
      </c>
      <c r="J1" s="85">
        <v>7</v>
      </c>
      <c r="K1" s="85">
        <v>10</v>
      </c>
      <c r="L1" s="85">
        <v>20</v>
      </c>
      <c r="M1" s="85">
        <v>30</v>
      </c>
    </row>
    <row r="2" spans="1:15">
      <c r="A2" s="758">
        <v>45838</v>
      </c>
      <c r="B2" s="759">
        <v>0.0428</v>
      </c>
      <c r="C2" s="759">
        <v>0.0445</v>
      </c>
      <c r="D2" s="759">
        <v>0.0441</v>
      </c>
      <c r="E2" s="759">
        <v>0.0429</v>
      </c>
      <c r="F2" s="759">
        <v>0.0396</v>
      </c>
      <c r="G2" s="759">
        <v>0.0372</v>
      </c>
      <c r="H2" s="759">
        <v>0.0368</v>
      </c>
      <c r="I2" s="759">
        <v>0.0379</v>
      </c>
      <c r="J2" s="759">
        <v>0.0398</v>
      </c>
      <c r="K2" s="759">
        <v>0.0424</v>
      </c>
      <c r="L2" s="759">
        <v>0.0479</v>
      </c>
      <c r="M2" s="759">
        <v>0.0478</v>
      </c>
    </row>
    <row r="3" spans="1:15">
      <c r="A3" s="758">
        <v>45747</v>
      </c>
      <c r="B3" s="759">
        <v>0.0438</v>
      </c>
      <c r="C3" s="759">
        <v>0.0435</v>
      </c>
      <c r="D3" s="759">
        <v>0.0432</v>
      </c>
      <c r="E3" s="759">
        <v>0.0423</v>
      </c>
      <c r="F3" s="759">
        <v>0.0403</v>
      </c>
      <c r="G3" s="759">
        <v>0.0389</v>
      </c>
      <c r="H3" s="759">
        <v>0.0389</v>
      </c>
      <c r="I3" s="759">
        <v>0.0396</v>
      </c>
      <c r="J3" s="759">
        <v>0.0409</v>
      </c>
      <c r="K3" s="759">
        <v>0.0423</v>
      </c>
      <c r="L3" s="759">
        <v>0.0462</v>
      </c>
      <c r="M3" s="759">
        <v>0.0459</v>
      </c>
    </row>
    <row r="4" spans="1:15">
      <c r="A4" s="102">
        <v>45657</v>
      </c>
      <c r="B4" s="636">
        <v>0.044</v>
      </c>
      <c r="C4" s="636">
        <v>0.0439</v>
      </c>
      <c r="D4" s="636">
        <v>0.0437</v>
      </c>
      <c r="E4" s="636">
        <v>0.0424</v>
      </c>
      <c r="F4" s="636">
        <v>0.0416</v>
      </c>
      <c r="G4" s="636">
        <v>0.0425</v>
      </c>
      <c r="H4" s="636">
        <v>0.0427</v>
      </c>
      <c r="I4" s="636">
        <v>0.0438</v>
      </c>
      <c r="J4" s="636">
        <v>0.0448</v>
      </c>
      <c r="K4" s="636">
        <v>0.0458</v>
      </c>
      <c r="L4" s="636">
        <v>0.0486</v>
      </c>
      <c r="M4" s="636">
        <v>0.0478</v>
      </c>
    </row>
    <row r="5" spans="1:15">
      <c r="A5" s="102">
        <v>45565</v>
      </c>
      <c r="B5" s="636">
        <v>0.0493</v>
      </c>
      <c r="C5" s="636">
        <v>0.0487</v>
      </c>
      <c r="D5" s="636">
        <v>0.0473</v>
      </c>
      <c r="E5" s="636">
        <v>0.0438</v>
      </c>
      <c r="F5" s="636">
        <v>0.0398</v>
      </c>
      <c r="G5" s="636">
        <v>0.0366</v>
      </c>
      <c r="H5" s="636">
        <v>0.0358</v>
      </c>
      <c r="I5" s="636">
        <v>0.0358</v>
      </c>
      <c r="J5" s="636">
        <v>0.0367</v>
      </c>
      <c r="K5" s="636">
        <v>0.0381</v>
      </c>
      <c r="L5" s="636">
        <v>0.0419</v>
      </c>
      <c r="M5" s="636">
        <v>0.0414</v>
      </c>
      <c r="N5" s="22"/>
    </row>
    <row r="6" spans="1:15">
      <c r="A6" s="102">
        <v>45473</v>
      </c>
      <c r="B6" s="636">
        <v>0.0547</v>
      </c>
      <c r="C6" s="636">
        <v>0.0547</v>
      </c>
      <c r="D6" s="636">
        <v>0.0548</v>
      </c>
      <c r="E6" s="636">
        <v>0.0533</v>
      </c>
      <c r="F6" s="636">
        <v>0.0509</v>
      </c>
      <c r="G6" s="636">
        <v>0.0471</v>
      </c>
      <c r="H6" s="636">
        <v>0.0452</v>
      </c>
      <c r="I6" s="636">
        <v>0.0433</v>
      </c>
      <c r="J6" s="636">
        <v>0.0433</v>
      </c>
      <c r="K6" s="636">
        <v>0.0436</v>
      </c>
      <c r="L6" s="636">
        <v>0.0461</v>
      </c>
      <c r="M6" s="636">
        <v>0.0451</v>
      </c>
      <c r="N6" s="22"/>
      <c r="O6" s="101"/>
    </row>
    <row r="7" spans="1:15">
      <c r="A7" s="102">
        <v>45382</v>
      </c>
      <c r="B7" s="594">
        <v>0.0549</v>
      </c>
      <c r="C7" s="594">
        <v>0.0548</v>
      </c>
      <c r="D7" s="594">
        <v>0.0546</v>
      </c>
      <c r="E7" s="594">
        <v>0.0538</v>
      </c>
      <c r="F7" s="594">
        <v>0.0503</v>
      </c>
      <c r="G7" s="594">
        <v>0.0459</v>
      </c>
      <c r="H7" s="594">
        <v>0.044</v>
      </c>
      <c r="I7" s="594">
        <v>0.0421</v>
      </c>
      <c r="J7" s="594">
        <v>0.042</v>
      </c>
      <c r="K7" s="594">
        <v>0.042</v>
      </c>
      <c r="L7" s="594">
        <v>0.0445</v>
      </c>
      <c r="M7" s="595">
        <v>0.0434</v>
      </c>
      <c r="N7" s="22"/>
      <c r="O7" s="101"/>
    </row>
    <row r="8" spans="1:15">
      <c r="A8" s="102">
        <v>45291</v>
      </c>
      <c r="B8" s="594">
        <v>0.056</v>
      </c>
      <c r="C8" s="594">
        <v>0.0559</v>
      </c>
      <c r="D8" s="594">
        <v>0.054</v>
      </c>
      <c r="E8" s="594">
        <v>0.054</v>
      </c>
      <c r="F8" s="594">
        <v>0.0526</v>
      </c>
      <c r="G8" s="594">
        <v>0.0479</v>
      </c>
      <c r="H8" s="594">
        <v>0.0423</v>
      </c>
      <c r="I8" s="594">
        <v>0.0401</v>
      </c>
      <c r="J8" s="594">
        <v>0.0384</v>
      </c>
      <c r="K8" s="594">
        <v>0.0388</v>
      </c>
      <c r="L8" s="594">
        <v>0.0388</v>
      </c>
      <c r="M8" s="595">
        <v>0.042</v>
      </c>
      <c r="N8" s="22"/>
      <c r="O8" s="101"/>
    </row>
    <row r="9" spans="1:15">
      <c r="A9" s="102">
        <v>45199</v>
      </c>
      <c r="B9" s="596">
        <v>0.0555</v>
      </c>
      <c r="C9" s="596">
        <v>0.056</v>
      </c>
      <c r="D9" s="596">
        <v>0.0555</v>
      </c>
      <c r="E9" s="596">
        <v>0.0553</v>
      </c>
      <c r="F9" s="596">
        <v>0.0546</v>
      </c>
      <c r="G9" s="596">
        <v>0.0503</v>
      </c>
      <c r="H9" s="596">
        <v>0.048</v>
      </c>
      <c r="I9" s="596">
        <v>0.046</v>
      </c>
      <c r="J9" s="596">
        <v>0.0461</v>
      </c>
      <c r="K9" s="596">
        <v>0.0459</v>
      </c>
      <c r="L9" s="596">
        <v>0.0492</v>
      </c>
      <c r="M9" s="597">
        <v>0.0473</v>
      </c>
      <c r="N9" s="22"/>
      <c r="O9" s="101"/>
    </row>
    <row r="10" spans="1:15">
      <c r="A10" s="102">
        <v>45107</v>
      </c>
      <c r="B10" s="596">
        <v>0.0524</v>
      </c>
      <c r="C10" s="596">
        <v>0.0539</v>
      </c>
      <c r="D10" s="596">
        <v>0.0543</v>
      </c>
      <c r="E10" s="596">
        <v>0.0547</v>
      </c>
      <c r="F10" s="596">
        <v>0.054</v>
      </c>
      <c r="G10" s="596">
        <v>0.0487</v>
      </c>
      <c r="H10" s="596">
        <v>0.0449</v>
      </c>
      <c r="I10" s="596">
        <v>0.0413</v>
      </c>
      <c r="J10" s="596">
        <v>0.0397</v>
      </c>
      <c r="K10" s="596">
        <v>0.0381</v>
      </c>
      <c r="L10" s="596">
        <v>0.0406</v>
      </c>
      <c r="M10" s="597">
        <v>0.0385</v>
      </c>
      <c r="N10" s="22"/>
      <c r="O10" s="101"/>
    </row>
    <row r="11" spans="1:15">
      <c r="A11" s="102">
        <v>45016</v>
      </c>
      <c r="B11" s="596">
        <v>0.0474</v>
      </c>
      <c r="C11" s="596">
        <v>0.0479</v>
      </c>
      <c r="D11" s="596">
        <v>0.0485</v>
      </c>
      <c r="E11" s="596">
        <v>0.0494</v>
      </c>
      <c r="F11" s="596">
        <v>0.0494</v>
      </c>
      <c r="G11" s="596">
        <v>0.0464</v>
      </c>
      <c r="H11" s="596">
        <v>0.0406</v>
      </c>
      <c r="I11" s="596">
        <v>0.0381</v>
      </c>
      <c r="J11" s="596">
        <v>0.036</v>
      </c>
      <c r="K11" s="596">
        <v>0.0355</v>
      </c>
      <c r="L11" s="596">
        <v>0.0348</v>
      </c>
      <c r="M11" s="597">
        <v>0.0381</v>
      </c>
      <c r="N11" s="22"/>
      <c r="O11" s="101"/>
    </row>
    <row r="12" spans="1:15">
      <c r="A12" s="102">
        <v>44926</v>
      </c>
      <c r="B12" s="101">
        <v>0.0017</v>
      </c>
      <c r="C12" s="101">
        <v>0.0035</v>
      </c>
      <c r="D12" s="101">
        <v>0.0052</v>
      </c>
      <c r="E12" s="101">
        <v>0.0106</v>
      </c>
      <c r="F12" s="101">
        <v>0.0163</v>
      </c>
      <c r="G12" s="101">
        <v>0.0228</v>
      </c>
      <c r="H12" s="101">
        <v>0.0245</v>
      </c>
      <c r="I12" s="101">
        <v>0.0242</v>
      </c>
      <c r="J12" s="101">
        <v>0.024</v>
      </c>
      <c r="K12" s="101">
        <v>0.0232</v>
      </c>
      <c r="L12" s="101">
        <v>0.0259</v>
      </c>
      <c r="M12" s="101">
        <v>0.0244</v>
      </c>
      <c r="N12" s="22"/>
      <c r="O12" s="101"/>
    </row>
    <row r="13" spans="1:15">
      <c r="A13" s="102">
        <v>44834</v>
      </c>
      <c r="B13" s="101">
        <v>0.0279</v>
      </c>
      <c r="C13" s="101">
        <v>0.032</v>
      </c>
      <c r="D13" s="101">
        <v>0.0333</v>
      </c>
      <c r="E13" s="101">
        <v>0.0392</v>
      </c>
      <c r="F13" s="101">
        <v>0.0405</v>
      </c>
      <c r="G13" s="101">
        <v>0.0422</v>
      </c>
      <c r="H13" s="101">
        <v>0.0425</v>
      </c>
      <c r="I13" s="101">
        <v>0.0406</v>
      </c>
      <c r="J13" s="101">
        <v>0.0397</v>
      </c>
      <c r="K13" s="101">
        <v>0.0383</v>
      </c>
      <c r="L13" s="101">
        <v>0.0408</v>
      </c>
      <c r="M13" s="101">
        <v>0.0379</v>
      </c>
    </row>
    <row r="14" spans="1:15">
      <c r="A14" s="102">
        <v>44742</v>
      </c>
      <c r="B14" s="101">
        <v>0.0128</v>
      </c>
      <c r="C14" s="101">
        <v>0.0168</v>
      </c>
      <c r="D14" s="101">
        <v>0.0172</v>
      </c>
      <c r="E14" s="101">
        <v>0.0251</v>
      </c>
      <c r="F14" s="101">
        <v>0.028</v>
      </c>
      <c r="G14" s="101">
        <v>0.0292</v>
      </c>
      <c r="H14" s="101">
        <v>0.0299</v>
      </c>
      <c r="I14" s="101">
        <v>0.0301</v>
      </c>
      <c r="J14" s="101">
        <v>0.0304</v>
      </c>
      <c r="K14" s="101">
        <v>0.0298</v>
      </c>
      <c r="L14" s="101">
        <v>0.0338</v>
      </c>
      <c r="M14" s="101">
        <v>0.0314</v>
      </c>
    </row>
    <row r="15" spans="1:15">
      <c r="A15" s="102">
        <v>44651</v>
      </c>
      <c r="B15" s="101">
        <v>0.0017</v>
      </c>
      <c r="C15" s="101">
        <v>0.0035</v>
      </c>
      <c r="D15" s="101">
        <v>0.0052</v>
      </c>
      <c r="E15" s="101">
        <v>0.0106</v>
      </c>
      <c r="F15" s="101">
        <v>0.0163</v>
      </c>
      <c r="G15" s="101">
        <v>0.0228</v>
      </c>
      <c r="H15" s="101">
        <v>0.0245</v>
      </c>
      <c r="I15" s="101">
        <v>0.0242</v>
      </c>
      <c r="J15" s="101">
        <v>0.024</v>
      </c>
      <c r="K15" s="101">
        <v>0.0232</v>
      </c>
      <c r="L15" s="101">
        <v>0.0259</v>
      </c>
      <c r="M15" s="101">
        <v>0.0244</v>
      </c>
    </row>
    <row r="16" spans="1:15">
      <c r="A16" s="102">
        <v>44561</v>
      </c>
      <c r="B16" s="101">
        <v>0.0006</v>
      </c>
      <c r="C16" s="101">
        <v>0.0005</v>
      </c>
      <c r="D16" s="101">
        <v>0.0006</v>
      </c>
      <c r="E16" s="101">
        <v>0.0019</v>
      </c>
      <c r="F16" s="101">
        <v>0.0039</v>
      </c>
      <c r="G16" s="101">
        <v>0.0073</v>
      </c>
      <c r="H16" s="101">
        <v>0.0097</v>
      </c>
      <c r="I16" s="101">
        <v>0.0126</v>
      </c>
      <c r="J16" s="101">
        <v>0.0144</v>
      </c>
      <c r="K16" s="101">
        <v>0.0152</v>
      </c>
      <c r="L16" s="101">
        <v>0.0194</v>
      </c>
      <c r="M16" s="101">
        <v>0.019</v>
      </c>
    </row>
    <row r="17" spans="1:15">
      <c r="A17" s="102">
        <v>44469</v>
      </c>
      <c r="B17" s="101">
        <v>0.0007</v>
      </c>
      <c r="C17" s="101">
        <v>0.0005</v>
      </c>
      <c r="D17" s="101">
        <v>0.0004</v>
      </c>
      <c r="E17" s="101">
        <v>0.0005</v>
      </c>
      <c r="F17" s="101">
        <v>0.0009</v>
      </c>
      <c r="G17" s="101">
        <v>0.0028</v>
      </c>
      <c r="H17" s="101">
        <v>0.0053</v>
      </c>
      <c r="I17" s="101">
        <v>0.0098</v>
      </c>
      <c r="J17" s="101">
        <v>0.0132</v>
      </c>
      <c r="K17" s="101">
        <v>0.0152</v>
      </c>
      <c r="L17" s="101">
        <v>0.0202</v>
      </c>
      <c r="M17" s="101">
        <v>0.0208</v>
      </c>
    </row>
    <row r="18" spans="1:15">
      <c r="A18" s="102">
        <v>44377</v>
      </c>
      <c r="B18" s="101">
        <v>0.0005</v>
      </c>
      <c r="C18" s="101">
        <v>0.0005</v>
      </c>
      <c r="D18" s="101">
        <v>0.0005</v>
      </c>
      <c r="E18" s="101">
        <v>0.0006</v>
      </c>
      <c r="F18" s="101">
        <v>0.0007</v>
      </c>
      <c r="G18" s="101">
        <v>0.0025</v>
      </c>
      <c r="H18" s="101">
        <v>0.0046</v>
      </c>
      <c r="I18" s="101">
        <v>0.0087</v>
      </c>
      <c r="J18" s="101">
        <v>0.0121</v>
      </c>
      <c r="K18" s="101">
        <v>0.0145</v>
      </c>
      <c r="L18" s="101">
        <v>0.02</v>
      </c>
      <c r="M18" s="101">
        <v>0.0206</v>
      </c>
    </row>
    <row r="19" spans="1:15">
      <c r="A19" s="102">
        <v>44286</v>
      </c>
      <c r="B19" s="101">
        <v>0.0001</v>
      </c>
      <c r="C19" s="101">
        <v>0.0001</v>
      </c>
      <c r="D19" s="101">
        <v>0.0003</v>
      </c>
      <c r="E19" s="101">
        <v>0.0005</v>
      </c>
      <c r="F19" s="101">
        <v>0.0007</v>
      </c>
      <c r="G19" s="101">
        <v>0.0016</v>
      </c>
      <c r="H19" s="101">
        <v>0.0035</v>
      </c>
      <c r="I19" s="101">
        <v>0.0092</v>
      </c>
      <c r="J19" s="101">
        <v>0.014</v>
      </c>
      <c r="K19" s="101">
        <v>0.0174</v>
      </c>
      <c r="L19" s="101">
        <v>0.0231</v>
      </c>
      <c r="M19" s="101">
        <v>0.0241</v>
      </c>
    </row>
    <row r="21" spans="1:15">
      <c r="A21" s="102"/>
      <c r="B21" s="102"/>
      <c r="C21" s="102"/>
      <c r="D21" s="102"/>
      <c r="E21" s="102"/>
      <c r="F21" s="102"/>
      <c r="G21" s="102"/>
      <c r="H21" s="102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Y19"/>
  <sheetViews>
    <sheetView tabSelected="0" workbookViewId="0" zoomScale="72" zoomScaleNormal="72" showGridLines="true" showRowColHeaders="1">
      <pane xSplit="1" topLeftCell="B1" activePane="topRight" state="frozen"/>
      <selection pane="topRight" activeCell="M10" sqref="M10"/>
    </sheetView>
  </sheetViews>
  <sheetFormatPr defaultRowHeight="14.4" defaultColWidth="11.44140625" outlineLevelRow="0" outlineLevelCol="0"/>
  <cols>
    <col min="1" max="1" width="30.109375" customWidth="true" style="0"/>
    <col min="2" max="2" width="11.44140625" style="0"/>
    <col min="3" max="3" width="11.44140625" style="0"/>
    <col min="4" max="4" width="11.44140625" style="0"/>
    <col min="5" max="5" width="11.44140625" style="0"/>
    <col min="6" max="6" width="11.44140625" style="0"/>
    <col min="7" max="7" width="11.44140625" style="0"/>
    <col min="8" max="8" width="11.44140625" style="0"/>
    <col min="9" max="9" width="15" customWidth="true" style="0"/>
    <col min="10" max="10" width="11.44140625" style="0"/>
    <col min="11" max="11" width="11.44140625" style="0"/>
    <col min="12" max="12" width="13.33203125" customWidth="true" style="0"/>
    <col min="13" max="13" width="11.44140625" style="0"/>
    <col min="14" max="14" width="11.44140625" style="0"/>
    <col min="15" max="15" width="11.44140625" style="0"/>
    <col min="16" max="16" width="11.44140625" style="0"/>
    <col min="17" max="17" width="11.44140625" style="0"/>
    <col min="18" max="18" width="11.44140625" style="0"/>
    <col min="19" max="19" width="11.44140625" style="0"/>
    <col min="20" max="20" width="11.44140625" style="0"/>
    <col min="21" max="21" width="11.44140625" style="0"/>
    <col min="22" max="22" width="11.44140625" style="0"/>
    <col min="23" max="23" width="11.44140625" style="0"/>
    <col min="24" max="24" width="11.44140625" style="0"/>
    <col min="25" max="25" width="11.44140625" style="0"/>
  </cols>
  <sheetData>
    <row r="1" spans="1:25">
      <c r="A1" t="s">
        <v>0</v>
      </c>
      <c r="B1" s="37" t="s">
        <v>492</v>
      </c>
      <c r="C1" s="37" t="s">
        <v>493</v>
      </c>
      <c r="D1" s="37" t="s">
        <v>494</v>
      </c>
      <c r="E1" s="37" t="s">
        <v>495</v>
      </c>
      <c r="F1" s="37" t="s">
        <v>496</v>
      </c>
      <c r="G1" s="37" t="s">
        <v>497</v>
      </c>
      <c r="H1" s="37" t="s">
        <v>2</v>
      </c>
      <c r="I1" s="37" t="s">
        <v>498</v>
      </c>
      <c r="M1" t="s">
        <v>0</v>
      </c>
    </row>
    <row r="2" spans="1:25" customHeight="1" ht="15">
      <c r="A2" s="758">
        <v>45838</v>
      </c>
      <c r="B2" s="668"/>
      <c r="C2" s="668"/>
      <c r="D2" s="668"/>
      <c r="E2" s="668"/>
      <c r="F2" s="668"/>
      <c r="G2" s="668"/>
      <c r="H2" s="638">
        <v>163.32846902202</v>
      </c>
      <c r="I2" s="668"/>
      <c r="M2" s="102">
        <f>+WACC!$F$3</f>
        <v>45838</v>
      </c>
    </row>
    <row r="3" spans="1:25" customHeight="1" ht="15">
      <c r="A3" s="758">
        <v>45747</v>
      </c>
      <c r="B3" s="638"/>
      <c r="C3" s="638"/>
      <c r="D3" s="638"/>
      <c r="E3" s="638"/>
      <c r="F3" s="638"/>
      <c r="G3" s="638"/>
      <c r="H3" s="638">
        <v>159.45558115719</v>
      </c>
      <c r="I3" s="668"/>
      <c r="L3" s="37" t="s">
        <v>492</v>
      </c>
      <c r="M3" s="105">
        <f>+_xlfn.XLOOKUP($M$2,$A:$A,B:B)</f>
        <v>693.38095238095</v>
      </c>
    </row>
    <row r="4" spans="1:25" customHeight="1" ht="15">
      <c r="A4" s="102">
        <v>45657</v>
      </c>
      <c r="B4" s="638">
        <v>693.38095238095</v>
      </c>
      <c r="C4" s="638">
        <v>232.04761904762</v>
      </c>
      <c r="D4" s="638">
        <v>118.14285714286</v>
      </c>
      <c r="E4" s="638">
        <v>322.90476190476</v>
      </c>
      <c r="F4" s="638">
        <v>1204.2380952381</v>
      </c>
      <c r="G4" s="638">
        <v>313.14285714286</v>
      </c>
      <c r="H4" s="638">
        <v>154.38095238095</v>
      </c>
      <c r="I4" s="668"/>
      <c r="L4" s="37" t="s">
        <v>493</v>
      </c>
      <c r="M4" s="105">
        <f>+_xlfn.XLOOKUP($M$2,$A:$A,C:C)</f>
        <v>232.04761904762</v>
      </c>
    </row>
    <row r="5" spans="1:25" customHeight="1" ht="15">
      <c r="A5" s="102">
        <v>45565</v>
      </c>
      <c r="B5" s="667">
        <v>1372.1052631579</v>
      </c>
      <c r="C5" s="638">
        <v>219.84210526316</v>
      </c>
      <c r="D5" s="638">
        <v>127.31578947368</v>
      </c>
      <c r="E5" s="638">
        <v>322.94736842105</v>
      </c>
      <c r="F5" s="638">
        <v>1207.8421052632</v>
      </c>
      <c r="G5" s="638">
        <v>329.57894736842</v>
      </c>
      <c r="H5" s="638">
        <v>162.57894736842</v>
      </c>
      <c r="L5" s="37" t="s">
        <v>494</v>
      </c>
      <c r="M5" s="105">
        <f>+_xlfn.XLOOKUP($M$2,$A:$A,D:D)</f>
        <v>118.14285714286</v>
      </c>
    </row>
    <row r="6" spans="1:25" customHeight="1" ht="15">
      <c r="A6" s="102">
        <v>45473</v>
      </c>
      <c r="B6" s="667">
        <v>1452.15</v>
      </c>
      <c r="C6" s="667">
        <v>217</v>
      </c>
      <c r="D6" s="667">
        <v>125.15</v>
      </c>
      <c r="E6" s="667">
        <v>313.05</v>
      </c>
      <c r="F6" s="667">
        <v>1368.65</v>
      </c>
      <c r="G6" s="667">
        <v>315.75</v>
      </c>
      <c r="H6" s="667">
        <v>160.9</v>
      </c>
      <c r="I6" s="667"/>
      <c r="L6" s="37" t="s">
        <v>495</v>
      </c>
      <c r="M6" s="105">
        <f>+_xlfn.XLOOKUP($M$2,$A:$A,E:E)</f>
        <v>322.90476190476</v>
      </c>
    </row>
    <row r="7" spans="1:25" customHeight="1" ht="15">
      <c r="A7" s="102">
        <v>45382</v>
      </c>
      <c r="B7" s="667">
        <v>1552.1428571429</v>
      </c>
      <c r="C7" s="667">
        <v>202.85714285714</v>
      </c>
      <c r="D7" s="667">
        <v>130.42857142857</v>
      </c>
      <c r="E7" s="667">
        <v>295.57142857143</v>
      </c>
      <c r="F7" s="667">
        <v>1257.2857142857</v>
      </c>
      <c r="G7" s="667">
        <v>324.14285714286</v>
      </c>
      <c r="H7" s="667">
        <v>152.66666666667</v>
      </c>
      <c r="I7" s="667"/>
      <c r="L7" s="37" t="s">
        <v>496</v>
      </c>
      <c r="M7" s="105">
        <f>+_xlfn.XLOOKUP($M$2,$A:$A,F:F)</f>
        <v>1204.2380952381</v>
      </c>
    </row>
    <row r="8" spans="1:25" customHeight="1" ht="15">
      <c r="A8" s="102">
        <v>45291</v>
      </c>
      <c r="B8" s="667">
        <v>1887.4761904762</v>
      </c>
      <c r="C8" s="667">
        <v>199.90476190476</v>
      </c>
      <c r="D8" s="667">
        <v>134.52380952381</v>
      </c>
      <c r="E8" s="667">
        <v>290.57142857143</v>
      </c>
      <c r="F8" s="667">
        <v>2069.3333333333</v>
      </c>
      <c r="G8" s="667">
        <v>351.52380952381</v>
      </c>
      <c r="H8" s="667">
        <v>162.42857142857</v>
      </c>
      <c r="I8" s="667"/>
      <c r="L8" s="37" t="s">
        <v>497</v>
      </c>
      <c r="M8" s="105">
        <f>+_xlfn.XLOOKUP($M$2,$A:$A,G:G)</f>
        <v>313.14285714286</v>
      </c>
    </row>
    <row r="9" spans="1:25" customHeight="1" ht="15">
      <c r="A9" s="102">
        <v>45199</v>
      </c>
      <c r="B9" s="667">
        <v>2239.8095238095</v>
      </c>
      <c r="C9" s="667">
        <v>209.71428571429</v>
      </c>
      <c r="D9" s="667">
        <v>131.80952380952</v>
      </c>
      <c r="E9" s="667">
        <v>328.95238095238</v>
      </c>
      <c r="F9" s="667">
        <v>1780.1904761905</v>
      </c>
      <c r="G9" s="667">
        <v>367.90476190476</v>
      </c>
      <c r="H9" s="667">
        <v>169.09523809524</v>
      </c>
      <c r="I9" s="667"/>
      <c r="L9" s="37" t="s">
        <v>2</v>
      </c>
      <c r="M9" s="105">
        <f>+_xlfn.XLOOKUP($M$2,$A:$A,H:H)</f>
        <v>154.38095238095</v>
      </c>
    </row>
    <row r="10" spans="1:25">
      <c r="A10" s="102">
        <v>45107</v>
      </c>
      <c r="B10" s="667">
        <v>2301.8636363636</v>
      </c>
      <c r="C10" s="667">
        <v>233.31818181818</v>
      </c>
      <c r="D10" s="667">
        <v>135.68181818182</v>
      </c>
      <c r="E10" s="667">
        <v>366.59090909091</v>
      </c>
      <c r="F10" s="667">
        <v>1875.0909090909</v>
      </c>
      <c r="G10" s="667">
        <v>386.86363636364</v>
      </c>
      <c r="H10" s="667">
        <v>181.09090909091</v>
      </c>
      <c r="I10" s="667"/>
      <c r="L10" s="37" t="s">
        <v>498</v>
      </c>
      <c r="M10" s="105">
        <f>+_xlfn.XLOOKUP($M$2,$A:$A,I:I)</f>
        <v>0</v>
      </c>
    </row>
    <row r="11" spans="1:25">
      <c r="A11" s="102">
        <v>45016</v>
      </c>
      <c r="B11" s="667">
        <v>2294.7391304348</v>
      </c>
      <c r="C11" s="667">
        <v>258.34782608696</v>
      </c>
      <c r="D11" s="667">
        <v>152</v>
      </c>
      <c r="E11" s="667">
        <v>411.60869565217</v>
      </c>
      <c r="F11" s="667">
        <v>1807.6956521739</v>
      </c>
      <c r="G11" s="667">
        <v>400.69565217391</v>
      </c>
      <c r="H11" s="667">
        <v>203.82608695652</v>
      </c>
      <c r="I11" s="667">
        <v>0</v>
      </c>
    </row>
    <row r="12" spans="1:25">
      <c r="A12" s="102">
        <v>44926</v>
      </c>
      <c r="B12" s="667">
        <v>1819</v>
      </c>
      <c r="C12" s="667">
        <v>303</v>
      </c>
      <c r="D12" s="667">
        <v>179</v>
      </c>
      <c r="E12" s="667">
        <v>364</v>
      </c>
      <c r="F12" s="667">
        <v>793</v>
      </c>
      <c r="G12" s="667">
        <v>373</v>
      </c>
      <c r="H12" s="667">
        <v>201</v>
      </c>
      <c r="I12" s="667">
        <v>0</v>
      </c>
    </row>
    <row r="13" spans="1:25">
      <c r="A13" s="102">
        <v>44834</v>
      </c>
      <c r="B13" s="667">
        <v>2449</v>
      </c>
      <c r="C13" s="667">
        <v>287</v>
      </c>
      <c r="D13" s="667">
        <v>194</v>
      </c>
      <c r="E13" s="667">
        <v>424</v>
      </c>
      <c r="F13" s="667">
        <v>1549</v>
      </c>
      <c r="G13" s="667">
        <v>444</v>
      </c>
      <c r="H13" s="667">
        <v>225</v>
      </c>
      <c r="I13" s="667">
        <v>0</v>
      </c>
    </row>
    <row r="14" spans="1:25">
      <c r="A14" s="102">
        <v>44742</v>
      </c>
      <c r="B14" s="667">
        <v>2153</v>
      </c>
      <c r="C14" s="667">
        <v>323</v>
      </c>
      <c r="D14" s="667">
        <v>179</v>
      </c>
      <c r="E14" s="667">
        <v>389</v>
      </c>
      <c r="F14" s="667">
        <v>970</v>
      </c>
      <c r="G14" s="667">
        <v>428</v>
      </c>
      <c r="H14" s="667">
        <v>214</v>
      </c>
      <c r="I14" s="667">
        <v>0</v>
      </c>
    </row>
    <row r="15" spans="1:25">
      <c r="A15" s="102">
        <v>44651</v>
      </c>
      <c r="B15" s="667">
        <v>1819</v>
      </c>
      <c r="C15" s="667">
        <v>303</v>
      </c>
      <c r="D15" s="667">
        <v>179</v>
      </c>
      <c r="E15" s="667">
        <v>364</v>
      </c>
      <c r="F15" s="667">
        <v>793</v>
      </c>
      <c r="G15" s="667">
        <v>373</v>
      </c>
      <c r="H15" s="667">
        <v>201</v>
      </c>
      <c r="I15" s="667">
        <v>0</v>
      </c>
    </row>
    <row r="16" spans="1:25">
      <c r="A16" s="102">
        <v>44561</v>
      </c>
      <c r="B16" s="667">
        <v>1730</v>
      </c>
      <c r="C16" s="667">
        <v>316</v>
      </c>
      <c r="D16" s="667">
        <v>155</v>
      </c>
      <c r="E16" s="667">
        <v>347</v>
      </c>
      <c r="F16" s="667">
        <v>867</v>
      </c>
      <c r="G16" s="667">
        <v>358</v>
      </c>
      <c r="H16" s="667">
        <v>174</v>
      </c>
      <c r="I16" s="667">
        <v>0</v>
      </c>
    </row>
    <row r="17" spans="1:25">
      <c r="A17" s="102">
        <v>44469</v>
      </c>
      <c r="B17" s="667">
        <v>1541.0909090909</v>
      </c>
      <c r="C17" s="667">
        <v>292.04545454546</v>
      </c>
      <c r="D17" s="667">
        <v>141.09090909091</v>
      </c>
      <c r="E17" s="667">
        <v>281.77272727273</v>
      </c>
      <c r="F17" s="667">
        <v>798.5</v>
      </c>
      <c r="G17" s="667">
        <v>350.54545454546</v>
      </c>
      <c r="H17" s="667">
        <v>174</v>
      </c>
      <c r="I17" s="667">
        <v>0</v>
      </c>
    </row>
    <row r="18" spans="1:25">
      <c r="A18" s="104">
        <v>44377</v>
      </c>
      <c r="B18" s="667">
        <v>1513.3181818182</v>
      </c>
      <c r="C18" s="667">
        <v>247.45454545455</v>
      </c>
      <c r="D18" s="667">
        <v>139.31818181818</v>
      </c>
      <c r="E18" s="667">
        <v>243.54545454545</v>
      </c>
      <c r="F18" s="667">
        <v>757.63636363636</v>
      </c>
      <c r="G18" s="667">
        <v>337.63636363636</v>
      </c>
      <c r="H18" s="667">
        <v>169.22727272727</v>
      </c>
      <c r="I18" s="667">
        <v>0</v>
      </c>
    </row>
    <row r="19" spans="1:25">
      <c r="A19" s="102">
        <v>44286</v>
      </c>
      <c r="B19" s="667">
        <v>1565.9565217391</v>
      </c>
      <c r="C19" s="667">
        <v>281.39130434783</v>
      </c>
      <c r="D19" s="667">
        <v>132.91304347826</v>
      </c>
      <c r="E19" s="667">
        <v>223.30434782609</v>
      </c>
      <c r="F19" s="667">
        <v>1260.8260869565</v>
      </c>
      <c r="G19" s="667">
        <v>356.04347826087</v>
      </c>
      <c r="H19" s="667">
        <v>165.08695652174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K95"/>
  <sheetViews>
    <sheetView tabSelected="0" workbookViewId="0" zoomScale="55" zoomScaleNormal="55" showGridLines="true" showRowColHeaders="1" topLeftCell="A36">
      <selection activeCell="A82" sqref="A82"/>
    </sheetView>
  </sheetViews>
  <sheetFormatPr defaultRowHeight="14.4" outlineLevelRow="0" outlineLevelCol="0"/>
  <cols>
    <col min="1" max="1" width="31.88671875" customWidth="true" style="0"/>
  </cols>
  <sheetData>
    <row r="1" spans="1:11">
      <c r="B1" s="784">
        <v>2020</v>
      </c>
      <c r="C1" s="784"/>
      <c r="D1" s="784">
        <v>2021</v>
      </c>
      <c r="E1" s="784"/>
      <c r="F1" s="785">
        <v>2022</v>
      </c>
      <c r="G1" s="785"/>
      <c r="H1" s="785">
        <v>2023</v>
      </c>
      <c r="I1" s="785"/>
      <c r="J1" s="785">
        <v>2024</v>
      </c>
      <c r="K1" s="785"/>
    </row>
    <row r="2" spans="1:11">
      <c r="A2" s="24" t="s">
        <v>328</v>
      </c>
      <c r="B2" s="115" t="s">
        <v>142</v>
      </c>
      <c r="C2" s="115" t="s">
        <v>525</v>
      </c>
      <c r="D2" s="115" t="s">
        <v>142</v>
      </c>
      <c r="E2" s="539" t="s">
        <v>525</v>
      </c>
      <c r="F2" s="540" t="s">
        <v>142</v>
      </c>
      <c r="G2" s="540" t="s">
        <v>525</v>
      </c>
      <c r="H2" s="540" t="s">
        <v>142</v>
      </c>
      <c r="I2" s="540" t="s">
        <v>525</v>
      </c>
      <c r="J2" s="540" t="s">
        <v>142</v>
      </c>
      <c r="K2" s="540" t="s">
        <v>525</v>
      </c>
    </row>
    <row r="3" spans="1:11">
      <c r="A3" s="86" t="s">
        <v>138</v>
      </c>
      <c r="B3" s="80">
        <v>0.022621378224858</v>
      </c>
      <c r="C3" s="114">
        <v>0.14337126910197</v>
      </c>
      <c r="D3" s="80">
        <v>0.080486733418664</v>
      </c>
      <c r="E3" s="541">
        <v>0.97434886495223</v>
      </c>
      <c r="F3" s="542">
        <v>0.10700249496971</v>
      </c>
      <c r="G3" s="543">
        <v>1.1481901510052</v>
      </c>
      <c r="H3" s="542">
        <v>0.095962814237447</v>
      </c>
      <c r="I3" s="543">
        <v>1.2200667064535</v>
      </c>
      <c r="J3" s="607">
        <v>0.11326028862694</v>
      </c>
      <c r="K3" s="608">
        <v>1.095026970115</v>
      </c>
    </row>
    <row r="4" spans="1:11">
      <c r="A4" s="89" t="s">
        <v>336</v>
      </c>
      <c r="B4" s="80">
        <v>0.038483583394867</v>
      </c>
      <c r="C4" s="114">
        <v>0.37973911919901</v>
      </c>
      <c r="D4" s="80">
        <v>0.085856450412875</v>
      </c>
      <c r="E4" s="541">
        <v>1.0543647547953</v>
      </c>
      <c r="F4" s="542">
        <v>0.10664484652809</v>
      </c>
      <c r="G4" s="543">
        <v>1.1421691334695</v>
      </c>
      <c r="H4" s="542">
        <v>0.093441788811719</v>
      </c>
      <c r="I4" s="543">
        <v>1.1829920337062</v>
      </c>
      <c r="J4" s="607">
        <v>0.10025945794318</v>
      </c>
      <c r="K4" s="608">
        <v>0.90383431567955</v>
      </c>
    </row>
    <row r="5" spans="1:11">
      <c r="A5" s="86" t="s">
        <v>337</v>
      </c>
      <c r="B5" s="80">
        <v>0.040523105630036</v>
      </c>
      <c r="C5" s="114">
        <v>0.41013069973811</v>
      </c>
      <c r="D5" s="80">
        <v>0.06522271208981</v>
      </c>
      <c r="E5" s="541">
        <v>0.74689474576342</v>
      </c>
      <c r="F5" s="542">
        <v>0.070322286034999</v>
      </c>
      <c r="G5" s="543">
        <v>0.53067821607742</v>
      </c>
      <c r="H5" s="542">
        <v>0.053159881180073</v>
      </c>
      <c r="I5" s="543">
        <v>0.5905987449112</v>
      </c>
      <c r="J5" s="607">
        <v>0.077671032170338</v>
      </c>
      <c r="K5" s="608">
        <v>0.57164468964105</v>
      </c>
    </row>
    <row r="6" spans="1:11">
      <c r="A6" s="89" t="s">
        <v>338</v>
      </c>
      <c r="B6" s="80">
        <v>0.041490500857495</v>
      </c>
      <c r="C6" s="114">
        <v>0.42454616894039</v>
      </c>
      <c r="D6" s="80">
        <v>0.081986196748087</v>
      </c>
      <c r="E6" s="541">
        <v>0.99669285304698</v>
      </c>
      <c r="F6" s="542">
        <v>0.092931022669158</v>
      </c>
      <c r="G6" s="543">
        <v>0.91129667793195</v>
      </c>
      <c r="H6" s="542">
        <v>0.07795387378379</v>
      </c>
      <c r="I6" s="543">
        <v>0.95522385043464</v>
      </c>
      <c r="J6" s="607">
        <v>0.098283633421211</v>
      </c>
      <c r="K6" s="608">
        <v>0.87477746967929</v>
      </c>
    </row>
    <row r="7" spans="1:11">
      <c r="A7" s="86" t="s">
        <v>339</v>
      </c>
      <c r="B7" s="80">
        <v>0.042238428946984</v>
      </c>
      <c r="C7" s="114">
        <v>0.43569128732998</v>
      </c>
      <c r="D7" s="80">
        <v>0.081288896235193</v>
      </c>
      <c r="E7" s="541">
        <v>0.98630215255244</v>
      </c>
      <c r="F7" s="542">
        <v>0.10034657629682</v>
      </c>
      <c r="G7" s="543">
        <v>1.0361376480947</v>
      </c>
      <c r="H7" s="542">
        <v>0.089108691878967</v>
      </c>
      <c r="I7" s="543">
        <v>1.1192686975094</v>
      </c>
      <c r="J7" s="607">
        <v>0.12278159860591</v>
      </c>
      <c r="K7" s="608">
        <v>1.2350491404565</v>
      </c>
    </row>
    <row r="8" spans="1:11">
      <c r="A8" s="89" t="s">
        <v>340</v>
      </c>
      <c r="B8" s="80">
        <v>0.045127388414039</v>
      </c>
      <c r="C8" s="114">
        <v>0.47874060682413</v>
      </c>
      <c r="D8" s="80">
        <v>0.091301102107093</v>
      </c>
      <c r="E8" s="541">
        <v>1.1354972708418</v>
      </c>
      <c r="F8" s="542">
        <v>0.10193014373462</v>
      </c>
      <c r="G8" s="543">
        <v>1.0627970325693</v>
      </c>
      <c r="H8" s="542">
        <v>0.088936194986698</v>
      </c>
      <c r="I8" s="543">
        <v>1.1167319258586</v>
      </c>
      <c r="J8" s="607">
        <v>0.10976125601037</v>
      </c>
      <c r="K8" s="608">
        <v>1.0435695401868</v>
      </c>
    </row>
    <row r="9" spans="1:11">
      <c r="A9" s="86" t="s">
        <v>341</v>
      </c>
      <c r="B9" s="80">
        <v>0.045244288979362</v>
      </c>
      <c r="C9" s="114">
        <v>0.48048257996117</v>
      </c>
      <c r="D9" s="80">
        <v>0.062651900389772</v>
      </c>
      <c r="E9" s="541">
        <v>0.70858624905508</v>
      </c>
      <c r="F9" s="542">
        <v>0.088627645456543</v>
      </c>
      <c r="G9" s="543">
        <v>0.83884925011015</v>
      </c>
      <c r="H9" s="542">
        <v>0.071780923663336</v>
      </c>
      <c r="I9" s="543">
        <v>0.86444328818166</v>
      </c>
      <c r="J9" s="607">
        <v>0.10383089979752</v>
      </c>
      <c r="K9" s="608">
        <v>0.95635660943926</v>
      </c>
    </row>
    <row r="10" spans="1:11">
      <c r="A10" s="89" t="s">
        <v>342</v>
      </c>
      <c r="B10" s="80">
        <v>0.045850473750225</v>
      </c>
      <c r="C10" s="114">
        <v>0.48951553531099</v>
      </c>
      <c r="D10" s="80">
        <v>0.087842500907344</v>
      </c>
      <c r="E10" s="541">
        <v>1.08395953563</v>
      </c>
      <c r="F10" s="542">
        <v>0.10654433358525</v>
      </c>
      <c r="G10" s="543">
        <v>1.1404769963847</v>
      </c>
      <c r="H10" s="542">
        <v>0.092525246390494</v>
      </c>
      <c r="I10" s="543">
        <v>1.1695131889555</v>
      </c>
      <c r="J10" s="607">
        <v>0.084848959522633</v>
      </c>
      <c r="K10" s="608">
        <v>0.67720463555626</v>
      </c>
    </row>
    <row r="11" spans="1:11">
      <c r="A11" s="86" t="s">
        <v>343</v>
      </c>
      <c r="B11" s="80">
        <v>0.046669009781583</v>
      </c>
      <c r="C11" s="114">
        <v>0.50171280548153</v>
      </c>
      <c r="D11" s="80">
        <v>0.064072617333451</v>
      </c>
      <c r="E11" s="541">
        <v>0.7297568117842</v>
      </c>
      <c r="F11" s="542">
        <v>0.073907281840071</v>
      </c>
      <c r="G11" s="543">
        <v>0.59103168080927</v>
      </c>
      <c r="H11" s="542">
        <v>0.055783355308001</v>
      </c>
      <c r="I11" s="543">
        <v>0.62918004748811</v>
      </c>
      <c r="J11" s="607">
        <v>0.069855066442133</v>
      </c>
      <c r="K11" s="608">
        <v>0.45670163170099</v>
      </c>
    </row>
    <row r="12" spans="1:11">
      <c r="A12" s="89" t="s">
        <v>344</v>
      </c>
      <c r="B12" s="80">
        <v>0.04741015624809</v>
      </c>
      <c r="C12" s="114">
        <v>0.51275686871346</v>
      </c>
      <c r="D12" s="80">
        <v>0.048910660078247</v>
      </c>
      <c r="E12" s="541">
        <v>0.50382358237095</v>
      </c>
      <c r="F12" s="542">
        <v>0.065277484889358</v>
      </c>
      <c r="G12" s="543">
        <v>0.44574890386124</v>
      </c>
      <c r="H12" s="542">
        <v>0.045663460924765</v>
      </c>
      <c r="I12" s="543">
        <v>0.48035498262864</v>
      </c>
      <c r="J12" s="607">
        <v>0.067062691774067</v>
      </c>
      <c r="K12" s="608">
        <v>0.41563644610229</v>
      </c>
    </row>
    <row r="13" spans="1:11">
      <c r="A13" s="86" t="s">
        <v>345</v>
      </c>
      <c r="B13" s="80">
        <v>0.047935749165439</v>
      </c>
      <c r="C13" s="114">
        <v>0.52058889878546</v>
      </c>
      <c r="D13" s="80">
        <v>0.085176308471109</v>
      </c>
      <c r="E13" s="541">
        <v>1.0442297397193</v>
      </c>
      <c r="F13" s="542">
        <v>0.099939544719666</v>
      </c>
      <c r="G13" s="543">
        <v>1.0292852646408</v>
      </c>
      <c r="H13" s="542">
        <v>0.084369809119948</v>
      </c>
      <c r="I13" s="543">
        <v>1.0495777988434</v>
      </c>
      <c r="J13" s="607">
        <v>0.1176725030618</v>
      </c>
      <c r="K13" s="608">
        <v>1.159913823137</v>
      </c>
    </row>
    <row r="14" spans="1:11">
      <c r="A14" s="89" t="s">
        <v>346</v>
      </c>
      <c r="B14" s="80">
        <v>0.048279464818917</v>
      </c>
      <c r="C14" s="114">
        <v>0.52571071691772</v>
      </c>
      <c r="D14" s="80">
        <v>0.077924897412307</v>
      </c>
      <c r="E14" s="541">
        <v>0.93617411795875</v>
      </c>
      <c r="F14" s="542">
        <v>0.09449378233507</v>
      </c>
      <c r="G14" s="543">
        <v>0.93760576321667</v>
      </c>
      <c r="H14" s="542">
        <v>0.079017720035149</v>
      </c>
      <c r="I14" s="543">
        <v>0.9708689729392</v>
      </c>
      <c r="J14" s="607">
        <v>0.10005935880936</v>
      </c>
      <c r="K14" s="608">
        <v>0.90089162028766</v>
      </c>
    </row>
    <row r="15" spans="1:11">
      <c r="A15" s="86" t="s">
        <v>347</v>
      </c>
      <c r="B15" s="80">
        <v>0.049490585281639</v>
      </c>
      <c r="C15" s="114">
        <v>0.5437580146871</v>
      </c>
      <c r="D15" s="80">
        <v>0.058668137773892</v>
      </c>
      <c r="E15" s="541">
        <v>0.64922291371046</v>
      </c>
      <c r="F15" s="542">
        <v>0.079381259913569</v>
      </c>
      <c r="G15" s="543">
        <v>0.68318619383113</v>
      </c>
      <c r="H15" s="542">
        <v>0.060298246392678</v>
      </c>
      <c r="I15" s="543">
        <v>0.69557688257995</v>
      </c>
      <c r="J15" s="607">
        <v>0.088048953261262</v>
      </c>
      <c r="K15" s="608">
        <v>0.72426434365857</v>
      </c>
    </row>
    <row r="16" spans="1:11">
      <c r="A16" s="89" t="s">
        <v>348</v>
      </c>
      <c r="B16" s="80">
        <v>0.051024496284164</v>
      </c>
      <c r="C16" s="114">
        <v>0.56661531870134</v>
      </c>
      <c r="D16" s="80">
        <v>0.073897502337236</v>
      </c>
      <c r="E16" s="541">
        <v>0.87616060122616</v>
      </c>
      <c r="F16" s="542">
        <v>0.090403064237083</v>
      </c>
      <c r="G16" s="543">
        <v>0.86873845516975</v>
      </c>
      <c r="H16" s="542">
        <v>0.07525059690683</v>
      </c>
      <c r="I16" s="543">
        <v>0.91546895366288</v>
      </c>
      <c r="J16" s="607">
        <v>0.094323723974299</v>
      </c>
      <c r="K16" s="608">
        <v>0.81654229864326</v>
      </c>
    </row>
    <row r="17" spans="1:11">
      <c r="A17" s="86" t="s">
        <v>349</v>
      </c>
      <c r="B17" s="80">
        <v>0.052664177270714</v>
      </c>
      <c r="C17" s="114">
        <v>0.59104873546035</v>
      </c>
      <c r="D17" s="80">
        <v>0.090026489813331</v>
      </c>
      <c r="E17" s="541">
        <v>1.1165038607608</v>
      </c>
      <c r="F17" s="542">
        <v>0.094280404200398</v>
      </c>
      <c r="G17" s="543">
        <v>0.93401353872723</v>
      </c>
      <c r="H17" s="542">
        <v>0.079852135408022</v>
      </c>
      <c r="I17" s="543">
        <v>0.98314004191333</v>
      </c>
      <c r="J17" s="607">
        <v>0.089449533364632</v>
      </c>
      <c r="K17" s="608">
        <v>0.74486153734768</v>
      </c>
    </row>
    <row r="18" spans="1:11">
      <c r="A18" s="89" t="s">
        <v>350</v>
      </c>
      <c r="B18" s="80">
        <v>0.052881528822041</v>
      </c>
      <c r="C18" s="114">
        <v>0.59428756123216</v>
      </c>
      <c r="D18" s="80">
        <v>0.079894857075859</v>
      </c>
      <c r="E18" s="541">
        <v>0.96552912411717</v>
      </c>
      <c r="F18" s="542">
        <v>0.099761162012207</v>
      </c>
      <c r="G18" s="543">
        <v>1.0262821887577</v>
      </c>
      <c r="H18" s="542">
        <v>0.085046368130711</v>
      </c>
      <c r="I18" s="543">
        <v>1.0595274025492</v>
      </c>
      <c r="J18" s="607">
        <v>0.10035763933289</v>
      </c>
      <c r="K18" s="608">
        <v>0.90527818961125</v>
      </c>
    </row>
    <row r="19" spans="1:11">
      <c r="A19" s="379" t="s">
        <v>351</v>
      </c>
      <c r="B19" s="80">
        <v>0.053119657529175</v>
      </c>
      <c r="C19" s="114">
        <v>0.59783599412332</v>
      </c>
      <c r="D19" s="80">
        <v>0.06222001468135</v>
      </c>
      <c r="E19" s="541">
        <v>0.70215058041423</v>
      </c>
      <c r="F19" s="542">
        <v>0.10996251784383</v>
      </c>
      <c r="G19" s="543">
        <v>1.1980221859231</v>
      </c>
      <c r="H19" s="542">
        <v>0.097919790762419</v>
      </c>
      <c r="I19" s="543">
        <v>1.2488463702749</v>
      </c>
      <c r="J19" s="607">
        <v>0.11271249912162</v>
      </c>
      <c r="K19" s="608">
        <v>1.0869710749079</v>
      </c>
    </row>
    <row r="20" spans="1:11">
      <c r="A20" s="89" t="s">
        <v>352</v>
      </c>
      <c r="B20" s="80">
        <v>0.056184738054352</v>
      </c>
      <c r="C20" s="114">
        <v>0.64350975047343</v>
      </c>
      <c r="D20" s="80">
        <v>0.08232903134335</v>
      </c>
      <c r="E20" s="541">
        <v>1.0018015422458</v>
      </c>
      <c r="F20" s="542">
        <v>0.092136295268848</v>
      </c>
      <c r="G20" s="543">
        <v>0.89791742876848</v>
      </c>
      <c r="H20" s="542">
        <v>0.077017997790605</v>
      </c>
      <c r="I20" s="543">
        <v>0.94146068254853</v>
      </c>
      <c r="J20" s="607">
        <v>0.094452730228017</v>
      </c>
      <c r="K20" s="608">
        <v>0.81843948880648</v>
      </c>
    </row>
    <row r="21" spans="1:11">
      <c r="A21" s="86" t="s">
        <v>353</v>
      </c>
      <c r="B21" s="80">
        <v>0.057104361565735</v>
      </c>
      <c r="C21" s="114">
        <v>0.65721335788202</v>
      </c>
      <c r="D21" s="80">
        <v>0.096925532233579</v>
      </c>
      <c r="E21" s="541">
        <v>1.2193087234595</v>
      </c>
      <c r="F21" s="542">
        <v>0.10938296725237</v>
      </c>
      <c r="G21" s="543">
        <v>1.1882654419591</v>
      </c>
      <c r="H21" s="542">
        <v>0.094939884405185</v>
      </c>
      <c r="I21" s="543">
        <v>1.2050233084824</v>
      </c>
      <c r="J21" s="607">
        <v>0.11247135238987</v>
      </c>
      <c r="K21" s="608">
        <v>1.0834247258419</v>
      </c>
    </row>
    <row r="22" spans="1:11">
      <c r="A22" s="89" t="s">
        <v>354</v>
      </c>
      <c r="B22" s="80">
        <v>0.057171661831636</v>
      </c>
      <c r="C22" s="114">
        <v>0.65821622091345</v>
      </c>
      <c r="D22" s="80">
        <v>0.076890677831291</v>
      </c>
      <c r="E22" s="541">
        <v>0.92076287744882</v>
      </c>
      <c r="F22" s="542">
        <v>0.097957631204034</v>
      </c>
      <c r="G22" s="543">
        <v>0.99591971723963</v>
      </c>
      <c r="H22" s="542">
        <v>0.083131203312034</v>
      </c>
      <c r="I22" s="543">
        <v>1.0313626295227</v>
      </c>
      <c r="J22" s="607">
        <v>0.10351133697417</v>
      </c>
      <c r="K22" s="608">
        <v>0.9516570586229</v>
      </c>
    </row>
    <row r="23" spans="1:11">
      <c r="A23" s="86" t="s">
        <v>355</v>
      </c>
      <c r="B23" s="80">
        <v>0.05719848024404</v>
      </c>
      <c r="C23" s="114">
        <v>0.65861585075149</v>
      </c>
      <c r="D23" s="80">
        <v>0.058550482385028</v>
      </c>
      <c r="E23" s="541">
        <v>0.64746969270366</v>
      </c>
      <c r="F23" s="542">
        <v>0.089935051291554</v>
      </c>
      <c r="G23" s="543">
        <v>0.86085944935276</v>
      </c>
      <c r="H23" s="542">
        <v>0.073898505501644</v>
      </c>
      <c r="I23" s="543">
        <v>0.89558484386365</v>
      </c>
      <c r="J23" s="607">
        <v>0.10984328819084</v>
      </c>
      <c r="K23" s="608">
        <v>1.0447759208186</v>
      </c>
    </row>
    <row r="24" spans="1:11">
      <c r="A24" s="89" t="s">
        <v>356</v>
      </c>
      <c r="B24" s="80">
        <v>0.057606243601967</v>
      </c>
      <c r="C24" s="114">
        <v>0.66469206444488</v>
      </c>
      <c r="D24" s="80">
        <v>0.075040435971052</v>
      </c>
      <c r="E24" s="541">
        <v>0.89319182500201</v>
      </c>
      <c r="F24" s="542">
        <v>0.10283992535408</v>
      </c>
      <c r="G24" s="543">
        <v>1.0781132214492</v>
      </c>
      <c r="H24" s="542">
        <v>0.088734354448988</v>
      </c>
      <c r="I24" s="543">
        <v>1.1137636210544</v>
      </c>
      <c r="J24" s="607">
        <v>0.10682442610881</v>
      </c>
      <c r="K24" s="608">
        <v>1.0003799688308</v>
      </c>
    </row>
    <row r="25" spans="1:11">
      <c r="A25" s="86" t="s">
        <v>357</v>
      </c>
      <c r="B25" s="80">
        <v>0.057894973556968</v>
      </c>
      <c r="C25" s="114">
        <v>0.66899452289822</v>
      </c>
      <c r="D25" s="80">
        <v>0.080332602250701</v>
      </c>
      <c r="E25" s="541">
        <v>0.97205210656247</v>
      </c>
      <c r="F25" s="542">
        <v>0.10528248298325</v>
      </c>
      <c r="G25" s="543">
        <v>1.1192337202568</v>
      </c>
      <c r="H25" s="542">
        <v>0.091233657904682</v>
      </c>
      <c r="I25" s="543">
        <v>1.1505188464363</v>
      </c>
      <c r="J25" s="607">
        <v>0.10112989574087</v>
      </c>
      <c r="K25" s="608">
        <v>0.91663513718941</v>
      </c>
    </row>
    <row r="26" spans="1:11">
      <c r="A26" s="89" t="s">
        <v>358</v>
      </c>
      <c r="B26" s="80">
        <v>0.058867446060534</v>
      </c>
      <c r="C26" s="114">
        <v>0.6834856502341</v>
      </c>
      <c r="D26" s="80">
        <v>0.078729793002573</v>
      </c>
      <c r="E26" s="541">
        <v>0.94816812750437</v>
      </c>
      <c r="F26" s="542">
        <v>0.089711279373143</v>
      </c>
      <c r="G26" s="543">
        <v>0.85709224533911</v>
      </c>
      <c r="H26" s="542">
        <v>0.073878448909949</v>
      </c>
      <c r="I26" s="543">
        <v>0.89528988786443</v>
      </c>
      <c r="J26" s="607">
        <v>0.11143702513844</v>
      </c>
      <c r="K26" s="608">
        <v>1.0682137152869</v>
      </c>
    </row>
    <row r="27" spans="1:11">
      <c r="A27" s="379" t="s">
        <v>359</v>
      </c>
      <c r="B27" s="80">
        <v>0.058877733772142</v>
      </c>
      <c r="C27" s="114">
        <v>0.68363895075247</v>
      </c>
      <c r="D27" s="80">
        <v>0.091082593200918</v>
      </c>
      <c r="E27" s="541">
        <v>1.1322411989511</v>
      </c>
      <c r="F27" s="542">
        <v>0.1165097121955</v>
      </c>
      <c r="G27" s="543">
        <v>1.3082443130556</v>
      </c>
      <c r="H27" s="542">
        <v>0.10547727276151</v>
      </c>
      <c r="I27" s="543">
        <v>1.3599881180141</v>
      </c>
      <c r="J27" s="607">
        <v>0.11152420626942</v>
      </c>
      <c r="K27" s="608">
        <v>1.0694958173506</v>
      </c>
    </row>
    <row r="28" spans="1:11">
      <c r="A28" s="89" t="s">
        <v>360</v>
      </c>
      <c r="B28" s="80">
        <v>0.059130740506608</v>
      </c>
      <c r="C28" s="114">
        <v>0.68740908594142</v>
      </c>
      <c r="D28" s="80">
        <v>0.07714609304508</v>
      </c>
      <c r="E28" s="541">
        <v>0.92456890216721</v>
      </c>
      <c r="F28" s="542">
        <v>0.11774013761149</v>
      </c>
      <c r="G28" s="543">
        <v>1.328958545648</v>
      </c>
      <c r="H28" s="542">
        <v>0.10614898766197</v>
      </c>
      <c r="I28" s="543">
        <v>1.3698664833253</v>
      </c>
      <c r="J28" s="607">
        <v>0.11622873666707</v>
      </c>
      <c r="K28" s="608">
        <v>1.1386815237472</v>
      </c>
    </row>
    <row r="29" spans="1:11">
      <c r="A29" s="86" t="s">
        <v>361</v>
      </c>
      <c r="B29" s="80">
        <v>0.059363458580819</v>
      </c>
      <c r="C29" s="114">
        <v>0.69087689324125</v>
      </c>
      <c r="D29" s="80">
        <v>0.081729436339249</v>
      </c>
      <c r="E29" s="541">
        <v>0.99286678314203</v>
      </c>
      <c r="F29" s="542">
        <v>0.099459175332455</v>
      </c>
      <c r="G29" s="543">
        <v>1.0211982379201</v>
      </c>
      <c r="H29" s="542">
        <v>0.084582191462646</v>
      </c>
      <c r="I29" s="543">
        <v>1.052701133409</v>
      </c>
      <c r="J29" s="607">
        <v>0.095052180239499</v>
      </c>
      <c r="K29" s="608">
        <v>0.82725511310654</v>
      </c>
    </row>
    <row r="30" spans="1:11">
      <c r="A30" s="89" t="s">
        <v>362</v>
      </c>
      <c r="B30" s="80">
        <v>0.059506930389315</v>
      </c>
      <c r="C30" s="114">
        <v>0.69301481306768</v>
      </c>
      <c r="D30" s="80">
        <v>0.074928630837865</v>
      </c>
      <c r="E30" s="541">
        <v>0.8915257805474</v>
      </c>
      <c r="F30" s="542">
        <v>0.094602556921554</v>
      </c>
      <c r="G30" s="543">
        <v>0.93943698521134</v>
      </c>
      <c r="H30" s="542">
        <v>0.078789918773066</v>
      </c>
      <c r="I30" s="543">
        <v>0.96751888485323</v>
      </c>
      <c r="J30" s="607">
        <v>0.093392987488831</v>
      </c>
      <c r="K30" s="608">
        <v>0.80285471332159</v>
      </c>
    </row>
    <row r="31" spans="1:11">
      <c r="A31" s="86" t="s">
        <v>363</v>
      </c>
      <c r="B31" s="80">
        <v>0.059707282333925</v>
      </c>
      <c r="C31" s="114">
        <v>0.69600032220103</v>
      </c>
      <c r="D31" s="80">
        <v>0.076234090086073</v>
      </c>
      <c r="E31" s="541">
        <v>0.91097885107456</v>
      </c>
      <c r="F31" s="542">
        <v>0.10397520737362</v>
      </c>
      <c r="G31" s="543">
        <v>1.0972257133605</v>
      </c>
      <c r="H31" s="542">
        <v>0.09189222090199</v>
      </c>
      <c r="I31" s="543">
        <v>1.160203797393</v>
      </c>
      <c r="J31" s="607">
        <v>0.09443437016499</v>
      </c>
      <c r="K31" s="608">
        <v>0.81816948227606</v>
      </c>
    </row>
    <row r="32" spans="1:11">
      <c r="A32" s="89" t="s">
        <v>364</v>
      </c>
      <c r="B32" s="80">
        <v>0.059776523448733</v>
      </c>
      <c r="C32" s="114">
        <v>0.69703210644983</v>
      </c>
      <c r="D32" s="80">
        <v>0.087334159526443</v>
      </c>
      <c r="E32" s="541">
        <v>1.0763845762828</v>
      </c>
      <c r="F32" s="542">
        <v>0.087378722338286</v>
      </c>
      <c r="G32" s="543">
        <v>0.81782360838866</v>
      </c>
      <c r="H32" s="542">
        <v>0.070944343100406</v>
      </c>
      <c r="I32" s="543">
        <v>0.85214037751646</v>
      </c>
      <c r="J32" s="607">
        <v>0.091757818349292</v>
      </c>
      <c r="K32" s="608">
        <v>0.77880760926769</v>
      </c>
    </row>
    <row r="33" spans="1:11">
      <c r="A33" s="86" t="s">
        <v>365</v>
      </c>
      <c r="B33" s="80">
        <v>0.059882956952153</v>
      </c>
      <c r="C33" s="114">
        <v>0.69861810651173</v>
      </c>
      <c r="D33" s="80">
        <v>0.069595348603287</v>
      </c>
      <c r="E33" s="541">
        <v>0.81205281684301</v>
      </c>
      <c r="F33" s="542">
        <v>0.090262467226992</v>
      </c>
      <c r="G33" s="543">
        <v>0.86637150213791</v>
      </c>
      <c r="H33" s="542">
        <v>0.074833897660917</v>
      </c>
      <c r="I33" s="543">
        <v>0.90934089639751</v>
      </c>
      <c r="J33" s="607">
        <v>0.089128720959003</v>
      </c>
      <c r="K33" s="608">
        <v>0.74014360993981</v>
      </c>
    </row>
    <row r="34" spans="1:11">
      <c r="A34" s="89" t="s">
        <v>366</v>
      </c>
      <c r="B34" s="80">
        <v>0.060470443672652</v>
      </c>
      <c r="C34" s="114">
        <v>0.70737243616494</v>
      </c>
      <c r="D34" s="80">
        <v>0.056309184237027</v>
      </c>
      <c r="E34" s="541">
        <v>0.61407138402013</v>
      </c>
      <c r="F34" s="542">
        <v>0.081840974896334</v>
      </c>
      <c r="G34" s="543">
        <v>0.72459553697532</v>
      </c>
      <c r="H34" s="542">
        <v>0.064289325786356</v>
      </c>
      <c r="I34" s="543">
        <v>0.75427044469927</v>
      </c>
      <c r="J34" s="607">
        <v>0.07167725737262</v>
      </c>
      <c r="K34" s="608">
        <v>0.48349911328988</v>
      </c>
    </row>
    <row r="35" spans="1:11">
      <c r="A35" s="86" t="s">
        <v>367</v>
      </c>
      <c r="B35" s="80">
        <v>0.060541661150979</v>
      </c>
      <c r="C35" s="114">
        <v>0.70843367084581</v>
      </c>
      <c r="D35" s="80">
        <v>0.085157931756578</v>
      </c>
      <c r="E35" s="541">
        <v>1.0439559023519</v>
      </c>
      <c r="F35" s="542">
        <v>0.08625802952735</v>
      </c>
      <c r="G35" s="543">
        <v>0.79895672604966</v>
      </c>
      <c r="H35" s="542">
        <v>0.069761192905016</v>
      </c>
      <c r="I35" s="543">
        <v>0.83474074883466</v>
      </c>
      <c r="J35" s="607">
        <v>0.087997573422711</v>
      </c>
      <c r="K35" s="608">
        <v>0.72350874211617</v>
      </c>
    </row>
    <row r="36" spans="1:11">
      <c r="A36" s="89" t="s">
        <v>368</v>
      </c>
      <c r="B36" s="80">
        <v>0.060619710293124</v>
      </c>
      <c r="C36" s="114">
        <v>0.70959670635903</v>
      </c>
      <c r="D36" s="80">
        <v>0.076638595044588</v>
      </c>
      <c r="E36" s="541">
        <v>0.91700651030434</v>
      </c>
      <c r="F36" s="542">
        <v>0.089517024995915</v>
      </c>
      <c r="G36" s="543">
        <v>0.85382196962821</v>
      </c>
      <c r="H36" s="542">
        <v>0.073879038622054</v>
      </c>
      <c r="I36" s="543">
        <v>0.89529856028125</v>
      </c>
      <c r="J36" s="607">
        <v>0.094292074976446</v>
      </c>
      <c r="K36" s="608">
        <v>0.81607686254483</v>
      </c>
    </row>
    <row r="37" spans="1:11">
      <c r="A37" s="379" t="s">
        <v>369</v>
      </c>
      <c r="B37" s="80">
        <v>0.060785271316564</v>
      </c>
      <c r="C37" s="114">
        <v>0.7120637847224</v>
      </c>
      <c r="D37" s="80">
        <v>0.086801516046224</v>
      </c>
      <c r="E37" s="541">
        <v>1.0684474834929</v>
      </c>
      <c r="F37" s="542">
        <v>0.083446022835951</v>
      </c>
      <c r="G37" s="543">
        <v>0.75161654605978</v>
      </c>
      <c r="H37" s="542">
        <v>0.070035713190399</v>
      </c>
      <c r="I37" s="543">
        <v>0.83877789563976</v>
      </c>
      <c r="J37" s="607">
        <v>0.075321637892577</v>
      </c>
      <c r="K37" s="608">
        <v>0.53709405674637</v>
      </c>
    </row>
    <row r="38" spans="1:11">
      <c r="A38" s="89" t="s">
        <v>370</v>
      </c>
      <c r="B38" s="80">
        <v>0.061682886383186</v>
      </c>
      <c r="C38" s="114">
        <v>0.72543943717666</v>
      </c>
      <c r="D38" s="80">
        <v>0.074331043463054</v>
      </c>
      <c r="E38" s="541">
        <v>0.8826209377771</v>
      </c>
      <c r="F38" s="542">
        <v>0.1003725548405</v>
      </c>
      <c r="G38" s="543">
        <v>1.0365749973147</v>
      </c>
      <c r="H38" s="542">
        <v>0.085214615537639</v>
      </c>
      <c r="I38" s="543">
        <v>1.0620016804715</v>
      </c>
      <c r="J38" s="607">
        <v>0.10475592558</v>
      </c>
      <c r="K38" s="608">
        <v>0.96996021209181</v>
      </c>
    </row>
    <row r="39" spans="1:11">
      <c r="A39" s="86" t="s">
        <v>371</v>
      </c>
      <c r="B39" s="80">
        <v>0.061741074512402</v>
      </c>
      <c r="C39" s="114">
        <v>0.72630651731189</v>
      </c>
      <c r="D39" s="80">
        <v>0.075300329691667</v>
      </c>
      <c r="E39" s="541">
        <v>0.89706458539926</v>
      </c>
      <c r="F39" s="542">
        <v>0.095290039896852</v>
      </c>
      <c r="G39" s="543">
        <v>0.95101077267428</v>
      </c>
      <c r="H39" s="542">
        <v>0.080035231115011</v>
      </c>
      <c r="I39" s="543">
        <v>0.98583268172124</v>
      </c>
      <c r="J39" s="607">
        <v>0.097242123421476</v>
      </c>
      <c r="K39" s="608">
        <v>0.85946082828042</v>
      </c>
    </row>
    <row r="40" spans="1:11">
      <c r="A40" s="89" t="s">
        <v>372</v>
      </c>
      <c r="B40" s="80">
        <v>0.061768378313125</v>
      </c>
      <c r="C40" s="114">
        <v>0.72671338007827</v>
      </c>
      <c r="D40" s="80">
        <v>0.074105078438182</v>
      </c>
      <c r="E40" s="541">
        <v>0.87925375984985</v>
      </c>
      <c r="F40" s="542">
        <v>0.11574574012279</v>
      </c>
      <c r="G40" s="543">
        <v>1.29538283035</v>
      </c>
      <c r="H40" s="542">
        <v>0.10342480161937</v>
      </c>
      <c r="I40" s="543">
        <v>1.3298040924419</v>
      </c>
      <c r="J40" s="607">
        <v>0.11615796736306</v>
      </c>
      <c r="K40" s="608">
        <v>1.1376407770891</v>
      </c>
    </row>
    <row r="41" spans="1:11">
      <c r="A41" s="86" t="s">
        <v>373</v>
      </c>
      <c r="B41" s="80">
        <v>0.061849737072764</v>
      </c>
      <c r="C41" s="114">
        <v>0.72792573327231</v>
      </c>
      <c r="D41" s="80">
        <v>0.11256003941808</v>
      </c>
      <c r="E41" s="541">
        <v>1.4522835722223</v>
      </c>
      <c r="F41" s="542">
        <v>0.10929649191688</v>
      </c>
      <c r="G41" s="543">
        <v>1.1868096282303</v>
      </c>
      <c r="H41" s="542">
        <v>0.095210450394289</v>
      </c>
      <c r="I41" s="543">
        <v>1.2090023026648</v>
      </c>
      <c r="J41" s="607">
        <v>0.12171544628692</v>
      </c>
      <c r="K41" s="608">
        <v>1.2193701044889</v>
      </c>
    </row>
    <row r="42" spans="1:11">
      <c r="A42" s="89" t="s">
        <v>374</v>
      </c>
      <c r="B42" s="80">
        <v>0.062279737531584</v>
      </c>
      <c r="C42" s="114">
        <v>0.73433330919903</v>
      </c>
      <c r="D42" s="80">
        <v>0.077584447917261</v>
      </c>
      <c r="E42" s="541">
        <v>0.93110096990977</v>
      </c>
      <c r="F42" s="542">
        <v>0.077780232480387</v>
      </c>
      <c r="G42" s="543">
        <v>0.65623287004019</v>
      </c>
      <c r="H42" s="542">
        <v>0.061256889966041</v>
      </c>
      <c r="I42" s="543">
        <v>0.70967487477038</v>
      </c>
      <c r="J42" s="607">
        <v>0.076226289596194</v>
      </c>
      <c r="K42" s="608">
        <v>0.55039803437374</v>
      </c>
    </row>
    <row r="43" spans="1:11">
      <c r="A43" s="86" t="s">
        <v>375</v>
      </c>
      <c r="B43" s="80">
        <v>0.062333328122766</v>
      </c>
      <c r="C43" s="114">
        <v>0.73513187993289</v>
      </c>
      <c r="D43" s="80">
        <v>0.10524242053609</v>
      </c>
      <c r="E43" s="541">
        <v>1.3432413662726</v>
      </c>
      <c r="F43" s="542">
        <v>0.092612760663744</v>
      </c>
      <c r="G43" s="543">
        <v>0.90593873171286</v>
      </c>
      <c r="H43" s="542">
        <v>0.079213846032133</v>
      </c>
      <c r="I43" s="543">
        <v>0.97375323863571</v>
      </c>
      <c r="J43" s="607">
        <v>0.10572291325306</v>
      </c>
      <c r="K43" s="608">
        <v>0.98418091417736</v>
      </c>
    </row>
    <row r="44" spans="1:11">
      <c r="A44" s="89" t="s">
        <v>376</v>
      </c>
      <c r="B44" s="80">
        <v>0.062451485755447</v>
      </c>
      <c r="C44" s="114">
        <v>0.73689258503725</v>
      </c>
      <c r="D44" s="80">
        <v>0.075311215115021</v>
      </c>
      <c r="E44" s="541">
        <v>0.89722679261371</v>
      </c>
      <c r="F44" s="542">
        <v>0.098729466838279</v>
      </c>
      <c r="G44" s="543">
        <v>1.008913583136</v>
      </c>
      <c r="H44" s="542">
        <v>0.083347849479715</v>
      </c>
      <c r="I44" s="543">
        <v>1.0345486686982</v>
      </c>
      <c r="J44" s="607">
        <v>0.089818268429352</v>
      </c>
      <c r="K44" s="608">
        <v>0.75028422436839</v>
      </c>
    </row>
    <row r="45" spans="1:11">
      <c r="A45" s="86" t="s">
        <v>377</v>
      </c>
      <c r="B45" s="80">
        <v>0.062552206233775</v>
      </c>
      <c r="C45" s="114">
        <v>0.7383934534643</v>
      </c>
      <c r="D45" s="80">
        <v>0.093113642589483</v>
      </c>
      <c r="E45" s="541">
        <v>1.1625065228622</v>
      </c>
      <c r="F45" s="542">
        <v>0.11367902481563</v>
      </c>
      <c r="G45" s="543">
        <v>1.2605896433607</v>
      </c>
      <c r="H45" s="542">
        <v>0.099997864676056</v>
      </c>
      <c r="I45" s="543">
        <v>1.2794069150067</v>
      </c>
      <c r="J45" s="607">
        <v>0.088732388469741</v>
      </c>
      <c r="K45" s="608">
        <v>0.73431507001769</v>
      </c>
    </row>
    <row r="46" spans="1:11">
      <c r="A46" s="89" t="s">
        <v>378</v>
      </c>
      <c r="B46" s="80">
        <v>0.062757823964345</v>
      </c>
      <c r="C46" s="114">
        <v>0.74145742977755</v>
      </c>
      <c r="D46" s="80">
        <v>0.066908767800925</v>
      </c>
      <c r="E46" s="541">
        <v>0.77201920729375</v>
      </c>
      <c r="F46" s="542">
        <v>0.096062282669908</v>
      </c>
      <c r="G46" s="543">
        <v>0.96401149275939</v>
      </c>
      <c r="H46" s="542">
        <v>0.080948451455098</v>
      </c>
      <c r="I46" s="543">
        <v>0.99926267132365</v>
      </c>
      <c r="J46" s="607">
        <v>0.097613715201787</v>
      </c>
      <c r="K46" s="608">
        <v>0.86492552669642</v>
      </c>
    </row>
    <row r="47" spans="1:11">
      <c r="A47" s="86" t="s">
        <v>379</v>
      </c>
      <c r="B47" s="80">
        <v>0.062898383212707</v>
      </c>
      <c r="C47" s="114">
        <v>0.7435519486033</v>
      </c>
      <c r="D47" s="80">
        <v>0.064123793805359</v>
      </c>
      <c r="E47" s="541">
        <v>0.73051940894587</v>
      </c>
      <c r="F47" s="542">
        <v>0.069481247566348</v>
      </c>
      <c r="G47" s="543">
        <v>0.51651931929879</v>
      </c>
      <c r="H47" s="542">
        <v>0.050728184210617</v>
      </c>
      <c r="I47" s="543">
        <v>0.55483775319597</v>
      </c>
      <c r="J47" s="607">
        <v>0.069577406040544</v>
      </c>
      <c r="K47" s="608">
        <v>0.45261830575802</v>
      </c>
    </row>
    <row r="48" spans="1:11">
      <c r="A48" s="89" t="s">
        <v>380</v>
      </c>
      <c r="B48" s="80">
        <v>0.064651618924646</v>
      </c>
      <c r="C48" s="114">
        <v>0.76967748105626</v>
      </c>
      <c r="D48" s="80">
        <v>0.064450575397903</v>
      </c>
      <c r="E48" s="541">
        <v>0.73538888715858</v>
      </c>
      <c r="F48" s="542">
        <v>0.078856835684974</v>
      </c>
      <c r="G48" s="543">
        <v>0.67435750311403</v>
      </c>
      <c r="H48" s="542">
        <v>0.060048761740575</v>
      </c>
      <c r="I48" s="543">
        <v>0.69190791449346</v>
      </c>
      <c r="J48" s="607">
        <v>0.082658874810652</v>
      </c>
      <c r="K48" s="608">
        <v>0.64499683901559</v>
      </c>
    </row>
    <row r="49" spans="1:11">
      <c r="A49" s="86" t="s">
        <v>381</v>
      </c>
      <c r="B49" s="80">
        <v>0.064778742824578</v>
      </c>
      <c r="C49" s="114">
        <v>0.77157179540919</v>
      </c>
      <c r="D49" s="80">
        <v>0.07353607450172</v>
      </c>
      <c r="E49" s="541">
        <v>0.8707748481401</v>
      </c>
      <c r="F49" s="542">
        <v>0.065876303894446</v>
      </c>
      <c r="G49" s="543">
        <v>0.45583003189303</v>
      </c>
      <c r="H49" s="542">
        <v>0.045933163813109</v>
      </c>
      <c r="I49" s="543">
        <v>0.48432128388937</v>
      </c>
      <c r="J49" s="607">
        <v>0.062658122929334</v>
      </c>
      <c r="K49" s="608">
        <v>0.35086203056282</v>
      </c>
    </row>
    <row r="50" spans="1:11">
      <c r="A50" s="89" t="s">
        <v>382</v>
      </c>
      <c r="B50" s="80">
        <v>0.064871233204635</v>
      </c>
      <c r="C50" s="114">
        <v>0.77295002447977</v>
      </c>
      <c r="D50" s="80">
        <v>0.09097433934769</v>
      </c>
      <c r="E50" s="541">
        <v>1.1306280732678</v>
      </c>
      <c r="F50" s="542">
        <v>0.10010181692736</v>
      </c>
      <c r="G50" s="543">
        <v>1.0320171199893</v>
      </c>
      <c r="H50" s="542">
        <v>0.08502670039502</v>
      </c>
      <c r="I50" s="543">
        <v>1.0592381651393</v>
      </c>
      <c r="J50" s="607">
        <v>0.10073634038792</v>
      </c>
      <c r="K50" s="608">
        <v>0.91084743835465</v>
      </c>
    </row>
    <row r="51" spans="1:11">
      <c r="A51" s="86" t="s">
        <v>383</v>
      </c>
      <c r="B51" s="80">
        <v>0.064891678398594</v>
      </c>
      <c r="C51" s="114">
        <v>0.77325468492824</v>
      </c>
      <c r="D51" s="80">
        <v>0.084594201592759</v>
      </c>
      <c r="E51" s="541">
        <v>1.0355555768342</v>
      </c>
      <c r="F51" s="542">
        <v>0.10231285215083</v>
      </c>
      <c r="G51" s="543">
        <v>1.0692399351992</v>
      </c>
      <c r="H51" s="542">
        <v>0.088518937690609</v>
      </c>
      <c r="I51" s="543">
        <v>1.1105956618027</v>
      </c>
      <c r="J51" s="607">
        <v>0.097305377297603</v>
      </c>
      <c r="K51" s="608">
        <v>0.86039105164647</v>
      </c>
    </row>
    <row r="52" spans="1:11">
      <c r="A52" s="89" t="s">
        <v>384</v>
      </c>
      <c r="B52" s="80">
        <v>0.065035888398883</v>
      </c>
      <c r="C52" s="114">
        <v>0.77540360478935</v>
      </c>
      <c r="D52" s="80">
        <v>0.083748608530265</v>
      </c>
      <c r="E52" s="541">
        <v>1.0229551210907</v>
      </c>
      <c r="F52" s="542">
        <v>0.084275068611977</v>
      </c>
      <c r="G52" s="543">
        <v>0.76557354565618</v>
      </c>
      <c r="H52" s="542">
        <v>0.066324588579406</v>
      </c>
      <c r="I52" s="543">
        <v>0.78420140106216</v>
      </c>
      <c r="J52" s="607">
        <v>0.094368909864422</v>
      </c>
      <c r="K52" s="608">
        <v>0.81720681081834</v>
      </c>
    </row>
    <row r="53" spans="1:11">
      <c r="A53" s="86" t="s">
        <v>385</v>
      </c>
      <c r="B53" s="80">
        <v>0.065196147168458</v>
      </c>
      <c r="C53" s="114">
        <v>0.77779167255279</v>
      </c>
      <c r="D53" s="80">
        <v>0.097383837447152</v>
      </c>
      <c r="E53" s="541">
        <v>1.2261380776924</v>
      </c>
      <c r="F53" s="542">
        <v>0.091647787246138</v>
      </c>
      <c r="G53" s="543">
        <v>0.88969338798212</v>
      </c>
      <c r="H53" s="542">
        <v>0.074188409586416</v>
      </c>
      <c r="I53" s="543">
        <v>0.89984822770792</v>
      </c>
      <c r="J53" s="607">
        <v>0.080493737720378</v>
      </c>
      <c r="K53" s="608">
        <v>0.61315592687884</v>
      </c>
    </row>
    <row r="54" spans="1:11">
      <c r="A54" s="89" t="s">
        <v>386</v>
      </c>
      <c r="B54" s="80">
        <v>0.065470800142482</v>
      </c>
      <c r="C54" s="114">
        <v>0.78188436535919</v>
      </c>
      <c r="D54" s="80">
        <v>0.087266486162347</v>
      </c>
      <c r="E54" s="541">
        <v>1.0753761535945</v>
      </c>
      <c r="F54" s="542">
        <v>0.10148230646995</v>
      </c>
      <c r="G54" s="543">
        <v>1.0552576846792</v>
      </c>
      <c r="H54" s="542">
        <v>0.087310547520281</v>
      </c>
      <c r="I54" s="543">
        <v>1.0928248493155</v>
      </c>
      <c r="J54" s="607">
        <v>0.092632413969249</v>
      </c>
      <c r="K54" s="608">
        <v>0.79166957649152</v>
      </c>
    </row>
    <row r="55" spans="1:11">
      <c r="A55" s="86" t="s">
        <v>387</v>
      </c>
      <c r="B55" s="80">
        <v>0.065654177286588</v>
      </c>
      <c r="C55" s="114">
        <v>0.7846169274995</v>
      </c>
      <c r="D55" s="80">
        <v>0.072339618030606</v>
      </c>
      <c r="E55" s="541">
        <v>0.85294606325295</v>
      </c>
      <c r="F55" s="542">
        <v>0.074167513478414</v>
      </c>
      <c r="G55" s="543">
        <v>0.59541268482178</v>
      </c>
      <c r="H55" s="542">
        <v>0.056894735554603</v>
      </c>
      <c r="I55" s="543">
        <v>0.64552421384207</v>
      </c>
      <c r="J55" s="607">
        <v>0.074021128790314</v>
      </c>
      <c r="K55" s="608">
        <v>0.51796852596857</v>
      </c>
    </row>
    <row r="56" spans="1:11">
      <c r="A56" s="89" t="s">
        <v>388</v>
      </c>
      <c r="B56" s="80">
        <v>0.065688354987492</v>
      </c>
      <c r="C56" s="114">
        <v>0.78512622047593</v>
      </c>
      <c r="D56" s="80">
        <v>0.087050769633535</v>
      </c>
      <c r="E56" s="541">
        <v>1.0721616918221</v>
      </c>
      <c r="F56" s="542">
        <v>0.101489754114</v>
      </c>
      <c r="G56" s="543">
        <v>1.0553830658922</v>
      </c>
      <c r="H56" s="542">
        <v>0.088135829344843</v>
      </c>
      <c r="I56" s="543">
        <v>1.1049615986151</v>
      </c>
      <c r="J56" s="607">
        <v>0.092470694038471</v>
      </c>
      <c r="K56" s="608">
        <v>0.78929129285777</v>
      </c>
    </row>
    <row r="57" spans="1:11">
      <c r="A57" s="86" t="s">
        <v>389</v>
      </c>
      <c r="B57" s="80">
        <v>0.06632853351134</v>
      </c>
      <c r="C57" s="114">
        <v>0.79466572773475</v>
      </c>
      <c r="D57" s="80">
        <v>0.064824398522618</v>
      </c>
      <c r="E57" s="541">
        <v>0.74095934645844</v>
      </c>
      <c r="F57" s="542">
        <v>0.075805335309925</v>
      </c>
      <c r="G57" s="543">
        <v>0.62298544292803</v>
      </c>
      <c r="H57" s="542">
        <v>0.057214842137564</v>
      </c>
      <c r="I57" s="543">
        <v>0.65023176128941</v>
      </c>
      <c r="J57" s="607">
        <v>0.091575654809618</v>
      </c>
      <c r="K57" s="608">
        <v>0.77612867808714</v>
      </c>
    </row>
    <row r="58" spans="1:11">
      <c r="A58" s="89" t="s">
        <v>390</v>
      </c>
      <c r="B58" s="80">
        <v>0.066426859472547</v>
      </c>
      <c r="C58" s="114">
        <v>0.79613091468764</v>
      </c>
      <c r="D58" s="80">
        <v>0.077663874887739</v>
      </c>
      <c r="E58" s="541">
        <v>0.93228453688867</v>
      </c>
      <c r="F58" s="542">
        <v>0.098213621934536</v>
      </c>
      <c r="G58" s="543">
        <v>1.0002293254972</v>
      </c>
      <c r="H58" s="542">
        <v>0.083762510150149</v>
      </c>
      <c r="I58" s="543">
        <v>1.0406467462902</v>
      </c>
      <c r="J58" s="607">
        <v>0.14174410352186</v>
      </c>
      <c r="K58" s="608">
        <v>1.5139152943058</v>
      </c>
    </row>
    <row r="59" spans="1:11">
      <c r="A59" s="379" t="s">
        <v>391</v>
      </c>
      <c r="B59" s="80">
        <v>0.066807538221676</v>
      </c>
      <c r="C59" s="114">
        <v>0.80180353186445</v>
      </c>
      <c r="D59" s="80">
        <v>0.05182677225674</v>
      </c>
      <c r="E59" s="541">
        <v>0.54727751320117</v>
      </c>
      <c r="F59" s="542">
        <v>0.064484899877428</v>
      </c>
      <c r="G59" s="543">
        <v>0.43240572184222</v>
      </c>
      <c r="H59" s="542">
        <v>0.044228249610454</v>
      </c>
      <c r="I59" s="543">
        <v>0.45924849585609</v>
      </c>
      <c r="J59" s="607">
        <v>0.064871647268747</v>
      </c>
      <c r="K59" s="608">
        <v>0.38341453466078</v>
      </c>
    </row>
    <row r="60" spans="1:11">
      <c r="A60" s="89" t="s">
        <v>392</v>
      </c>
      <c r="B60" s="80">
        <v>0.06708512566994</v>
      </c>
      <c r="C60" s="114">
        <v>0.80593995222068</v>
      </c>
      <c r="D60" s="80">
        <v>0.076148967779652</v>
      </c>
      <c r="E60" s="541">
        <v>0.90971041605253</v>
      </c>
      <c r="F60" s="542">
        <v>0.10204762732032</v>
      </c>
      <c r="G60" s="543">
        <v>1.0647748707125</v>
      </c>
      <c r="H60" s="542">
        <v>0.087733437334056</v>
      </c>
      <c r="I60" s="543">
        <v>1.0990439462329</v>
      </c>
      <c r="J60" s="607">
        <v>0.091838634120359</v>
      </c>
      <c r="K60" s="608">
        <v>0.77999610115459</v>
      </c>
    </row>
    <row r="61" spans="1:11">
      <c r="A61" s="86" t="s">
        <v>393</v>
      </c>
      <c r="B61" s="80">
        <v>0.067097438492464</v>
      </c>
      <c r="C61" s="114">
        <v>0.80612342957187</v>
      </c>
      <c r="D61" s="80">
        <v>0.10469054879104</v>
      </c>
      <c r="E61" s="541">
        <v>1.3350177468887</v>
      </c>
      <c r="F61" s="542">
        <v>0.086754527216274</v>
      </c>
      <c r="G61" s="543">
        <v>0.80731527300125</v>
      </c>
      <c r="H61" s="542">
        <v>0.070593272576361</v>
      </c>
      <c r="I61" s="543">
        <v>0.84697746854403</v>
      </c>
      <c r="J61" s="607">
        <v>0.091353965250895</v>
      </c>
      <c r="K61" s="608">
        <v>0.77286846985709</v>
      </c>
    </row>
    <row r="62" spans="1:11">
      <c r="A62" s="89" t="s">
        <v>394</v>
      </c>
      <c r="B62" s="80">
        <v>0.067648935942267</v>
      </c>
      <c r="C62" s="114">
        <v>0.81434147146119</v>
      </c>
      <c r="D62" s="80">
        <v>0.080088330950986</v>
      </c>
      <c r="E62" s="541">
        <v>0.96841214091234</v>
      </c>
      <c r="F62" s="542">
        <v>0.074953319140477</v>
      </c>
      <c r="G62" s="543">
        <v>0.60864173637167</v>
      </c>
      <c r="H62" s="542">
        <v>0.058765774587043</v>
      </c>
      <c r="I62" s="543">
        <v>0.67304006478007</v>
      </c>
      <c r="J62" s="607">
        <v>0.082839556668621</v>
      </c>
      <c r="K62" s="608">
        <v>0.64765398030706</v>
      </c>
    </row>
    <row r="63" spans="1:11">
      <c r="A63" s="86" t="s">
        <v>395</v>
      </c>
      <c r="B63" s="80">
        <v>0.068484371260719</v>
      </c>
      <c r="C63" s="114">
        <v>0.82679056337502</v>
      </c>
      <c r="D63" s="80">
        <v>0.060128754359962</v>
      </c>
      <c r="E63" s="541">
        <v>0.67098803391696</v>
      </c>
      <c r="F63" s="542">
        <v>0.082735136502567</v>
      </c>
      <c r="G63" s="543">
        <v>0.73964876266949</v>
      </c>
      <c r="H63" s="542">
        <v>0.068923646231684</v>
      </c>
      <c r="I63" s="543">
        <v>0.82242363036868</v>
      </c>
      <c r="J63" s="607">
        <v>0.065453347502871</v>
      </c>
      <c r="K63" s="608">
        <v>0.39196912740589</v>
      </c>
    </row>
    <row r="64" spans="1:11">
      <c r="A64" s="89" t="s">
        <v>396</v>
      </c>
      <c r="B64" s="80">
        <v>0.06950597352635</v>
      </c>
      <c r="C64" s="114">
        <v>0.84201378918715</v>
      </c>
      <c r="D64" s="80">
        <v>0.066098356715611</v>
      </c>
      <c r="E64" s="541">
        <v>0.75994300957235</v>
      </c>
      <c r="F64" s="542">
        <v>0.073273686588058</v>
      </c>
      <c r="G64" s="543">
        <v>0.58036509407505</v>
      </c>
      <c r="H64" s="542">
        <v>0.054355145450039</v>
      </c>
      <c r="I64" s="543">
        <v>0.60817652544581</v>
      </c>
      <c r="J64" s="607">
        <v>0.069728038163243</v>
      </c>
      <c r="K64" s="608">
        <v>0.45483353000657</v>
      </c>
    </row>
    <row r="65" spans="1:11">
      <c r="A65" s="86" t="s">
        <v>397</v>
      </c>
      <c r="B65" s="80">
        <v>0.070240465118708</v>
      </c>
      <c r="C65" s="114">
        <v>0.85295868598676</v>
      </c>
      <c r="D65" s="80">
        <v>0.06955527122733</v>
      </c>
      <c r="E65" s="541">
        <v>0.81145561090026</v>
      </c>
      <c r="F65" s="542">
        <v>0.078115091766984</v>
      </c>
      <c r="G65" s="543">
        <v>0.6618702317674</v>
      </c>
      <c r="H65" s="542">
        <v>0.063285533204711</v>
      </c>
      <c r="I65" s="543">
        <v>0.73950848272502</v>
      </c>
      <c r="J65" s="607">
        <v>0.09384747189774</v>
      </c>
      <c r="K65" s="608">
        <v>0.80953844628085</v>
      </c>
    </row>
    <row r="66" spans="1:11">
      <c r="A66" s="89" t="s">
        <v>398</v>
      </c>
      <c r="B66" s="80">
        <v>0.070601004394552</v>
      </c>
      <c r="C66" s="114">
        <v>0.85833119835774</v>
      </c>
      <c r="D66" s="80">
        <v>0.082851958356385</v>
      </c>
      <c r="E66" s="541">
        <v>1.0095938468153</v>
      </c>
      <c r="F66" s="542">
        <v>0.096051856676669</v>
      </c>
      <c r="G66" s="543">
        <v>0.9638359709877</v>
      </c>
      <c r="H66" s="542">
        <v>0.082344761014941</v>
      </c>
      <c r="I66" s="543">
        <v>1.0197970615987</v>
      </c>
      <c r="J66" s="607">
        <v>0.094136143803097</v>
      </c>
      <c r="K66" s="608">
        <v>0.81378370946354</v>
      </c>
    </row>
    <row r="67" spans="1:11">
      <c r="A67" s="86" t="s">
        <v>399</v>
      </c>
      <c r="B67" s="80">
        <v>0.071114938195103</v>
      </c>
      <c r="C67" s="114">
        <v>0.86598949215904</v>
      </c>
      <c r="D67" s="80">
        <v>0.086791269438186</v>
      </c>
      <c r="E67" s="541">
        <v>1.0682947954721</v>
      </c>
      <c r="F67" s="542">
        <v>0.07344558859029</v>
      </c>
      <c r="G67" s="543">
        <v>0.5832590671766</v>
      </c>
      <c r="H67" s="542">
        <v>0.055135719327795</v>
      </c>
      <c r="I67" s="543">
        <v>0.61965579129438</v>
      </c>
      <c r="J67" s="607">
        <v>0.072574150596246</v>
      </c>
      <c r="K67" s="608">
        <v>0.49668899325535</v>
      </c>
    </row>
    <row r="68" spans="1:11">
      <c r="A68" s="89" t="s">
        <v>400</v>
      </c>
      <c r="B68" s="80">
        <v>0.071388545871862</v>
      </c>
      <c r="C68" s="114">
        <v>0.87006660865277</v>
      </c>
      <c r="D68" s="80">
        <v>0.10222137800335</v>
      </c>
      <c r="E68" s="541">
        <v>1.2982238342925</v>
      </c>
      <c r="F68" s="542">
        <v>0.10417676594004</v>
      </c>
      <c r="G68" s="543">
        <v>1.1006189552196</v>
      </c>
      <c r="H68" s="542">
        <v>0.090919918078811</v>
      </c>
      <c r="I68" s="543">
        <v>1.1459049297129</v>
      </c>
      <c r="J68" s="607">
        <v>0.10689119111753</v>
      </c>
      <c r="K68" s="608">
        <v>1.0013618275712</v>
      </c>
    </row>
    <row r="69" spans="1:11">
      <c r="A69" s="86" t="s">
        <v>401</v>
      </c>
      <c r="B69" s="80">
        <v>0.071778786120416</v>
      </c>
      <c r="C69" s="114">
        <v>0.87588170482531</v>
      </c>
      <c r="D69" s="80">
        <v>0.088293628114982</v>
      </c>
      <c r="E69" s="541">
        <v>1.0906819280746</v>
      </c>
      <c r="F69" s="542">
        <v>0.09965615948658</v>
      </c>
      <c r="G69" s="543">
        <v>1.024514469471</v>
      </c>
      <c r="H69" s="542">
        <v>0.08522923592673</v>
      </c>
      <c r="I69" s="543">
        <v>1.0622166906557</v>
      </c>
      <c r="J69" s="607">
        <v>0.10979849754959</v>
      </c>
      <c r="K69" s="608">
        <v>1.0441172212476</v>
      </c>
    </row>
    <row r="70" spans="1:11">
      <c r="A70" s="89" t="s">
        <v>402</v>
      </c>
      <c r="B70" s="80">
        <v>0.072859068961705</v>
      </c>
      <c r="C70" s="114">
        <v>0.8919793488764</v>
      </c>
      <c r="D70" s="80">
        <v>0.1082713508302</v>
      </c>
      <c r="E70" s="541">
        <v>1.3883764363363</v>
      </c>
      <c r="F70" s="542">
        <v>0.12858156492349</v>
      </c>
      <c r="G70" s="543">
        <v>1.5114741569611</v>
      </c>
      <c r="H70" s="542">
        <v>0.11796164430301</v>
      </c>
      <c r="I70" s="543">
        <v>1.5435856274378</v>
      </c>
      <c r="J70" s="607">
        <v>0.15346067680611</v>
      </c>
      <c r="K70" s="608">
        <v>1.6862214185524</v>
      </c>
    </row>
    <row r="71" spans="1:11">
      <c r="A71" s="86" t="s">
        <v>403</v>
      </c>
      <c r="B71" s="80">
        <v>0.072952864695048</v>
      </c>
      <c r="C71" s="114">
        <v>0.89337702943852</v>
      </c>
      <c r="D71" s="80">
        <v>0.084634269341508</v>
      </c>
      <c r="E71" s="541">
        <v>1.0361526393188</v>
      </c>
      <c r="F71" s="542">
        <v>0.095250238302958</v>
      </c>
      <c r="G71" s="543">
        <v>0.95034071217101</v>
      </c>
      <c r="H71" s="542">
        <v>0.079870709008929</v>
      </c>
      <c r="I71" s="543">
        <v>0.98341318877188</v>
      </c>
      <c r="J71" s="607">
        <v>0.099346230810761</v>
      </c>
      <c r="K71" s="608">
        <v>0.89040422618786</v>
      </c>
    </row>
    <row r="72" spans="1:11">
      <c r="A72" s="89" t="s">
        <v>404</v>
      </c>
      <c r="B72" s="80">
        <v>0.072985566843686</v>
      </c>
      <c r="C72" s="114">
        <v>0.89386433473335</v>
      </c>
      <c r="D72" s="80">
        <v>0.082112956359379</v>
      </c>
      <c r="E72" s="541">
        <v>0.99858173901705</v>
      </c>
      <c r="F72" s="542">
        <v>0.10877233892364</v>
      </c>
      <c r="G72" s="543">
        <v>1.177985503765</v>
      </c>
      <c r="H72" s="542">
        <v>0.093621703907118</v>
      </c>
      <c r="I72" s="543">
        <v>1.1856378988435</v>
      </c>
      <c r="J72" s="607">
        <v>0.11581808846338</v>
      </c>
      <c r="K72" s="608">
        <v>1.1326424542437</v>
      </c>
    </row>
    <row r="73" spans="1:11">
      <c r="A73" s="86" t="s">
        <v>405</v>
      </c>
      <c r="B73" s="80">
        <v>0.073893935171498</v>
      </c>
      <c r="C73" s="114">
        <v>0.9074002250109</v>
      </c>
      <c r="D73" s="80">
        <v>0.028523391073566</v>
      </c>
      <c r="E73" s="541">
        <v>0.20002629237639</v>
      </c>
      <c r="F73" s="542">
        <v>0.064385024288672</v>
      </c>
      <c r="G73" s="543">
        <v>0.43072431462411</v>
      </c>
      <c r="H73" s="542">
        <v>0.043391559489118</v>
      </c>
      <c r="I73" s="543">
        <v>0.44694397400443</v>
      </c>
      <c r="J73" s="607">
        <v>0.062457043684114</v>
      </c>
      <c r="K73" s="608">
        <v>0.34790492146874</v>
      </c>
    </row>
    <row r="74" spans="1:11">
      <c r="A74" s="89" t="s">
        <v>406</v>
      </c>
      <c r="B74" s="80">
        <v>0.074285388916457</v>
      </c>
      <c r="C74" s="114">
        <v>0.91323340388589</v>
      </c>
      <c r="D74" s="80">
        <v>0.085010661837651</v>
      </c>
      <c r="E74" s="541">
        <v>1.0417613856534</v>
      </c>
      <c r="F74" s="542">
        <v>0.11341438010199</v>
      </c>
      <c r="G74" s="543">
        <v>1.2561343451513</v>
      </c>
      <c r="H74" s="542">
        <v>0.10140881926327</v>
      </c>
      <c r="I74" s="543">
        <v>1.3001566778011</v>
      </c>
      <c r="J74" s="607">
        <v>0.091681854153209</v>
      </c>
      <c r="K74" s="608">
        <v>0.77769046555245</v>
      </c>
    </row>
    <row r="75" spans="1:11">
      <c r="A75" s="86" t="s">
        <v>407</v>
      </c>
      <c r="B75" s="80">
        <v>0.074501994028144</v>
      </c>
      <c r="C75" s="114">
        <v>0.91646110671918</v>
      </c>
      <c r="D75" s="80">
        <v>0.092361468541203</v>
      </c>
      <c r="E75" s="541">
        <v>1.1512981340673</v>
      </c>
      <c r="F75" s="542">
        <v>0.10454824787796</v>
      </c>
      <c r="G75" s="543">
        <v>1.1068728598983</v>
      </c>
      <c r="H75" s="542">
        <v>0.090539589062339</v>
      </c>
      <c r="I75" s="543">
        <v>1.1403117398632</v>
      </c>
      <c r="J75" s="607">
        <v>0.10199879288163</v>
      </c>
      <c r="K75" s="608">
        <v>0.92941330150934</v>
      </c>
    </row>
    <row r="76" spans="1:11">
      <c r="A76" s="89" t="s">
        <v>408</v>
      </c>
      <c r="B76" s="80">
        <v>0.075790753012633</v>
      </c>
      <c r="C76" s="114">
        <v>0.9356653212147</v>
      </c>
      <c r="D76" s="80">
        <v>0.051567116146049</v>
      </c>
      <c r="E76" s="541">
        <v>0.54340829350624</v>
      </c>
      <c r="F76" s="542">
        <v>0.050367316169184</v>
      </c>
      <c r="G76" s="543">
        <v>0.19473596244418</v>
      </c>
      <c r="H76" s="542">
        <v>0.029386415213644</v>
      </c>
      <c r="I76" s="543">
        <v>0.24098169552289</v>
      </c>
      <c r="J76" s="607">
        <v>0.055390671589349</v>
      </c>
      <c r="K76" s="608">
        <v>0.24398552809377</v>
      </c>
    </row>
    <row r="77" spans="1:11">
      <c r="A77" s="86" t="s">
        <v>409</v>
      </c>
      <c r="B77" s="80">
        <v>0.075829864268883</v>
      </c>
      <c r="C77" s="114">
        <v>0.93624813069519</v>
      </c>
      <c r="D77" s="80">
        <v>0.089432893796948</v>
      </c>
      <c r="E77" s="541">
        <v>1.1076584945135</v>
      </c>
      <c r="F77" s="542">
        <v>0.12534773173497</v>
      </c>
      <c r="G77" s="543">
        <v>1.4570325207907</v>
      </c>
      <c r="H77" s="542">
        <v>0.11380706470878</v>
      </c>
      <c r="I77" s="543">
        <v>1.4824876007036</v>
      </c>
      <c r="J77" s="607">
        <v>0.13606424454791</v>
      </c>
      <c r="K77" s="608">
        <v>1.4303862229362</v>
      </c>
    </row>
    <row r="78" spans="1:11">
      <c r="A78" s="89" t="s">
        <v>410</v>
      </c>
      <c r="B78" s="80">
        <v>0.076130700283541</v>
      </c>
      <c r="C78" s="114">
        <v>0.94073098545935</v>
      </c>
      <c r="D78" s="80">
        <v>0.10177178280785</v>
      </c>
      <c r="E78" s="541">
        <v>1.2915242708563</v>
      </c>
      <c r="F78" s="542">
        <v>0.13325831597668</v>
      </c>
      <c r="G78" s="543">
        <v>1.5902073396747</v>
      </c>
      <c r="H78" s="542">
        <v>0.12277866149578</v>
      </c>
      <c r="I78" s="543">
        <v>1.6144255857412</v>
      </c>
      <c r="J78" s="607">
        <v>0.13697376127443</v>
      </c>
      <c r="K78" s="608">
        <v>1.4437617465029</v>
      </c>
    </row>
    <row r="79" spans="1:11">
      <c r="A79" s="86" t="s">
        <v>411</v>
      </c>
      <c r="B79" s="80">
        <v>0.076436109857696</v>
      </c>
      <c r="C79" s="114">
        <v>0.94528199231296</v>
      </c>
      <c r="D79" s="80">
        <v>0.067178037644208</v>
      </c>
      <c r="E79" s="541">
        <v>0.77603168432772</v>
      </c>
      <c r="F79" s="542">
        <v>0.079842070636843</v>
      </c>
      <c r="G79" s="543">
        <v>0.6909439501152</v>
      </c>
      <c r="H79" s="542">
        <v>0.062644857809242</v>
      </c>
      <c r="I79" s="543">
        <v>0.73008659019594</v>
      </c>
      <c r="J79" s="607">
        <v>0.08387148647923</v>
      </c>
      <c r="K79" s="608">
        <v>0.6628297336478</v>
      </c>
    </row>
    <row r="80" spans="1:11">
      <c r="A80" s="89" t="s">
        <v>412</v>
      </c>
      <c r="B80" s="80">
        <v>0.076620065046968</v>
      </c>
      <c r="C80" s="114">
        <v>0.94802316809126</v>
      </c>
      <c r="D80" s="80">
        <v>0.091458182266667</v>
      </c>
      <c r="E80" s="541">
        <v>1.1378379731095</v>
      </c>
      <c r="F80" s="542">
        <v>0.1117894954929</v>
      </c>
      <c r="G80" s="543">
        <v>1.2287793854023</v>
      </c>
      <c r="H80" s="542">
        <v>0.097564213393916</v>
      </c>
      <c r="I80" s="543">
        <v>1.2436171828026</v>
      </c>
      <c r="J80" s="607">
        <v>0.12124062435499</v>
      </c>
      <c r="K80" s="608">
        <v>1.2123872841016</v>
      </c>
    </row>
    <row r="81" spans="1:11">
      <c r="A81" s="86" t="s">
        <v>413</v>
      </c>
      <c r="B81" s="80">
        <v>0.076908604397804</v>
      </c>
      <c r="C81" s="114">
        <v>0.95232278629027</v>
      </c>
      <c r="D81" s="80">
        <v>0.094714542991366</v>
      </c>
      <c r="E81" s="541">
        <v>1.186362057585</v>
      </c>
      <c r="F81" s="542">
        <v>0.11622017102205</v>
      </c>
      <c r="G81" s="543">
        <v>1.3033698825261</v>
      </c>
      <c r="H81" s="542">
        <v>0.1024976083507</v>
      </c>
      <c r="I81" s="543">
        <v>1.316168614331</v>
      </c>
      <c r="J81" s="607">
        <v>0.11242416660138</v>
      </c>
      <c r="K81" s="608">
        <v>1.0827308027864</v>
      </c>
    </row>
    <row r="82" spans="1:11">
      <c r="A82" s="89" t="s">
        <v>414</v>
      </c>
      <c r="B82" s="80">
        <v>0.076926822419992</v>
      </c>
      <c r="C82" s="114">
        <v>0.95259425893177</v>
      </c>
      <c r="D82" s="80">
        <v>0.078926150962997</v>
      </c>
      <c r="E82" s="541">
        <v>0.95109412098746</v>
      </c>
      <c r="F82" s="542">
        <v>0.1173987837235</v>
      </c>
      <c r="G82" s="543">
        <v>1.323211847197</v>
      </c>
      <c r="H82" s="542">
        <v>0.10615182116349</v>
      </c>
      <c r="I82" s="543">
        <v>1.36990815333</v>
      </c>
      <c r="J82" s="607">
        <v>0.13963144953765</v>
      </c>
      <c r="K82" s="608">
        <v>1.4828462085704</v>
      </c>
    </row>
    <row r="83" spans="1:11">
      <c r="A83" s="86" t="s">
        <v>415</v>
      </c>
      <c r="B83" s="80">
        <v>0.076997372969687</v>
      </c>
      <c r="C83" s="114">
        <v>0.95364555549338</v>
      </c>
      <c r="D83" s="80">
        <v>0.088652522465243</v>
      </c>
      <c r="E83" s="541">
        <v>1.0960299288774</v>
      </c>
      <c r="F83" s="542">
        <v>0.11886132472096</v>
      </c>
      <c r="G83" s="543">
        <v>1.3478337495111</v>
      </c>
      <c r="H83" s="542">
        <v>0.10638344053244</v>
      </c>
      <c r="I83" s="543">
        <v>1.3733143912117</v>
      </c>
      <c r="J83" s="607">
        <v>0.12287590151112</v>
      </c>
      <c r="K83" s="608">
        <v>1.2364359766678</v>
      </c>
    </row>
    <row r="84" spans="1:11">
      <c r="A84" s="89" t="s">
        <v>416</v>
      </c>
      <c r="B84" s="80">
        <v>0.077214537310786</v>
      </c>
      <c r="C84" s="114">
        <v>0.95688159158502</v>
      </c>
      <c r="D84" s="80">
        <v>0.076428623587278</v>
      </c>
      <c r="E84" s="541">
        <v>0.91387765770067</v>
      </c>
      <c r="F84" s="542">
        <v>0.10294434456661</v>
      </c>
      <c r="G84" s="543">
        <v>1.07987112065</v>
      </c>
      <c r="H84" s="542">
        <v>0.088166573907157</v>
      </c>
      <c r="I84" s="543">
        <v>1.1054137339149</v>
      </c>
      <c r="J84" s="607">
        <v>0.10532157866712</v>
      </c>
      <c r="K84" s="608">
        <v>0.97827881248336</v>
      </c>
    </row>
    <row r="85" spans="1:11">
      <c r="A85" s="86" t="s">
        <v>417</v>
      </c>
      <c r="B85" s="80">
        <v>0.078401676011829</v>
      </c>
      <c r="C85" s="114">
        <v>0.97457152936638</v>
      </c>
      <c r="D85" s="80">
        <v>0.056294611151429</v>
      </c>
      <c r="E85" s="541">
        <v>0.61385422575777</v>
      </c>
      <c r="F85" s="542">
        <v>0.076449234325566</v>
      </c>
      <c r="G85" s="543">
        <v>0.63382549369639</v>
      </c>
      <c r="H85" s="542">
        <v>0.0600925670627</v>
      </c>
      <c r="I85" s="543">
        <v>0.69255212377664</v>
      </c>
      <c r="J85" s="607">
        <v>0.088717996218512</v>
      </c>
      <c r="K85" s="608">
        <v>0.73410341487174</v>
      </c>
    </row>
    <row r="86" spans="1:11">
      <c r="A86" s="89" t="s">
        <v>418</v>
      </c>
      <c r="B86" s="80">
        <v>0.080137782434119</v>
      </c>
      <c r="C86" s="114">
        <v>1.0004418127336</v>
      </c>
      <c r="D86" s="80">
        <v>0.083432070155129</v>
      </c>
      <c r="E86" s="541">
        <v>1.0182382803739</v>
      </c>
      <c r="F86" s="542">
        <v>0.10466720050104</v>
      </c>
      <c r="G86" s="543">
        <v>1.1088754293105</v>
      </c>
      <c r="H86" s="542">
        <v>0.090097604974982</v>
      </c>
      <c r="I86" s="543">
        <v>1.1338118389772</v>
      </c>
      <c r="J86" s="607">
        <v>0.10647902966365</v>
      </c>
      <c r="K86" s="608">
        <v>0.99530050392662</v>
      </c>
    </row>
    <row r="87" spans="1:11">
      <c r="A87" s="86" t="s">
        <v>419</v>
      </c>
      <c r="B87" s="80">
        <v>0.080779949665531</v>
      </c>
      <c r="C87" s="114">
        <v>1.0100109543671</v>
      </c>
      <c r="D87" s="80">
        <v>0.047850985668429</v>
      </c>
      <c r="E87" s="541">
        <v>0.4880330312233</v>
      </c>
      <c r="F87" s="542">
        <v>0.063752896822852</v>
      </c>
      <c r="G87" s="543">
        <v>0.42008243809515</v>
      </c>
      <c r="H87" s="542">
        <v>0.044862320816808</v>
      </c>
      <c r="I87" s="543">
        <v>0.46857326594138</v>
      </c>
      <c r="J87" s="607">
        <v>0.066342280569999</v>
      </c>
      <c r="K87" s="608">
        <v>0.40504194381693</v>
      </c>
    </row>
    <row r="88" spans="1:11">
      <c r="A88" s="89" t="s">
        <v>420</v>
      </c>
      <c r="B88" s="80">
        <v>0.08085228424083</v>
      </c>
      <c r="C88" s="114">
        <v>1.0110888352713</v>
      </c>
      <c r="D88" s="80">
        <v>0.071359984478135</v>
      </c>
      <c r="E88" s="541">
        <v>0.838348226811</v>
      </c>
      <c r="F88" s="542">
        <v>0.13644737902797</v>
      </c>
      <c r="G88" s="543">
        <v>1.6438952698311</v>
      </c>
      <c r="H88" s="542">
        <v>0.12823757368638</v>
      </c>
      <c r="I88" s="543">
        <v>1.6947053722747</v>
      </c>
      <c r="J88" s="607">
        <v>0.10472447598463</v>
      </c>
      <c r="K88" s="608">
        <v>0.96949770844373</v>
      </c>
    </row>
    <row r="89" spans="1:11">
      <c r="A89" s="86" t="s">
        <v>421</v>
      </c>
      <c r="B89" s="80">
        <v>0.081565998631643</v>
      </c>
      <c r="C89" s="114">
        <v>1.02172412427</v>
      </c>
      <c r="D89" s="80">
        <v>0.060584854255862</v>
      </c>
      <c r="E89" s="541">
        <v>0.67778452599784</v>
      </c>
      <c r="F89" s="542">
        <v>0.089220012678825</v>
      </c>
      <c r="G89" s="543">
        <v>0.84882176226978</v>
      </c>
      <c r="H89" s="542">
        <v>0.071920034025977</v>
      </c>
      <c r="I89" s="543">
        <v>0.86648907126581</v>
      </c>
      <c r="J89" s="607">
        <v>0.10716076284101</v>
      </c>
      <c r="K89" s="608">
        <v>1.0053261998969</v>
      </c>
    </row>
    <row r="90" spans="1:11">
      <c r="A90" s="89" t="s">
        <v>422</v>
      </c>
      <c r="B90" s="80">
        <v>0.085428671458676</v>
      </c>
      <c r="C90" s="114">
        <v>1.0792830615027</v>
      </c>
      <c r="D90" s="80">
        <v>0.058008159180797</v>
      </c>
      <c r="E90" s="541">
        <v>0.63938835921516</v>
      </c>
      <c r="F90" s="542">
        <v>0.092342305214037</v>
      </c>
      <c r="G90" s="543">
        <v>0.90138560966391</v>
      </c>
      <c r="H90" s="542">
        <v>0.075469468709776</v>
      </c>
      <c r="I90" s="543">
        <v>0.918687723448</v>
      </c>
      <c r="J90" s="607">
        <v>0.096392297936484</v>
      </c>
      <c r="K90" s="608">
        <v>0.8469631353072</v>
      </c>
    </row>
    <row r="91" spans="1:11">
      <c r="A91" s="86" t="s">
        <v>423</v>
      </c>
      <c r="B91" s="80">
        <v>0.087059392882268</v>
      </c>
      <c r="C91" s="114">
        <v>1.103582968916</v>
      </c>
      <c r="D91" s="80">
        <v>0.096119621954198</v>
      </c>
      <c r="E91" s="541">
        <v>1.2072995937032</v>
      </c>
      <c r="F91" s="542">
        <v>0.10558796687813</v>
      </c>
      <c r="G91" s="543">
        <v>1.1243765467699</v>
      </c>
      <c r="H91" s="542">
        <v>0.092035719256317</v>
      </c>
      <c r="I91" s="543">
        <v>1.1623141111059</v>
      </c>
      <c r="J91" s="607">
        <v>0.10672633397571</v>
      </c>
      <c r="K91" s="608">
        <v>0.99893740752344</v>
      </c>
    </row>
    <row r="92" spans="1:11">
      <c r="A92" s="89" t="s">
        <v>424</v>
      </c>
      <c r="B92" s="80">
        <v>0.087249003919869</v>
      </c>
      <c r="C92" s="114">
        <v>1.1064084243197</v>
      </c>
      <c r="D92" s="80">
        <v>0.054857779721252</v>
      </c>
      <c r="E92" s="541">
        <v>0.59244353585288</v>
      </c>
      <c r="F92" s="542">
        <v>0.061751030893635</v>
      </c>
      <c r="G92" s="543">
        <v>0.38638099147533</v>
      </c>
      <c r="H92" s="542">
        <v>0.040750585742111</v>
      </c>
      <c r="I92" s="543">
        <v>0.40810531874716</v>
      </c>
      <c r="J92" s="607">
        <v>0.06292117320054</v>
      </c>
      <c r="K92" s="608">
        <v>0.35473049718815</v>
      </c>
    </row>
    <row r="93" spans="1:11">
      <c r="A93" s="86" t="s">
        <v>425</v>
      </c>
      <c r="B93" s="80">
        <v>0.087381329625022</v>
      </c>
      <c r="C93" s="114">
        <v>1.1083802524549</v>
      </c>
      <c r="D93" s="80">
        <v>0.056163800300054</v>
      </c>
      <c r="E93" s="541">
        <v>0.61190497094877</v>
      </c>
      <c r="F93" s="542">
        <v>0.087789306838866</v>
      </c>
      <c r="G93" s="543">
        <v>0.82473580536811</v>
      </c>
      <c r="H93" s="542">
        <v>0.072120467990894</v>
      </c>
      <c r="I93" s="543">
        <v>0.86943669074673</v>
      </c>
      <c r="J93" s="607">
        <v>0.073937099209824</v>
      </c>
      <c r="K93" s="608">
        <v>0.51673277119752</v>
      </c>
    </row>
    <row r="94" spans="1:11">
      <c r="A94" s="90" t="s">
        <v>426</v>
      </c>
      <c r="B94" s="80">
        <v>0.092027175326914</v>
      </c>
      <c r="C94" s="114">
        <v>1.1776095020245</v>
      </c>
      <c r="D94" s="80">
        <v>0.071931242464055</v>
      </c>
      <c r="E94" s="541">
        <v>0.84686072684082</v>
      </c>
      <c r="F94" s="542">
        <v>0.084782022635078</v>
      </c>
      <c r="G94" s="543">
        <v>0.77410812516966</v>
      </c>
      <c r="H94" s="542">
        <v>0.069152357293772</v>
      </c>
      <c r="I94" s="543">
        <v>0.82578709814416</v>
      </c>
      <c r="J94" s="607">
        <v>0.089249645021566</v>
      </c>
      <c r="K94" s="608">
        <v>0.74192194188405</v>
      </c>
    </row>
    <row r="95" spans="1:11">
      <c r="A95" s="91" t="s">
        <v>427</v>
      </c>
      <c r="B95" s="80">
        <v>0.10458086764867</v>
      </c>
      <c r="C95" s="114">
        <v>1.3646761319835</v>
      </c>
      <c r="D95" s="80">
        <v>0.082361549207093</v>
      </c>
      <c r="E95" s="541">
        <v>1.0022861014518</v>
      </c>
      <c r="F95" s="542">
        <v>0.1003758535105</v>
      </c>
      <c r="G95" s="543">
        <v>1.0366305304798</v>
      </c>
      <c r="H95" s="542">
        <v>0.086380931864462</v>
      </c>
      <c r="I95" s="543">
        <v>1.0791537471249</v>
      </c>
      <c r="J95" s="607">
        <v>0.10261363218148</v>
      </c>
      <c r="K95" s="608">
        <v>0.93845524357054</v>
      </c>
    </row>
  </sheetData>
  <mergeCells>
    <mergeCell ref="D1:E1"/>
    <mergeCell ref="B1:C1"/>
    <mergeCell ref="F1:G1"/>
    <mergeCell ref="H1:I1"/>
    <mergeCell ref="J1:K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D98"/>
  <sheetViews>
    <sheetView tabSelected="0" workbookViewId="0" showGridLines="true" showRowColHeaders="1" topLeftCell="A2">
      <selection activeCell="D4" sqref="D4"/>
    </sheetView>
  </sheetViews>
  <sheetFormatPr customHeight="true" defaultRowHeight="15" defaultColWidth="14.44140625" outlineLevelRow="0" outlineLevelCol="0"/>
  <cols>
    <col min="2" max="2" width="20" customWidth="true" style="0"/>
  </cols>
  <sheetData>
    <row r="1" spans="1:4" customHeight="1" ht="14.4"/>
    <row r="2" spans="1:4" customHeight="1" ht="14.4">
      <c r="B2" s="25" t="s">
        <v>526</v>
      </c>
      <c r="C2" s="118" t="s">
        <v>527</v>
      </c>
      <c r="D2" s="118" t="s">
        <v>528</v>
      </c>
    </row>
    <row r="3" spans="1:4" customHeight="1" ht="14.4">
      <c r="A3" s="25">
        <v>2021</v>
      </c>
      <c r="B3" s="26">
        <v>0.067108133206344</v>
      </c>
      <c r="C3" s="119">
        <v>0.11821279118249</v>
      </c>
      <c r="D3" s="119">
        <v>0.051104657976145</v>
      </c>
    </row>
    <row r="4" spans="1:4" customHeight="1" ht="14.4">
      <c r="A4" s="25">
        <v>2022</v>
      </c>
      <c r="B4" s="26">
        <v>0.066375604414149</v>
      </c>
      <c r="C4" s="119">
        <v>0.11506540881685</v>
      </c>
      <c r="D4" s="119">
        <v>0.048689804402703</v>
      </c>
    </row>
    <row r="5" spans="1:4" customHeight="1" ht="14.4">
      <c r="A5" s="25">
        <v>2023</v>
      </c>
      <c r="B5" s="598">
        <v>0.067998588764545</v>
      </c>
      <c r="C5" s="599">
        <v>0.11658544136619</v>
      </c>
      <c r="D5" s="599">
        <v>0.048586852601642</v>
      </c>
    </row>
    <row r="6" spans="1:4" customHeight="1" ht="14.4">
      <c r="A6" s="25">
        <v>2024</v>
      </c>
      <c r="B6" s="598">
        <v>0.066379626541014</v>
      </c>
      <c r="C6" s="599">
        <v>0.11506949864373</v>
      </c>
      <c r="D6" s="599">
        <v>0.048689872102712</v>
      </c>
    </row>
    <row r="7" spans="1:4" customHeight="1" ht="14.4"/>
    <row r="8" spans="1:4" customHeight="1" ht="14.4"/>
    <row r="9" spans="1:4" customHeight="1" ht="14.4"/>
    <row r="10" spans="1:4" customHeight="1" ht="14.4"/>
    <row r="11" spans="1:4" customHeight="1" ht="14.4"/>
    <row r="12" spans="1:4" customHeight="1" ht="14.4"/>
    <row r="13" spans="1:4" customHeight="1" ht="14.4"/>
    <row r="14" spans="1:4" customHeight="1" ht="14.4"/>
    <row r="15" spans="1:4" customHeight="1" ht="14.4"/>
    <row r="16" spans="1:4" customHeight="1" ht="14.4"/>
    <row r="17" spans="1:4" customHeight="1" ht="14.4"/>
    <row r="18" spans="1:4" customHeight="1" ht="14.4"/>
    <row r="19" spans="1:4" customHeight="1" ht="15.75"/>
    <row r="20" spans="1:4" customHeight="1" ht="15.75"/>
    <row r="21" spans="1:4" customHeight="1" ht="15.75"/>
    <row r="22" spans="1:4" customHeight="1" ht="15.75"/>
    <row r="23" spans="1:4" customHeight="1" ht="15.75"/>
    <row r="24" spans="1:4" customHeight="1" ht="15.75"/>
    <row r="25" spans="1:4" customHeight="1" ht="15.75"/>
    <row r="26" spans="1:4" customHeight="1" ht="15.75"/>
    <row r="27" spans="1:4" customHeight="1" ht="15.75"/>
    <row r="28" spans="1:4" customHeight="1" ht="15.75"/>
    <row r="29" spans="1:4" customHeight="1" ht="15.75"/>
    <row r="30" spans="1:4" customHeight="1" ht="15.75"/>
    <row r="31" spans="1:4" customHeight="1" ht="15.75"/>
    <row r="32" spans="1:4" customHeight="1" ht="15.75"/>
    <row r="33" spans="1:4" customHeight="1" ht="15.75"/>
    <row r="34" spans="1:4" customHeight="1" ht="15.75"/>
    <row r="35" spans="1:4" customHeight="1" ht="15.75"/>
    <row r="36" spans="1:4" customHeight="1" ht="15.75"/>
    <row r="37" spans="1:4" customHeight="1" ht="15.75"/>
    <row r="38" spans="1:4" customHeight="1" ht="15.75"/>
    <row r="39" spans="1:4" customHeight="1" ht="15.75"/>
    <row r="40" spans="1:4" customHeight="1" ht="15.75"/>
    <row r="41" spans="1:4" customHeight="1" ht="15.75"/>
    <row r="42" spans="1:4" customHeight="1" ht="15.75"/>
    <row r="43" spans="1:4" customHeight="1" ht="15.75"/>
    <row r="44" spans="1:4" customHeight="1" ht="15.75"/>
    <row r="45" spans="1:4" customHeight="1" ht="15.75"/>
    <row r="46" spans="1:4" customHeight="1" ht="15.75"/>
    <row r="47" spans="1:4" customHeight="1" ht="15.75"/>
    <row r="48" spans="1:4" customHeight="1" ht="15.75"/>
    <row r="49" spans="1:4" customHeight="1" ht="15.75"/>
    <row r="50" spans="1:4" customHeight="1" ht="15.75"/>
    <row r="51" spans="1:4" customHeight="1" ht="15.75"/>
    <row r="52" spans="1:4" customHeight="1" ht="15.75"/>
    <row r="53" spans="1:4" customHeight="1" ht="15.75"/>
    <row r="54" spans="1:4" customHeight="1" ht="15.75"/>
    <row r="55" spans="1:4" customHeight="1" ht="15.75"/>
    <row r="56" spans="1:4" customHeight="1" ht="15.75"/>
    <row r="57" spans="1:4" customHeight="1" ht="15.75"/>
    <row r="58" spans="1:4" customHeight="1" ht="15.75"/>
    <row r="59" spans="1:4" customHeight="1" ht="15.75"/>
    <row r="60" spans="1:4" customHeight="1" ht="15.75"/>
    <row r="61" spans="1:4" customHeight="1" ht="15.75"/>
    <row r="62" spans="1:4" customHeight="1" ht="15.75"/>
    <row r="63" spans="1:4" customHeight="1" ht="15.75"/>
    <row r="64" spans="1:4" customHeight="1" ht="15.75"/>
    <row r="65" spans="1:4" customHeight="1" ht="15.75"/>
    <row r="66" spans="1:4" customHeight="1" ht="15.75"/>
    <row r="67" spans="1:4" customHeight="1" ht="15.75"/>
    <row r="68" spans="1:4" customHeight="1" ht="15.75"/>
    <row r="69" spans="1:4" customHeight="1" ht="15.75"/>
    <row r="70" spans="1:4" customHeight="1" ht="15.75"/>
    <row r="71" spans="1:4" customHeight="1" ht="15.75"/>
    <row r="72" spans="1:4" customHeight="1" ht="15.75"/>
    <row r="73" spans="1:4" customHeight="1" ht="15.75"/>
    <row r="74" spans="1:4" customHeight="1" ht="15.75"/>
    <row r="75" spans="1:4" customHeight="1" ht="15.75"/>
    <row r="76" spans="1:4" customHeight="1" ht="15.75"/>
    <row r="77" spans="1:4" customHeight="1" ht="15.75"/>
    <row r="78" spans="1:4" customHeight="1" ht="15.75"/>
    <row r="79" spans="1:4" customHeight="1" ht="15.75"/>
    <row r="80" spans="1:4" customHeight="1" ht="15.75"/>
    <row r="81" spans="1:4" customHeight="1" ht="15.75"/>
    <row r="82" spans="1:4" customHeight="1" ht="15.75"/>
    <row r="83" spans="1:4" customHeight="1" ht="15.75"/>
    <row r="84" spans="1:4" customHeight="1" ht="15.75"/>
    <row r="85" spans="1:4" customHeight="1" ht="15.75"/>
    <row r="86" spans="1:4" customHeight="1" ht="15.75"/>
    <row r="87" spans="1:4" customHeight="1" ht="15.75"/>
    <row r="88" spans="1:4" customHeight="1" ht="15.75"/>
    <row r="89" spans="1:4" customHeight="1" ht="15.75"/>
    <row r="90" spans="1:4" customHeight="1" ht="15.75"/>
    <row r="91" spans="1:4" customHeight="1" ht="15.75"/>
    <row r="92" spans="1:4" customHeight="1" ht="15.75"/>
    <row r="93" spans="1:4" customHeight="1" ht="15.75"/>
    <row r="94" spans="1:4" customHeight="1" ht="15.75"/>
    <row r="95" spans="1:4" customHeight="1" ht="15.75"/>
    <row r="96" spans="1:4" customHeight="1" ht="15.75"/>
    <row r="97" spans="1:4" customHeight="1" ht="15.75"/>
    <row r="98" spans="1:4" customHeight="1" ht="15.75"/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L184"/>
  <sheetViews>
    <sheetView tabSelected="0" workbookViewId="0" showGridLines="true" showRowColHeaders="1">
      <selection activeCell="L2" sqref="L2:L173"/>
    </sheetView>
  </sheetViews>
  <sheetFormatPr defaultRowHeight="14.4" defaultColWidth="11.44140625" outlineLevelRow="0" outlineLevelCol="0"/>
  <cols>
    <col min="1" max="1" width="30.5546875" customWidth="true" style="0"/>
  </cols>
  <sheetData>
    <row r="1" spans="1:12">
      <c r="A1" s="33" t="s">
        <v>529</v>
      </c>
      <c r="B1" s="33" t="s">
        <v>530</v>
      </c>
      <c r="C1" s="33" t="s">
        <v>531</v>
      </c>
      <c r="D1" s="33" t="s">
        <v>532</v>
      </c>
      <c r="E1" s="534" t="s">
        <v>533</v>
      </c>
      <c r="F1" s="534" t="s">
        <v>534</v>
      </c>
      <c r="G1" s="534" t="s">
        <v>535</v>
      </c>
      <c r="H1" s="534">
        <v>2021</v>
      </c>
      <c r="I1" s="534">
        <v>2022</v>
      </c>
      <c r="J1" s="534">
        <v>2023</v>
      </c>
      <c r="K1" s="534">
        <v>2024</v>
      </c>
      <c r="L1" s="534">
        <v>2025</v>
      </c>
    </row>
    <row r="2" spans="1:12" customHeight="1" ht="15.6">
      <c r="A2" s="34" t="s">
        <v>536</v>
      </c>
      <c r="B2" s="35">
        <v>0.2</v>
      </c>
      <c r="C2" s="35">
        <v>0.2</v>
      </c>
      <c r="D2" s="35">
        <v>0.2</v>
      </c>
      <c r="E2" s="535">
        <v>0.2</v>
      </c>
      <c r="F2" s="535">
        <v>0.2</v>
      </c>
      <c r="G2" s="535">
        <v>0.2</v>
      </c>
      <c r="H2" s="535">
        <v>0.2</v>
      </c>
      <c r="I2" s="536">
        <v>0.2</v>
      </c>
      <c r="J2" s="609">
        <v>0.2</v>
      </c>
      <c r="K2" s="609">
        <v>0.2</v>
      </c>
      <c r="L2" s="609">
        <v>0.2</v>
      </c>
    </row>
    <row r="3" spans="1:12" customHeight="1" ht="15.6">
      <c r="A3" s="34" t="s">
        <v>537</v>
      </c>
      <c r="B3" s="35">
        <v>0.15</v>
      </c>
      <c r="C3" s="35">
        <v>0.15</v>
      </c>
      <c r="D3" s="35">
        <v>0.15</v>
      </c>
      <c r="E3" s="532">
        <v>0.15</v>
      </c>
      <c r="F3" s="532">
        <v>0.15</v>
      </c>
      <c r="G3" s="532">
        <v>0.15</v>
      </c>
      <c r="H3" s="532">
        <v>0.15</v>
      </c>
      <c r="I3" s="533">
        <v>0.15</v>
      </c>
      <c r="J3" s="609">
        <v>0.15</v>
      </c>
      <c r="K3" s="609">
        <v>0.15</v>
      </c>
      <c r="L3" s="609">
        <v>0.15</v>
      </c>
    </row>
    <row r="4" spans="1:12" customHeight="1" ht="15.6">
      <c r="A4" s="34" t="s">
        <v>538</v>
      </c>
      <c r="B4" s="35">
        <v>0.26</v>
      </c>
      <c r="C4" s="35">
        <v>0.26</v>
      </c>
      <c r="D4" s="35">
        <v>0.26</v>
      </c>
      <c r="E4" s="532">
        <v>0.26</v>
      </c>
      <c r="F4" s="532">
        <v>0.26</v>
      </c>
      <c r="G4" s="532">
        <v>0.26</v>
      </c>
      <c r="H4" s="532">
        <v>0.26</v>
      </c>
      <c r="I4" s="533">
        <v>0.26</v>
      </c>
      <c r="J4" s="609">
        <v>0.26</v>
      </c>
      <c r="K4" s="609">
        <v>0.26</v>
      </c>
      <c r="L4" s="609">
        <v>0.26</v>
      </c>
    </row>
    <row r="5" spans="1:12" customHeight="1" ht="15.6">
      <c r="A5" s="34" t="s">
        <v>539</v>
      </c>
      <c r="B5" s="35">
        <v>0</v>
      </c>
      <c r="C5" s="35">
        <v>0</v>
      </c>
      <c r="D5" s="35">
        <v>0.1</v>
      </c>
      <c r="E5" s="532">
        <v>0.1</v>
      </c>
      <c r="F5" s="532">
        <v>0.1</v>
      </c>
      <c r="G5" s="532">
        <v>0.1</v>
      </c>
      <c r="H5" s="532">
        <v>0.1</v>
      </c>
      <c r="I5" s="533">
        <v>0.1</v>
      </c>
      <c r="J5" s="609">
        <v>0.1</v>
      </c>
      <c r="K5" s="609">
        <v>0.1</v>
      </c>
      <c r="L5" s="609">
        <v>0.1</v>
      </c>
    </row>
    <row r="6" spans="1:12" customHeight="1" ht="15.6">
      <c r="A6" s="34" t="s">
        <v>540</v>
      </c>
      <c r="B6" s="35">
        <v>0.3</v>
      </c>
      <c r="C6" s="35">
        <v>0.3</v>
      </c>
      <c r="D6" s="35">
        <v>0.3</v>
      </c>
      <c r="E6" s="532">
        <v>0.3</v>
      </c>
      <c r="F6" s="532">
        <v>0.3</v>
      </c>
      <c r="G6" s="532">
        <v>0.3</v>
      </c>
      <c r="H6" s="532">
        <v>0.25</v>
      </c>
      <c r="I6" s="533">
        <v>0.25</v>
      </c>
      <c r="J6" s="609">
        <v>0.25</v>
      </c>
      <c r="K6" s="609">
        <v>0.25</v>
      </c>
      <c r="L6" s="609">
        <v>0.25</v>
      </c>
    </row>
    <row r="7" spans="1:12" customHeight="1" ht="15.6">
      <c r="A7" s="34" t="s">
        <v>541</v>
      </c>
      <c r="B7" s="35">
        <v>0</v>
      </c>
      <c r="C7" s="35">
        <v>0</v>
      </c>
      <c r="D7" s="35">
        <v>0</v>
      </c>
      <c r="E7" s="532">
        <v>0</v>
      </c>
      <c r="F7" s="532">
        <v>0</v>
      </c>
      <c r="G7" s="532">
        <v>0</v>
      </c>
      <c r="H7" s="532">
        <v>0</v>
      </c>
      <c r="I7" s="533">
        <v>0</v>
      </c>
      <c r="J7" s="609">
        <v>0</v>
      </c>
      <c r="K7" s="609">
        <v>0</v>
      </c>
      <c r="L7" s="609">
        <v>0</v>
      </c>
    </row>
    <row r="8" spans="1:12" customHeight="1" ht="15.6">
      <c r="A8" s="34" t="s">
        <v>542</v>
      </c>
      <c r="B8" s="35">
        <v>0</v>
      </c>
      <c r="C8" s="35">
        <v>0</v>
      </c>
      <c r="D8" s="35">
        <v>0.25</v>
      </c>
      <c r="E8" s="532">
        <v>0.25</v>
      </c>
      <c r="F8" s="532">
        <v>0.25</v>
      </c>
      <c r="G8" s="532">
        <v>0.25</v>
      </c>
      <c r="H8" s="532">
        <v>0.25</v>
      </c>
      <c r="I8" s="533">
        <v>0.25</v>
      </c>
      <c r="J8" s="609">
        <v>0.25</v>
      </c>
      <c r="K8" s="609">
        <v>0.25</v>
      </c>
      <c r="L8" s="609">
        <v>0.25</v>
      </c>
    </row>
    <row r="9" spans="1:12" customHeight="1" ht="15.6">
      <c r="A9" s="34" t="s">
        <v>492</v>
      </c>
      <c r="B9" s="35">
        <v>0.35</v>
      </c>
      <c r="C9" s="35">
        <v>0.35</v>
      </c>
      <c r="D9" s="35">
        <v>0.35</v>
      </c>
      <c r="E9" s="532">
        <v>0.3</v>
      </c>
      <c r="F9" s="532">
        <v>0.3</v>
      </c>
      <c r="G9" s="532">
        <v>0.3</v>
      </c>
      <c r="H9" s="532">
        <v>0.25</v>
      </c>
      <c r="I9" s="533">
        <v>0.35</v>
      </c>
      <c r="J9" s="609">
        <v>0.35</v>
      </c>
      <c r="K9" s="609">
        <v>0.35</v>
      </c>
      <c r="L9" s="609">
        <v>0.35</v>
      </c>
    </row>
    <row r="10" spans="1:12" customHeight="1" ht="15.6">
      <c r="A10" s="34" t="s">
        <v>543</v>
      </c>
      <c r="B10" s="35">
        <v>0.2</v>
      </c>
      <c r="C10" s="35">
        <v>0.2</v>
      </c>
      <c r="D10" s="35">
        <v>0.2</v>
      </c>
      <c r="E10" s="532">
        <v>0.2</v>
      </c>
      <c r="F10" s="532">
        <v>0.2</v>
      </c>
      <c r="G10" s="532">
        <v>0.18</v>
      </c>
      <c r="H10" s="532">
        <v>0.18</v>
      </c>
      <c r="I10" s="533">
        <v>0.18</v>
      </c>
      <c r="J10" s="609">
        <v>0.18</v>
      </c>
      <c r="K10" s="609">
        <v>0.18</v>
      </c>
      <c r="L10" s="609">
        <v>0.18</v>
      </c>
    </row>
    <row r="11" spans="1:12" customHeight="1" ht="15.6">
      <c r="A11" s="34" t="s">
        <v>544</v>
      </c>
      <c r="B11" s="35">
        <v>0.25</v>
      </c>
      <c r="C11" s="35">
        <v>0.25</v>
      </c>
      <c r="D11" s="35">
        <v>0.25</v>
      </c>
      <c r="E11" s="532">
        <v>0.25</v>
      </c>
      <c r="F11" s="532">
        <v>0.25</v>
      </c>
      <c r="G11" s="532">
        <v>0.25</v>
      </c>
      <c r="H11" s="532">
        <v>0.25</v>
      </c>
      <c r="I11" s="533">
        <v>0.25</v>
      </c>
      <c r="J11" s="609">
        <v>0.25</v>
      </c>
      <c r="K11" s="609">
        <v>0.22</v>
      </c>
      <c r="L11" s="609">
        <v>0.22</v>
      </c>
    </row>
    <row r="12" spans="1:12" customHeight="1" ht="15.6">
      <c r="A12" s="34" t="s">
        <v>545</v>
      </c>
      <c r="B12" s="35">
        <v>0.3</v>
      </c>
      <c r="C12" s="35">
        <v>0.3</v>
      </c>
      <c r="D12" s="35">
        <v>0.3</v>
      </c>
      <c r="E12" s="532">
        <v>0.3</v>
      </c>
      <c r="F12" s="532">
        <v>0.3</v>
      </c>
      <c r="G12" s="532">
        <v>0.3</v>
      </c>
      <c r="H12" s="532">
        <v>0.3</v>
      </c>
      <c r="I12" s="533">
        <v>0.3</v>
      </c>
      <c r="J12" s="609">
        <v>0.3</v>
      </c>
      <c r="K12" s="609">
        <v>0.3</v>
      </c>
      <c r="L12" s="609">
        <v>0.3</v>
      </c>
    </row>
    <row r="13" spans="1:12" customHeight="1" ht="15.6">
      <c r="A13" s="34" t="s">
        <v>546</v>
      </c>
      <c r="B13" s="35">
        <v>0.25</v>
      </c>
      <c r="C13" s="35">
        <v>0.25</v>
      </c>
      <c r="D13" s="35">
        <v>0.25</v>
      </c>
      <c r="E13" s="532">
        <v>0.25</v>
      </c>
      <c r="F13" s="532">
        <v>0.25</v>
      </c>
      <c r="G13" s="532">
        <v>0.25</v>
      </c>
      <c r="H13" s="532">
        <v>0.25</v>
      </c>
      <c r="I13" s="533">
        <v>0.25</v>
      </c>
      <c r="J13" s="609">
        <v>0.24</v>
      </c>
      <c r="K13" s="609">
        <v>0.24</v>
      </c>
      <c r="L13" s="609">
        <v>0.24</v>
      </c>
    </row>
    <row r="14" spans="1:12" customHeight="1" ht="15.6">
      <c r="A14" s="34" t="s">
        <v>547</v>
      </c>
      <c r="B14" s="35">
        <v>0</v>
      </c>
      <c r="C14" s="35">
        <v>0</v>
      </c>
      <c r="D14" s="35">
        <v>0.2</v>
      </c>
      <c r="E14" s="532">
        <v>0.2</v>
      </c>
      <c r="F14" s="532">
        <v>0.2</v>
      </c>
      <c r="G14" s="532">
        <v>0.2</v>
      </c>
      <c r="H14" s="532">
        <v>0.2</v>
      </c>
      <c r="I14" s="533">
        <v>0.2</v>
      </c>
      <c r="J14" s="609">
        <v>0.2</v>
      </c>
      <c r="K14" s="609">
        <v>0.2</v>
      </c>
      <c r="L14" s="609">
        <v>0.2</v>
      </c>
    </row>
    <row r="15" spans="1:12" customHeight="1" ht="15.6">
      <c r="A15" s="34" t="s">
        <v>548</v>
      </c>
      <c r="B15" s="35">
        <v>0</v>
      </c>
      <c r="C15" s="35">
        <v>0</v>
      </c>
      <c r="D15" s="35">
        <v>0</v>
      </c>
      <c r="E15" s="532">
        <v>0</v>
      </c>
      <c r="F15" s="532">
        <v>0</v>
      </c>
      <c r="G15" s="532">
        <v>0</v>
      </c>
      <c r="H15" s="532">
        <v>0</v>
      </c>
      <c r="I15" s="533">
        <v>0</v>
      </c>
      <c r="J15" s="609">
        <v>0</v>
      </c>
      <c r="K15" s="609">
        <v>0</v>
      </c>
      <c r="L15" s="609">
        <v>0</v>
      </c>
    </row>
    <row r="16" spans="1:12" customHeight="1" ht="15.6">
      <c r="A16" s="34" t="s">
        <v>549</v>
      </c>
      <c r="B16" s="35">
        <v>0</v>
      </c>
      <c r="C16" s="35" t="e">
        <v>#N/A</v>
      </c>
      <c r="D16" s="35">
        <v>0</v>
      </c>
      <c r="E16" s="532">
        <v>0</v>
      </c>
      <c r="F16" s="532">
        <v>0</v>
      </c>
      <c r="G16" s="532">
        <v>0</v>
      </c>
      <c r="H16" s="532">
        <v>0</v>
      </c>
      <c r="I16" s="533">
        <v>0</v>
      </c>
      <c r="J16" s="609">
        <v>0</v>
      </c>
      <c r="K16" s="609">
        <v>0</v>
      </c>
      <c r="L16" s="609">
        <v>0</v>
      </c>
    </row>
    <row r="17" spans="1:12" customHeight="1" ht="15.6">
      <c r="A17" s="34" t="s">
        <v>550</v>
      </c>
      <c r="B17" s="35">
        <v>0.25</v>
      </c>
      <c r="C17" s="35">
        <v>0.25</v>
      </c>
      <c r="D17" s="35">
        <v>0.25</v>
      </c>
      <c r="E17" s="532">
        <v>0.25</v>
      </c>
      <c r="F17" s="532">
        <v>0.25</v>
      </c>
      <c r="G17" s="532">
        <v>0.25</v>
      </c>
      <c r="H17" s="532">
        <v>0.325</v>
      </c>
      <c r="I17" s="533">
        <v>0.325</v>
      </c>
      <c r="J17" s="609">
        <v>0.325</v>
      </c>
      <c r="K17" s="609">
        <v>0.275</v>
      </c>
      <c r="L17" s="609">
        <v>0.275</v>
      </c>
    </row>
    <row r="18" spans="1:12" customHeight="1" ht="15.6">
      <c r="A18" s="34" t="s">
        <v>551</v>
      </c>
      <c r="B18" s="35">
        <v>0.25</v>
      </c>
      <c r="C18" s="35">
        <v>0.25</v>
      </c>
      <c r="D18" s="35">
        <v>0.25</v>
      </c>
      <c r="E18" s="532">
        <v>0.3</v>
      </c>
      <c r="F18" s="532">
        <v>0.055</v>
      </c>
      <c r="G18" s="532">
        <v>0.055</v>
      </c>
      <c r="H18" s="532">
        <v>0.055</v>
      </c>
      <c r="I18" s="533">
        <v>0.055</v>
      </c>
      <c r="J18" s="609">
        <v>0.055</v>
      </c>
      <c r="K18" s="609">
        <v>0.055</v>
      </c>
      <c r="L18" s="609">
        <v>0.055</v>
      </c>
    </row>
    <row r="19" spans="1:12" customHeight="1" ht="15.6">
      <c r="A19" s="34" t="s">
        <v>552</v>
      </c>
      <c r="B19" s="35">
        <v>0.18</v>
      </c>
      <c r="C19" s="35">
        <v>0.18</v>
      </c>
      <c r="D19" s="35">
        <v>0.18</v>
      </c>
      <c r="E19" s="532">
        <v>0.18</v>
      </c>
      <c r="F19" s="532">
        <v>0.18</v>
      </c>
      <c r="G19" s="532">
        <v>0.18</v>
      </c>
      <c r="H19" s="532">
        <v>0.18</v>
      </c>
      <c r="I19" s="533">
        <v>0.18</v>
      </c>
      <c r="J19" s="609">
        <v>0.18</v>
      </c>
      <c r="K19" s="609">
        <v>0.2</v>
      </c>
      <c r="L19" s="609">
        <v>0.2</v>
      </c>
    </row>
    <row r="20" spans="1:12" customHeight="1" ht="15.6">
      <c r="A20" s="34" t="s">
        <v>553</v>
      </c>
      <c r="B20" s="35">
        <v>0.3399</v>
      </c>
      <c r="C20" s="35">
        <v>0.3399</v>
      </c>
      <c r="D20" s="35">
        <v>0.3399</v>
      </c>
      <c r="E20" s="532">
        <v>0.29</v>
      </c>
      <c r="F20" s="532">
        <v>0.29</v>
      </c>
      <c r="G20" s="532">
        <v>0.25</v>
      </c>
      <c r="H20" s="532">
        <v>0.25</v>
      </c>
      <c r="I20" s="533">
        <v>0.25</v>
      </c>
      <c r="J20" s="609">
        <v>0.25</v>
      </c>
      <c r="K20" s="609">
        <v>0.25</v>
      </c>
      <c r="L20" s="609">
        <v>0.25</v>
      </c>
    </row>
    <row r="21" spans="1:12" customHeight="1" ht="15.6">
      <c r="A21" s="34" t="s">
        <v>554</v>
      </c>
      <c r="B21" s="35">
        <v>0</v>
      </c>
      <c r="C21" s="35">
        <v>0</v>
      </c>
      <c r="D21" s="35">
        <v>0.3</v>
      </c>
      <c r="E21" s="532">
        <v>0.3</v>
      </c>
      <c r="F21" s="532">
        <v>0.3</v>
      </c>
      <c r="G21" s="532">
        <v>0.3</v>
      </c>
      <c r="H21" s="532">
        <v>0.3</v>
      </c>
      <c r="I21" s="533">
        <v>0.3</v>
      </c>
      <c r="J21" s="609">
        <v>0.3</v>
      </c>
      <c r="K21" s="609">
        <v>0.3</v>
      </c>
      <c r="L21" s="609">
        <v>0.3</v>
      </c>
    </row>
    <row r="22" spans="1:12" customHeight="1" ht="15.6">
      <c r="A22" s="34" t="s">
        <v>555</v>
      </c>
      <c r="B22" s="35">
        <v>0</v>
      </c>
      <c r="C22" s="35">
        <v>0</v>
      </c>
      <c r="D22" s="35">
        <v>0</v>
      </c>
      <c r="E22" s="532">
        <v>0</v>
      </c>
      <c r="F22" s="532">
        <v>0</v>
      </c>
      <c r="G22" s="532">
        <v>0</v>
      </c>
      <c r="H22" s="532">
        <v>0</v>
      </c>
      <c r="I22" s="533">
        <v>0</v>
      </c>
      <c r="J22" s="609">
        <v>0</v>
      </c>
      <c r="K22" s="609">
        <v>0</v>
      </c>
      <c r="L22" s="609">
        <v>0</v>
      </c>
    </row>
    <row r="23" spans="1:12" customHeight="1" ht="15.6">
      <c r="A23" s="34" t="s">
        <v>556</v>
      </c>
      <c r="B23" s="35">
        <v>0.25</v>
      </c>
      <c r="C23" s="35">
        <v>0.25</v>
      </c>
      <c r="D23" s="35">
        <v>0.25</v>
      </c>
      <c r="E23" s="532">
        <v>0.25</v>
      </c>
      <c r="F23" s="532">
        <v>0.25</v>
      </c>
      <c r="G23" s="532">
        <v>0.25</v>
      </c>
      <c r="H23" s="532">
        <v>0.25</v>
      </c>
      <c r="I23" s="533">
        <v>0.25</v>
      </c>
      <c r="J23" s="609">
        <v>0.25</v>
      </c>
      <c r="K23" s="609">
        <v>0.25</v>
      </c>
      <c r="L23" s="609">
        <v>0.25</v>
      </c>
    </row>
    <row r="24" spans="1:12" customHeight="1" ht="15.6">
      <c r="A24" s="34" t="s">
        <v>557</v>
      </c>
      <c r="B24" s="35">
        <v>0</v>
      </c>
      <c r="C24" s="35">
        <v>0</v>
      </c>
      <c r="D24" s="35">
        <v>0.25</v>
      </c>
      <c r="E24" s="532">
        <v>0.25</v>
      </c>
      <c r="F24" s="532">
        <v>0.25</v>
      </c>
      <c r="G24" s="532">
        <v>0.25</v>
      </c>
      <c r="H24" s="532">
        <v>0.25</v>
      </c>
      <c r="I24" s="533">
        <v>0.25</v>
      </c>
      <c r="J24" s="609">
        <v>0.25</v>
      </c>
      <c r="K24" s="609">
        <v>0.258</v>
      </c>
      <c r="L24" s="609">
        <v>0.258</v>
      </c>
    </row>
    <row r="25" spans="1:12" customHeight="1" ht="15.6">
      <c r="A25" s="34" t="s">
        <v>558</v>
      </c>
      <c r="B25" s="35">
        <v>0.1</v>
      </c>
      <c r="C25" s="35">
        <v>0.1</v>
      </c>
      <c r="D25" s="35">
        <v>0.1</v>
      </c>
      <c r="E25" s="532">
        <v>0.1</v>
      </c>
      <c r="F25" s="532">
        <v>0.1</v>
      </c>
      <c r="G25" s="532">
        <v>0.1</v>
      </c>
      <c r="H25" s="532">
        <v>0.1</v>
      </c>
      <c r="I25" s="533">
        <v>0.1</v>
      </c>
      <c r="J25" s="609">
        <v>0.1</v>
      </c>
      <c r="K25" s="609">
        <v>0.1</v>
      </c>
      <c r="L25" s="609">
        <v>0.1</v>
      </c>
    </row>
    <row r="26" spans="1:12" customHeight="1" ht="15.6">
      <c r="A26" s="34" t="s">
        <v>559</v>
      </c>
      <c r="B26" s="35">
        <v>0.22</v>
      </c>
      <c r="C26" s="35">
        <v>0.22</v>
      </c>
      <c r="D26" s="35">
        <v>0.22</v>
      </c>
      <c r="E26" s="532">
        <v>0.22</v>
      </c>
      <c r="F26" s="532">
        <v>0.22</v>
      </c>
      <c r="G26" s="532">
        <v>0.22</v>
      </c>
      <c r="H26" s="532">
        <v>0.22</v>
      </c>
      <c r="I26" s="533">
        <v>0.22</v>
      </c>
      <c r="J26" s="609">
        <v>0.22</v>
      </c>
      <c r="K26" s="609">
        <v>0.22</v>
      </c>
      <c r="L26" s="609">
        <v>0.22</v>
      </c>
    </row>
    <row r="27" spans="1:12" customHeight="1" ht="15.6">
      <c r="A27" s="34" t="s">
        <v>493</v>
      </c>
      <c r="B27" s="35">
        <v>0.34</v>
      </c>
      <c r="C27" s="35">
        <v>0.34</v>
      </c>
      <c r="D27" s="35">
        <v>0.34</v>
      </c>
      <c r="E27" s="532">
        <v>0.34</v>
      </c>
      <c r="F27" s="532">
        <v>0.34</v>
      </c>
      <c r="G27" s="532">
        <v>0.34</v>
      </c>
      <c r="H27" s="532">
        <v>0.34</v>
      </c>
      <c r="I27" s="533">
        <v>0.34</v>
      </c>
      <c r="J27" s="609">
        <v>0.34</v>
      </c>
      <c r="K27" s="609">
        <v>0.34</v>
      </c>
      <c r="L27" s="609">
        <v>0.34</v>
      </c>
    </row>
    <row r="28" spans="1:12" customHeight="1" ht="15.6">
      <c r="A28" s="34" t="s">
        <v>560</v>
      </c>
      <c r="B28" s="35">
        <v>0</v>
      </c>
      <c r="C28" s="35">
        <v>0</v>
      </c>
      <c r="D28" s="35">
        <v>0.185</v>
      </c>
      <c r="E28" s="532">
        <v>0.185</v>
      </c>
      <c r="F28" s="532">
        <v>0.185</v>
      </c>
      <c r="G28" s="532">
        <v>0.185</v>
      </c>
      <c r="H28" s="532">
        <v>0.185</v>
      </c>
      <c r="I28" s="533">
        <v>0.185</v>
      </c>
      <c r="J28" s="609">
        <v>0.185</v>
      </c>
      <c r="K28" s="609">
        <v>0.185</v>
      </c>
      <c r="L28" s="609">
        <v>0.185</v>
      </c>
    </row>
    <row r="29" spans="1:12" customHeight="1" ht="15.6">
      <c r="A29" s="34" t="s">
        <v>561</v>
      </c>
      <c r="B29" s="35">
        <v>0.1</v>
      </c>
      <c r="C29" s="35">
        <v>0.1</v>
      </c>
      <c r="D29" s="35">
        <v>0.1</v>
      </c>
      <c r="E29" s="532">
        <v>0.1</v>
      </c>
      <c r="F29" s="532">
        <v>0.1</v>
      </c>
      <c r="G29" s="532">
        <v>0.1</v>
      </c>
      <c r="H29" s="532">
        <v>0.1</v>
      </c>
      <c r="I29" s="533">
        <v>0.1</v>
      </c>
      <c r="J29" s="609">
        <v>0.1</v>
      </c>
      <c r="K29" s="609">
        <v>0.1</v>
      </c>
      <c r="L29" s="609">
        <v>0.1</v>
      </c>
    </row>
    <row r="30" spans="1:12" customHeight="1" ht="15.6">
      <c r="A30" s="34" t="s">
        <v>562</v>
      </c>
      <c r="B30" s="35">
        <v>0</v>
      </c>
      <c r="C30" s="35">
        <v>0</v>
      </c>
      <c r="D30" s="35">
        <v>0.275</v>
      </c>
      <c r="E30" s="532">
        <v>0.28</v>
      </c>
      <c r="F30" s="532">
        <v>0.28</v>
      </c>
      <c r="G30" s="532">
        <v>0.28</v>
      </c>
      <c r="H30" s="532">
        <v>0.28</v>
      </c>
      <c r="I30" s="533">
        <v>0.28</v>
      </c>
      <c r="J30" s="609">
        <v>0.28</v>
      </c>
      <c r="K30" s="609">
        <v>0.275</v>
      </c>
      <c r="L30" s="609">
        <v>0.275</v>
      </c>
    </row>
    <row r="31" spans="1:12" customHeight="1" ht="15.6">
      <c r="A31" s="34" t="s">
        <v>563</v>
      </c>
      <c r="B31" s="35">
        <v>0</v>
      </c>
      <c r="C31" s="35">
        <v>0</v>
      </c>
      <c r="D31" s="35">
        <v>0.3</v>
      </c>
      <c r="E31" s="532">
        <v>0.3</v>
      </c>
      <c r="F31" s="532">
        <v>0.3</v>
      </c>
      <c r="G31" s="532">
        <v>0.3</v>
      </c>
      <c r="H31" s="532">
        <v>0.3</v>
      </c>
      <c r="I31" s="533">
        <v>0.3</v>
      </c>
      <c r="J31" s="609">
        <v>0.3</v>
      </c>
      <c r="K31" s="609">
        <v>0.3</v>
      </c>
      <c r="L31" s="609">
        <v>0.3</v>
      </c>
    </row>
    <row r="32" spans="1:12" customHeight="1" ht="15.6">
      <c r="A32" s="34" t="s">
        <v>564</v>
      </c>
      <c r="B32" s="35">
        <v>0.2</v>
      </c>
      <c r="C32" s="35">
        <v>0.2</v>
      </c>
      <c r="D32" s="35">
        <v>0.2</v>
      </c>
      <c r="E32" s="532">
        <v>0.2</v>
      </c>
      <c r="F32" s="532">
        <v>0.2</v>
      </c>
      <c r="G32" s="532">
        <v>0.2</v>
      </c>
      <c r="H32" s="532">
        <v>0.2</v>
      </c>
      <c r="I32" s="533">
        <v>0.2</v>
      </c>
      <c r="J32" s="609">
        <v>0.2</v>
      </c>
      <c r="K32" s="609">
        <v>0.2</v>
      </c>
      <c r="L32" s="609">
        <v>0.2</v>
      </c>
    </row>
    <row r="33" spans="1:12" customHeight="1" ht="15.6">
      <c r="A33" s="34" t="s">
        <v>565</v>
      </c>
      <c r="B33" s="35">
        <v>0.33</v>
      </c>
      <c r="C33" s="35">
        <v>0.33</v>
      </c>
      <c r="D33" s="35">
        <v>0.33</v>
      </c>
      <c r="E33" s="532">
        <v>0.33</v>
      </c>
      <c r="F33" s="532">
        <v>0.33</v>
      </c>
      <c r="G33" s="532">
        <v>0.33</v>
      </c>
      <c r="H33" s="532">
        <v>0.33</v>
      </c>
      <c r="I33" s="533">
        <v>0.33</v>
      </c>
      <c r="J33" s="609">
        <v>0.33</v>
      </c>
      <c r="K33" s="609">
        <v>0.33</v>
      </c>
      <c r="L33" s="609">
        <v>0.33</v>
      </c>
    </row>
    <row r="34" spans="1:12" customHeight="1" ht="15.6">
      <c r="A34" s="34" t="s">
        <v>566</v>
      </c>
      <c r="B34" s="35">
        <v>0.265</v>
      </c>
      <c r="C34" s="35">
        <v>0.265</v>
      </c>
      <c r="D34" s="35">
        <v>0.265</v>
      </c>
      <c r="E34" s="532">
        <v>0.265</v>
      </c>
      <c r="F34" s="532">
        <v>0.265</v>
      </c>
      <c r="G34" s="532">
        <v>0.265</v>
      </c>
      <c r="H34" s="532">
        <v>0.265</v>
      </c>
      <c r="I34" s="533">
        <v>0.25</v>
      </c>
      <c r="J34" s="609">
        <v>0.25</v>
      </c>
      <c r="K34" s="609">
        <v>0.2621</v>
      </c>
      <c r="L34" s="609">
        <v>0.2621</v>
      </c>
    </row>
    <row r="35" spans="1:12" customHeight="1" ht="15.6">
      <c r="A35" s="34" t="s">
        <v>567</v>
      </c>
      <c r="B35" s="35">
        <v>0</v>
      </c>
      <c r="C35" s="35">
        <v>0</v>
      </c>
      <c r="D35" s="35">
        <v>0</v>
      </c>
      <c r="E35" s="532">
        <v>0</v>
      </c>
      <c r="F35" s="532">
        <v>0</v>
      </c>
      <c r="G35" s="532">
        <v>0</v>
      </c>
      <c r="H35" s="532">
        <v>0</v>
      </c>
      <c r="I35" s="533">
        <v>0</v>
      </c>
      <c r="J35" s="609">
        <v>0</v>
      </c>
      <c r="K35" s="609">
        <v>0</v>
      </c>
      <c r="L35" s="609">
        <v>0</v>
      </c>
    </row>
    <row r="36" spans="1:12" customHeight="1" ht="15.6">
      <c r="A36" s="34" t="s">
        <v>494</v>
      </c>
      <c r="B36" s="35">
        <v>0.24</v>
      </c>
      <c r="C36" s="35">
        <v>0.24</v>
      </c>
      <c r="D36" s="35">
        <v>0.255</v>
      </c>
      <c r="E36" s="532">
        <v>0.26</v>
      </c>
      <c r="F36" s="532">
        <v>0.27</v>
      </c>
      <c r="G36" s="532">
        <v>0.27</v>
      </c>
      <c r="H36" s="532">
        <v>0.27</v>
      </c>
      <c r="I36" s="533">
        <v>0.27</v>
      </c>
      <c r="J36" s="609">
        <v>0.27</v>
      </c>
      <c r="K36" s="609">
        <v>0.27</v>
      </c>
      <c r="L36" s="609">
        <v>0.27</v>
      </c>
    </row>
    <row r="37" spans="1:12" customHeight="1" ht="15.6">
      <c r="A37" s="34" t="s">
        <v>568</v>
      </c>
      <c r="B37" s="35">
        <v>0.25</v>
      </c>
      <c r="C37" s="35">
        <v>0.25</v>
      </c>
      <c r="D37" s="35">
        <v>0.25</v>
      </c>
      <c r="E37" s="532">
        <v>0.25</v>
      </c>
      <c r="F37" s="532">
        <v>0.25</v>
      </c>
      <c r="G37" s="532">
        <v>0.25</v>
      </c>
      <c r="H37" s="532">
        <v>0.25</v>
      </c>
      <c r="I37" s="533">
        <v>0.25</v>
      </c>
      <c r="J37" s="609">
        <v>0.25</v>
      </c>
      <c r="K37" s="609">
        <v>0.25</v>
      </c>
      <c r="L37" s="609">
        <v>0.25</v>
      </c>
    </row>
    <row r="38" spans="1:12" customHeight="1" ht="15.6">
      <c r="A38" s="34" t="s">
        <v>495</v>
      </c>
      <c r="B38" s="35">
        <v>0.25</v>
      </c>
      <c r="C38" s="35">
        <v>0.25</v>
      </c>
      <c r="D38" s="35">
        <v>0.34</v>
      </c>
      <c r="E38" s="532">
        <v>0.33</v>
      </c>
      <c r="F38" s="532">
        <v>0.33</v>
      </c>
      <c r="G38" s="532">
        <v>0.32</v>
      </c>
      <c r="H38" s="532">
        <v>0.31</v>
      </c>
      <c r="I38" s="533">
        <v>0.35</v>
      </c>
      <c r="J38" s="609">
        <v>0.35</v>
      </c>
      <c r="K38" s="609">
        <v>0.35</v>
      </c>
      <c r="L38" s="609">
        <v>0.35</v>
      </c>
    </row>
    <row r="39" spans="1:12" customHeight="1" ht="15.6">
      <c r="A39" s="34" t="s">
        <v>569</v>
      </c>
      <c r="B39" s="35">
        <v>0</v>
      </c>
      <c r="C39" s="35">
        <v>0</v>
      </c>
      <c r="D39" s="35">
        <v>0</v>
      </c>
      <c r="E39" s="532" t="s">
        <v>570</v>
      </c>
      <c r="F39" s="532" t="s">
        <v>570</v>
      </c>
      <c r="G39" s="532">
        <v>0.3</v>
      </c>
      <c r="H39" s="532">
        <v>0.28</v>
      </c>
      <c r="I39" s="533">
        <v>0.28</v>
      </c>
      <c r="J39" s="609">
        <v>0.28</v>
      </c>
      <c r="K39" s="609">
        <v>0.28</v>
      </c>
      <c r="L39" s="609">
        <v>0.28</v>
      </c>
    </row>
    <row r="40" spans="1:12" customHeight="1" ht="15.6">
      <c r="A40" s="34" t="s">
        <v>571</v>
      </c>
      <c r="B40" s="35">
        <v>0</v>
      </c>
      <c r="C40" s="35">
        <v>0</v>
      </c>
      <c r="D40" s="35">
        <v>0.35</v>
      </c>
      <c r="E40" s="532">
        <v>0.35</v>
      </c>
      <c r="F40" s="532">
        <v>0.35</v>
      </c>
      <c r="G40" s="532">
        <v>0.35</v>
      </c>
      <c r="H40" s="532">
        <v>0.3</v>
      </c>
      <c r="I40" s="533">
        <v>0.3</v>
      </c>
      <c r="J40" s="609">
        <v>0.3</v>
      </c>
      <c r="K40" s="609">
        <v>0.3</v>
      </c>
      <c r="L40" s="609">
        <v>0.3</v>
      </c>
    </row>
    <row r="41" spans="1:12" customHeight="1" ht="15.6">
      <c r="A41" s="34" t="s">
        <v>572</v>
      </c>
      <c r="B41" s="35">
        <v>0.3</v>
      </c>
      <c r="C41" s="35">
        <v>0.3</v>
      </c>
      <c r="D41" s="35">
        <v>0.3</v>
      </c>
      <c r="E41" s="532">
        <v>0.3</v>
      </c>
      <c r="F41" s="532">
        <v>0.3</v>
      </c>
      <c r="G41" s="532">
        <v>0.3</v>
      </c>
      <c r="H41" s="532">
        <v>0.3</v>
      </c>
      <c r="I41" s="533">
        <v>0.3</v>
      </c>
      <c r="J41" s="609">
        <v>0.3</v>
      </c>
      <c r="K41" s="609">
        <v>0.3</v>
      </c>
      <c r="L41" s="609">
        <v>0.3</v>
      </c>
    </row>
    <row r="42" spans="1:12" customHeight="1" ht="15.6">
      <c r="A42" s="34" t="s">
        <v>573</v>
      </c>
      <c r="B42" s="35">
        <v>0.2</v>
      </c>
      <c r="C42" s="35">
        <v>0.2</v>
      </c>
      <c r="D42" s="35">
        <v>0.2</v>
      </c>
      <c r="E42" s="532">
        <v>0.18</v>
      </c>
      <c r="F42" s="532">
        <v>0.18</v>
      </c>
      <c r="G42" s="532">
        <v>0.18</v>
      </c>
      <c r="H42" s="532">
        <v>0.18</v>
      </c>
      <c r="I42" s="533">
        <v>0.18</v>
      </c>
      <c r="J42" s="609">
        <v>0.18</v>
      </c>
      <c r="K42" s="609">
        <v>0.18</v>
      </c>
      <c r="L42" s="609">
        <v>0.18</v>
      </c>
    </row>
    <row r="43" spans="1:12" customHeight="1" ht="15.6">
      <c r="A43" s="34" t="s">
        <v>574</v>
      </c>
      <c r="B43" s="35">
        <v>0.22</v>
      </c>
      <c r="C43" s="35">
        <v>0.22</v>
      </c>
      <c r="D43" s="35">
        <v>0.22</v>
      </c>
      <c r="E43" s="532">
        <v>0.22</v>
      </c>
      <c r="F43" s="532">
        <v>0.22</v>
      </c>
      <c r="G43" s="532">
        <v>0.22</v>
      </c>
      <c r="H43" s="532">
        <v>0.22</v>
      </c>
      <c r="I43" s="533">
        <v>0.22</v>
      </c>
      <c r="J43" s="609">
        <v>0.22</v>
      </c>
      <c r="K43" s="609">
        <v>0.22</v>
      </c>
      <c r="L43" s="609">
        <v>0.22</v>
      </c>
    </row>
    <row r="44" spans="1:12" customHeight="1" ht="15.6">
      <c r="A44" s="34" t="s">
        <v>575</v>
      </c>
      <c r="B44" s="35">
        <v>0.125</v>
      </c>
      <c r="C44" s="35">
        <v>0.125</v>
      </c>
      <c r="D44" s="35">
        <v>0.125</v>
      </c>
      <c r="E44" s="532">
        <v>0.125</v>
      </c>
      <c r="F44" s="532">
        <v>0.125</v>
      </c>
      <c r="G44" s="532">
        <v>0.125</v>
      </c>
      <c r="H44" s="532">
        <v>0.125</v>
      </c>
      <c r="I44" s="533">
        <v>0.125</v>
      </c>
      <c r="J44" s="609">
        <v>0.125</v>
      </c>
      <c r="K44" s="609">
        <v>0.125</v>
      </c>
      <c r="L44" s="609">
        <v>0.125</v>
      </c>
    </row>
    <row r="45" spans="1:12" customHeight="1" ht="15.6">
      <c r="A45" s="34" t="s">
        <v>576</v>
      </c>
      <c r="B45" s="35">
        <v>0.19</v>
      </c>
      <c r="C45" s="35">
        <v>0.19</v>
      </c>
      <c r="D45" s="35">
        <v>0.19</v>
      </c>
      <c r="E45" s="532">
        <v>0.19</v>
      </c>
      <c r="F45" s="532">
        <v>0.19</v>
      </c>
      <c r="G45" s="532">
        <v>0.19</v>
      </c>
      <c r="H45" s="532">
        <v>0.19</v>
      </c>
      <c r="I45" s="533">
        <v>0.19</v>
      </c>
      <c r="J45" s="609">
        <v>0.19</v>
      </c>
      <c r="K45" s="609">
        <v>0.19</v>
      </c>
      <c r="L45" s="609">
        <v>0.19</v>
      </c>
    </row>
    <row r="46" spans="1:12" customHeight="1" ht="15.6">
      <c r="A46" s="34" t="s">
        <v>577</v>
      </c>
      <c r="B46" s="35">
        <v>0.22</v>
      </c>
      <c r="C46" s="35">
        <v>0.22</v>
      </c>
      <c r="D46" s="35">
        <v>0.22</v>
      </c>
      <c r="E46" s="532">
        <v>0.22</v>
      </c>
      <c r="F46" s="532">
        <v>0.22</v>
      </c>
      <c r="G46" s="532">
        <v>0.22</v>
      </c>
      <c r="H46" s="532">
        <v>0.22</v>
      </c>
      <c r="I46" s="533">
        <v>0.22</v>
      </c>
      <c r="J46" s="609">
        <v>0.22</v>
      </c>
      <c r="K46" s="609">
        <v>0.22</v>
      </c>
      <c r="L46" s="609">
        <v>0.22</v>
      </c>
    </row>
    <row r="47" spans="1:12" customHeight="1" ht="15.6">
      <c r="A47" s="34" t="s">
        <v>578</v>
      </c>
      <c r="B47" s="35">
        <v>0</v>
      </c>
      <c r="C47" s="35">
        <v>0</v>
      </c>
      <c r="D47" s="35">
        <v>0.25</v>
      </c>
      <c r="E47" s="532">
        <v>0.25</v>
      </c>
      <c r="F47" s="532">
        <v>0.25</v>
      </c>
      <c r="G47" s="532">
        <v>0.25</v>
      </c>
      <c r="H47" s="532">
        <v>0.25</v>
      </c>
      <c r="I47" s="533">
        <v>0.25</v>
      </c>
      <c r="J47" s="609">
        <v>0.25</v>
      </c>
      <c r="K47" s="609">
        <v>0.25</v>
      </c>
      <c r="L47" s="609">
        <v>0.25</v>
      </c>
    </row>
    <row r="48" spans="1:12" customHeight="1" ht="15.6">
      <c r="A48" s="34" t="s">
        <v>579</v>
      </c>
      <c r="B48" s="35">
        <v>0</v>
      </c>
      <c r="C48" s="35">
        <v>0</v>
      </c>
      <c r="D48" s="35">
        <v>0.25</v>
      </c>
      <c r="E48" s="532">
        <v>0.25</v>
      </c>
      <c r="F48" s="532">
        <v>0.25</v>
      </c>
      <c r="G48" s="532">
        <v>0.25</v>
      </c>
      <c r="H48" s="532">
        <v>0.25</v>
      </c>
      <c r="I48" s="533">
        <v>0.25</v>
      </c>
      <c r="J48" s="609">
        <v>0.25</v>
      </c>
      <c r="K48" s="609">
        <v>0.25</v>
      </c>
      <c r="L48" s="609">
        <v>0.25</v>
      </c>
    </row>
    <row r="49" spans="1:12" customHeight="1" ht="15.6">
      <c r="A49" s="34" t="s">
        <v>580</v>
      </c>
      <c r="B49" s="35">
        <v>0.27</v>
      </c>
      <c r="C49" s="35">
        <v>0.27</v>
      </c>
      <c r="D49" s="35">
        <v>0.27</v>
      </c>
      <c r="E49" s="532">
        <v>0.27</v>
      </c>
      <c r="F49" s="532">
        <v>0.27</v>
      </c>
      <c r="G49" s="532">
        <v>0.27</v>
      </c>
      <c r="H49" s="532">
        <v>0.27</v>
      </c>
      <c r="I49" s="533">
        <v>0.27</v>
      </c>
      <c r="J49" s="609">
        <v>0.27</v>
      </c>
      <c r="K49" s="609">
        <v>0.27</v>
      </c>
      <c r="L49" s="609">
        <v>0.27</v>
      </c>
    </row>
    <row r="50" spans="1:12" customHeight="1" ht="15.6">
      <c r="A50" s="34" t="s">
        <v>496</v>
      </c>
      <c r="B50" s="35">
        <v>0.22</v>
      </c>
      <c r="C50" s="35">
        <v>0.22</v>
      </c>
      <c r="D50" s="35">
        <v>0.22</v>
      </c>
      <c r="E50" s="532">
        <v>0.25</v>
      </c>
      <c r="F50" s="532">
        <v>0.25</v>
      </c>
      <c r="G50" s="532">
        <v>0.25</v>
      </c>
      <c r="H50" s="532">
        <v>0.25</v>
      </c>
      <c r="I50" s="533">
        <v>0.25</v>
      </c>
      <c r="J50" s="609">
        <v>0.25</v>
      </c>
      <c r="K50" s="609">
        <v>0.25</v>
      </c>
      <c r="L50" s="609">
        <v>0.25</v>
      </c>
    </row>
    <row r="51" spans="1:12" customHeight="1" ht="15.6">
      <c r="A51" s="34" t="s">
        <v>581</v>
      </c>
      <c r="B51" s="35">
        <v>0.225</v>
      </c>
      <c r="C51" s="35">
        <v>0.225</v>
      </c>
      <c r="D51" s="35">
        <v>0.225</v>
      </c>
      <c r="E51" s="532">
        <v>0.23</v>
      </c>
      <c r="F51" s="532">
        <v>0.225</v>
      </c>
      <c r="G51" s="532">
        <v>0.225</v>
      </c>
      <c r="H51" s="532">
        <v>0.225</v>
      </c>
      <c r="I51" s="533">
        <v>0.225</v>
      </c>
      <c r="J51" s="609">
        <v>0.225</v>
      </c>
      <c r="K51" s="609">
        <v>0.225</v>
      </c>
      <c r="L51" s="609">
        <v>0.225</v>
      </c>
    </row>
    <row r="52" spans="1:12" customHeight="1" ht="15.6">
      <c r="A52" s="34" t="s">
        <v>582</v>
      </c>
      <c r="B52" s="35">
        <v>0.3</v>
      </c>
      <c r="C52" s="35">
        <v>0.3</v>
      </c>
      <c r="D52" s="35">
        <v>0.3</v>
      </c>
      <c r="E52" s="532">
        <v>0.3</v>
      </c>
      <c r="F52" s="532">
        <v>0.3</v>
      </c>
      <c r="G52" s="532">
        <v>0.3</v>
      </c>
      <c r="H52" s="532">
        <v>0.3</v>
      </c>
      <c r="I52" s="533">
        <v>0.3</v>
      </c>
      <c r="J52" s="609">
        <v>0.3</v>
      </c>
      <c r="K52" s="609">
        <v>0.3</v>
      </c>
      <c r="L52" s="609">
        <v>0.3</v>
      </c>
    </row>
    <row r="53" spans="1:12" customHeight="1" ht="15.6">
      <c r="A53" s="34" t="s">
        <v>583</v>
      </c>
      <c r="B53" s="35">
        <v>0.2</v>
      </c>
      <c r="C53" s="35">
        <v>0.2</v>
      </c>
      <c r="D53" s="35">
        <v>0.2</v>
      </c>
      <c r="E53" s="532">
        <v>0.2</v>
      </c>
      <c r="F53" s="532">
        <v>0.2</v>
      </c>
      <c r="G53" s="532">
        <v>0.2</v>
      </c>
      <c r="H53" s="532">
        <v>0.2</v>
      </c>
      <c r="I53" s="533">
        <v>0.2</v>
      </c>
      <c r="J53" s="609">
        <v>0.2</v>
      </c>
      <c r="K53" s="609">
        <v>0.2</v>
      </c>
      <c r="L53" s="609">
        <v>0.2</v>
      </c>
    </row>
    <row r="54" spans="1:12" customHeight="1" ht="15.6">
      <c r="A54" s="34" t="s">
        <v>584</v>
      </c>
      <c r="B54" s="35">
        <v>0</v>
      </c>
      <c r="C54" s="35">
        <v>0</v>
      </c>
      <c r="D54" s="35">
        <v>0.3</v>
      </c>
      <c r="E54" s="532">
        <v>0.3</v>
      </c>
      <c r="F54" s="532">
        <v>0.3</v>
      </c>
      <c r="G54" s="532">
        <v>0.3</v>
      </c>
      <c r="H54" s="532">
        <v>0.3</v>
      </c>
      <c r="I54" s="533">
        <v>0.3</v>
      </c>
      <c r="J54" s="609">
        <v>0.3</v>
      </c>
      <c r="K54" s="609">
        <v>0.3</v>
      </c>
      <c r="L54" s="609">
        <v>0.3</v>
      </c>
    </row>
    <row r="55" spans="1:12" customHeight="1" ht="15.6">
      <c r="A55" s="34" t="s">
        <v>585</v>
      </c>
      <c r="B55" s="35">
        <v>0.2</v>
      </c>
      <c r="C55" s="35">
        <v>0.2</v>
      </c>
      <c r="D55" s="35">
        <v>0.2</v>
      </c>
      <c r="E55" s="532">
        <v>0.2</v>
      </c>
      <c r="F55" s="532">
        <v>0.2</v>
      </c>
      <c r="G55" s="532">
        <v>0.2</v>
      </c>
      <c r="H55" s="532">
        <v>0.2</v>
      </c>
      <c r="I55" s="533">
        <v>0.2</v>
      </c>
      <c r="J55" s="609">
        <v>0.2</v>
      </c>
      <c r="K55" s="609">
        <v>0.2</v>
      </c>
      <c r="L55" s="609">
        <v>0.2</v>
      </c>
    </row>
    <row r="56" spans="1:12" customHeight="1" ht="15.6">
      <c r="A56" s="34" t="s">
        <v>586</v>
      </c>
      <c r="B56" s="35">
        <v>0.2</v>
      </c>
      <c r="C56" s="35">
        <v>0.2</v>
      </c>
      <c r="D56" s="35">
        <v>0.2</v>
      </c>
      <c r="E56" s="532">
        <v>0.2</v>
      </c>
      <c r="F56" s="532">
        <v>0.2</v>
      </c>
      <c r="G56" s="532">
        <v>0.2</v>
      </c>
      <c r="H56" s="532">
        <v>0.2</v>
      </c>
      <c r="I56" s="533">
        <v>0.2</v>
      </c>
      <c r="J56" s="609">
        <v>0.2</v>
      </c>
      <c r="K56" s="609">
        <v>0.2</v>
      </c>
      <c r="L56" s="609">
        <v>0.2</v>
      </c>
    </row>
    <row r="57" spans="1:12" customHeight="1" ht="15.6">
      <c r="A57" s="34" t="s">
        <v>587</v>
      </c>
      <c r="B57" s="35">
        <v>0.3333</v>
      </c>
      <c r="C57" s="35">
        <v>0.333</v>
      </c>
      <c r="D57" s="35">
        <v>0.3333</v>
      </c>
      <c r="E57" s="532">
        <v>0.33</v>
      </c>
      <c r="F57" s="532">
        <v>0.31</v>
      </c>
      <c r="G57" s="532">
        <v>0.28</v>
      </c>
      <c r="H57" s="532">
        <v>0.265</v>
      </c>
      <c r="I57" s="533">
        <v>0.25</v>
      </c>
      <c r="J57" s="609">
        <v>0.25</v>
      </c>
      <c r="K57" s="609">
        <v>0.25825</v>
      </c>
      <c r="L57" s="609">
        <v>0.25825</v>
      </c>
    </row>
    <row r="58" spans="1:12" customHeight="1" ht="15.6">
      <c r="A58" s="34" t="s">
        <v>588</v>
      </c>
      <c r="B58" s="35">
        <v>0</v>
      </c>
      <c r="C58" s="35">
        <v>0</v>
      </c>
      <c r="D58" s="35">
        <v>0.3</v>
      </c>
      <c r="E58" s="532">
        <v>0.3</v>
      </c>
      <c r="F58" s="532">
        <v>0.3</v>
      </c>
      <c r="G58" s="532">
        <v>0.3</v>
      </c>
      <c r="H58" s="532">
        <v>0.3</v>
      </c>
      <c r="I58" s="533">
        <v>0.3</v>
      </c>
      <c r="J58" s="609">
        <v>0.3</v>
      </c>
      <c r="K58" s="609">
        <v>0.3</v>
      </c>
      <c r="L58" s="609">
        <v>0.3</v>
      </c>
    </row>
    <row r="59" spans="1:12" customHeight="1" ht="15.6">
      <c r="A59" s="34" t="s">
        <v>589</v>
      </c>
      <c r="B59" s="35">
        <v>0</v>
      </c>
      <c r="C59" s="35">
        <v>0</v>
      </c>
      <c r="D59" s="35">
        <v>0.31</v>
      </c>
      <c r="E59" s="532">
        <v>0.31</v>
      </c>
      <c r="F59" s="532">
        <v>0.31</v>
      </c>
      <c r="G59" s="532">
        <v>0.31</v>
      </c>
      <c r="H59" s="532">
        <v>0.27</v>
      </c>
      <c r="I59" s="533">
        <v>0.27</v>
      </c>
      <c r="J59" s="609">
        <v>0.27</v>
      </c>
      <c r="K59" s="609">
        <v>0.27</v>
      </c>
      <c r="L59" s="609">
        <v>0.27</v>
      </c>
    </row>
    <row r="60" spans="1:12" customHeight="1" ht="15.6">
      <c r="A60" s="34" t="s">
        <v>590</v>
      </c>
      <c r="B60" s="35">
        <v>0.15</v>
      </c>
      <c r="C60" s="35">
        <v>0.15</v>
      </c>
      <c r="D60" s="35">
        <v>0.15</v>
      </c>
      <c r="E60" s="532">
        <v>0.15</v>
      </c>
      <c r="F60" s="532">
        <v>0.15</v>
      </c>
      <c r="G60" s="532">
        <v>0.15</v>
      </c>
      <c r="H60" s="532">
        <v>0.15</v>
      </c>
      <c r="I60" s="533">
        <v>0.15</v>
      </c>
      <c r="J60" s="609">
        <v>0.15</v>
      </c>
      <c r="K60" s="609">
        <v>0.15</v>
      </c>
      <c r="L60" s="609">
        <v>0.15</v>
      </c>
    </row>
    <row r="61" spans="1:12" customHeight="1" ht="15.6">
      <c r="A61" s="34" t="s">
        <v>591</v>
      </c>
      <c r="B61" s="35">
        <v>0.2972</v>
      </c>
      <c r="C61" s="35">
        <v>0.2972</v>
      </c>
      <c r="D61" s="35">
        <v>0.2979</v>
      </c>
      <c r="E61" s="532">
        <v>0.3</v>
      </c>
      <c r="F61" s="532">
        <v>0.3</v>
      </c>
      <c r="G61" s="532">
        <v>0.3</v>
      </c>
      <c r="H61" s="532">
        <v>0.3</v>
      </c>
      <c r="I61" s="533">
        <v>0.3</v>
      </c>
      <c r="J61" s="609">
        <v>0.3</v>
      </c>
      <c r="K61" s="609">
        <v>0.29941</v>
      </c>
      <c r="L61" s="609">
        <v>0.29941</v>
      </c>
    </row>
    <row r="62" spans="1:12" customHeight="1" ht="15.6">
      <c r="A62" s="34" t="s">
        <v>592</v>
      </c>
      <c r="B62" s="35">
        <v>0.25</v>
      </c>
      <c r="C62" s="35">
        <v>0.25</v>
      </c>
      <c r="D62" s="35">
        <v>0.25</v>
      </c>
      <c r="E62" s="532">
        <v>0.25</v>
      </c>
      <c r="F62" s="532">
        <v>0.25</v>
      </c>
      <c r="G62" s="532">
        <v>0.25</v>
      </c>
      <c r="H62" s="532">
        <v>0.25</v>
      </c>
      <c r="I62" s="533">
        <v>0.25</v>
      </c>
      <c r="J62" s="609">
        <v>0.25</v>
      </c>
      <c r="K62" s="609">
        <v>0.25</v>
      </c>
      <c r="L62" s="609">
        <v>0.25</v>
      </c>
    </row>
    <row r="63" spans="1:12" customHeight="1" ht="15.6">
      <c r="A63" s="34" t="s">
        <v>593</v>
      </c>
      <c r="B63" s="35">
        <v>0.1</v>
      </c>
      <c r="C63" s="35">
        <v>0.1</v>
      </c>
      <c r="D63" s="35">
        <v>0.1</v>
      </c>
      <c r="E63" s="532">
        <v>0.1</v>
      </c>
      <c r="F63" s="532">
        <v>0.1</v>
      </c>
      <c r="G63" s="532">
        <v>0.1</v>
      </c>
      <c r="H63" s="532">
        <v>0.1</v>
      </c>
      <c r="I63" s="533">
        <v>0.1</v>
      </c>
      <c r="J63" s="609">
        <v>0.1</v>
      </c>
      <c r="K63" s="609">
        <v>0.125</v>
      </c>
      <c r="L63" s="609">
        <v>0.125</v>
      </c>
    </row>
    <row r="64" spans="1:12" customHeight="1" ht="15.6">
      <c r="A64" s="34" t="s">
        <v>594</v>
      </c>
      <c r="B64" s="35">
        <v>0.29</v>
      </c>
      <c r="C64" s="35">
        <v>0.29</v>
      </c>
      <c r="D64" s="35">
        <v>0.29</v>
      </c>
      <c r="E64" s="532">
        <v>0.29</v>
      </c>
      <c r="F64" s="532">
        <v>0.28</v>
      </c>
      <c r="G64" s="532">
        <v>0.24</v>
      </c>
      <c r="H64" s="532">
        <v>0.24</v>
      </c>
      <c r="I64" s="533">
        <v>0.22</v>
      </c>
      <c r="J64" s="609">
        <v>0.22</v>
      </c>
      <c r="K64" s="609">
        <v>0.22</v>
      </c>
      <c r="L64" s="609">
        <v>0.22</v>
      </c>
    </row>
    <row r="65" spans="1:12" customHeight="1" ht="15.6">
      <c r="A65" s="34" t="s">
        <v>595</v>
      </c>
      <c r="B65" s="35">
        <v>0</v>
      </c>
      <c r="C65" s="35">
        <v>0</v>
      </c>
      <c r="D65" s="35">
        <v>0.3</v>
      </c>
      <c r="E65" s="532">
        <v>0.3</v>
      </c>
      <c r="F65" s="532">
        <v>0.28</v>
      </c>
      <c r="G65" s="532">
        <v>0.28</v>
      </c>
      <c r="H65" s="532">
        <v>0.28</v>
      </c>
      <c r="I65" s="533">
        <v>0.28</v>
      </c>
      <c r="J65" s="609">
        <v>0.28</v>
      </c>
      <c r="K65" s="609">
        <v>0.28</v>
      </c>
      <c r="L65" s="609">
        <v>0.28</v>
      </c>
    </row>
    <row r="66" spans="1:12" customHeight="1" ht="15.6">
      <c r="A66" s="34" t="s">
        <v>596</v>
      </c>
      <c r="B66" s="35">
        <v>0.25</v>
      </c>
      <c r="C66" s="35">
        <v>0.25</v>
      </c>
      <c r="D66" s="35">
        <v>0.25</v>
      </c>
      <c r="E66" s="532">
        <v>0.25</v>
      </c>
      <c r="F66" s="532">
        <v>0.25</v>
      </c>
      <c r="G66" s="532">
        <v>0.25</v>
      </c>
      <c r="H66" s="532">
        <v>0.25</v>
      </c>
      <c r="I66" s="533">
        <v>0.25</v>
      </c>
      <c r="J66" s="609">
        <v>0.25</v>
      </c>
      <c r="K66" s="609">
        <v>0.25</v>
      </c>
      <c r="L66" s="609">
        <v>0.25</v>
      </c>
    </row>
    <row r="67" spans="1:12" customHeight="1" ht="15.6">
      <c r="A67" s="34" t="s">
        <v>597</v>
      </c>
      <c r="B67" s="35">
        <v>0</v>
      </c>
      <c r="C67" s="35">
        <v>0</v>
      </c>
      <c r="D67" s="35">
        <v>0</v>
      </c>
      <c r="E67" s="532">
        <v>0</v>
      </c>
      <c r="F67" s="532">
        <v>0</v>
      </c>
      <c r="G67" s="532">
        <v>0</v>
      </c>
      <c r="H67" s="532">
        <v>0</v>
      </c>
      <c r="I67" s="533">
        <v>0</v>
      </c>
      <c r="J67" s="609">
        <v>0</v>
      </c>
      <c r="K67" s="609">
        <v>0</v>
      </c>
      <c r="L67" s="609">
        <v>0</v>
      </c>
    </row>
    <row r="68" spans="1:12" customHeight="1" ht="15.6">
      <c r="A68" s="34" t="s">
        <v>598</v>
      </c>
      <c r="B68" s="35">
        <v>0.3</v>
      </c>
      <c r="C68" s="35">
        <v>0.3</v>
      </c>
      <c r="D68" s="35">
        <v>0.25</v>
      </c>
      <c r="E68" s="532">
        <v>0.25</v>
      </c>
      <c r="F68" s="532">
        <v>0.25</v>
      </c>
      <c r="G68" s="532">
        <v>0.25</v>
      </c>
      <c r="H68" s="532">
        <v>0.25</v>
      </c>
      <c r="I68" s="533">
        <v>0.25</v>
      </c>
      <c r="J68" s="609">
        <v>0.25</v>
      </c>
      <c r="K68" s="609">
        <v>0.3</v>
      </c>
      <c r="L68" s="609">
        <v>0.3</v>
      </c>
    </row>
    <row r="69" spans="1:12" customHeight="1" ht="15.6">
      <c r="A69" s="34" t="s">
        <v>599</v>
      </c>
      <c r="B69" s="35">
        <v>0.165</v>
      </c>
      <c r="C69" s="35">
        <v>0.165</v>
      </c>
      <c r="D69" s="35">
        <v>0.165</v>
      </c>
      <c r="E69" s="532">
        <v>0.165</v>
      </c>
      <c r="F69" s="532">
        <v>0.165</v>
      </c>
      <c r="G69" s="532">
        <v>0.165</v>
      </c>
      <c r="H69" s="532">
        <v>0.165</v>
      </c>
      <c r="I69" s="533">
        <v>0.165</v>
      </c>
      <c r="J69" s="609">
        <v>0.165</v>
      </c>
      <c r="K69" s="609">
        <v>0.165</v>
      </c>
      <c r="L69" s="609">
        <v>0.165</v>
      </c>
    </row>
    <row r="70" spans="1:12" customHeight="1" ht="15.6">
      <c r="A70" s="34" t="s">
        <v>600</v>
      </c>
      <c r="B70" s="35">
        <v>0.19</v>
      </c>
      <c r="C70" s="35">
        <v>0.19</v>
      </c>
      <c r="D70" s="35">
        <v>0.09</v>
      </c>
      <c r="E70" s="532">
        <v>0.09</v>
      </c>
      <c r="F70" s="532">
        <v>0.09</v>
      </c>
      <c r="G70" s="532">
        <v>0.09</v>
      </c>
      <c r="H70" s="532">
        <v>0.09</v>
      </c>
      <c r="I70" s="533">
        <v>0.09</v>
      </c>
      <c r="J70" s="609">
        <v>0.09</v>
      </c>
      <c r="K70" s="609">
        <v>0.09</v>
      </c>
      <c r="L70" s="609">
        <v>0.09</v>
      </c>
    </row>
    <row r="71" spans="1:12" customHeight="1" ht="15.6">
      <c r="A71" s="34" t="s">
        <v>601</v>
      </c>
      <c r="B71" s="35">
        <v>0.2</v>
      </c>
      <c r="C71" s="35">
        <v>0.2</v>
      </c>
      <c r="D71" s="35">
        <v>0.2</v>
      </c>
      <c r="E71" s="532">
        <v>0.2</v>
      </c>
      <c r="F71" s="532">
        <v>0.2</v>
      </c>
      <c r="G71" s="532">
        <v>0.2</v>
      </c>
      <c r="H71" s="532">
        <v>0.2</v>
      </c>
      <c r="I71" s="533">
        <v>0.2</v>
      </c>
      <c r="J71" s="609">
        <v>0.2</v>
      </c>
      <c r="K71" s="609">
        <v>0.2</v>
      </c>
      <c r="L71" s="609">
        <v>0.2</v>
      </c>
    </row>
    <row r="72" spans="1:12" customHeight="1" ht="15.6">
      <c r="A72" s="34" t="s">
        <v>602</v>
      </c>
      <c r="B72" s="35">
        <v>0.3461</v>
      </c>
      <c r="C72" s="35">
        <v>0.3461</v>
      </c>
      <c r="D72" s="35">
        <v>0.3461</v>
      </c>
      <c r="E72" s="532">
        <v>0.35</v>
      </c>
      <c r="F72" s="532">
        <v>0.3</v>
      </c>
      <c r="G72" s="532">
        <v>0.3</v>
      </c>
      <c r="H72" s="532">
        <v>0.3</v>
      </c>
      <c r="I72" s="533">
        <v>0.3</v>
      </c>
      <c r="J72" s="609">
        <v>0.3</v>
      </c>
      <c r="K72" s="609">
        <v>0.3</v>
      </c>
      <c r="L72" s="609">
        <v>0.3</v>
      </c>
    </row>
    <row r="73" spans="1:12" customHeight="1" ht="15.6">
      <c r="A73" s="34" t="s">
        <v>603</v>
      </c>
      <c r="B73" s="35">
        <v>0.25</v>
      </c>
      <c r="C73" s="35">
        <v>0.25</v>
      </c>
      <c r="D73" s="35">
        <v>0.25</v>
      </c>
      <c r="E73" s="532">
        <v>0.25</v>
      </c>
      <c r="F73" s="532">
        <v>0.25</v>
      </c>
      <c r="G73" s="532">
        <v>0.25</v>
      </c>
      <c r="H73" s="532">
        <v>0.22</v>
      </c>
      <c r="I73" s="533">
        <v>0.22</v>
      </c>
      <c r="J73" s="609">
        <v>0.22</v>
      </c>
      <c r="K73" s="609">
        <v>0.22</v>
      </c>
      <c r="L73" s="609">
        <v>0.22</v>
      </c>
    </row>
    <row r="74" spans="1:12" customHeight="1" ht="15.6">
      <c r="A74" s="34" t="s">
        <v>604</v>
      </c>
      <c r="B74" s="35">
        <v>0.15</v>
      </c>
      <c r="C74" s="35">
        <v>0.15</v>
      </c>
      <c r="D74" s="35">
        <v>0.15</v>
      </c>
      <c r="E74" s="532">
        <v>0.15</v>
      </c>
      <c r="F74" s="532">
        <v>0.15</v>
      </c>
      <c r="G74" s="532">
        <v>0.15</v>
      </c>
      <c r="H74" s="532">
        <v>0.35</v>
      </c>
      <c r="I74" s="533">
        <v>0.15</v>
      </c>
      <c r="J74" s="609">
        <v>0.15</v>
      </c>
      <c r="K74" s="609">
        <v>0.15</v>
      </c>
      <c r="L74" s="609">
        <v>0.15</v>
      </c>
    </row>
    <row r="75" spans="1:12" customHeight="1" ht="15.6">
      <c r="A75" s="34" t="s">
        <v>605</v>
      </c>
      <c r="B75" s="35">
        <v>0.125</v>
      </c>
      <c r="C75" s="35">
        <v>0.125</v>
      </c>
      <c r="D75" s="35">
        <v>0.125</v>
      </c>
      <c r="E75" s="532">
        <v>0.125</v>
      </c>
      <c r="F75" s="532">
        <v>0.125</v>
      </c>
      <c r="G75" s="532">
        <v>0.125</v>
      </c>
      <c r="H75" s="532">
        <v>0.125</v>
      </c>
      <c r="I75" s="533">
        <v>0.125</v>
      </c>
      <c r="J75" s="609">
        <v>0.125</v>
      </c>
      <c r="K75" s="609">
        <v>0.125</v>
      </c>
      <c r="L75" s="609">
        <v>0.125</v>
      </c>
    </row>
    <row r="76" spans="1:12" customHeight="1" ht="15.6">
      <c r="A76" s="34" t="s">
        <v>606</v>
      </c>
      <c r="B76" s="35">
        <v>0</v>
      </c>
      <c r="C76" s="35">
        <v>0</v>
      </c>
      <c r="D76" s="35">
        <v>0</v>
      </c>
      <c r="E76" s="532">
        <v>0</v>
      </c>
      <c r="F76" s="532">
        <v>0</v>
      </c>
      <c r="G76" s="532">
        <v>0</v>
      </c>
      <c r="H76" s="532">
        <v>0</v>
      </c>
      <c r="I76" s="533">
        <v>0</v>
      </c>
      <c r="J76" s="609">
        <v>0</v>
      </c>
      <c r="K76" s="609">
        <v>0</v>
      </c>
      <c r="L76" s="609">
        <v>0</v>
      </c>
    </row>
    <row r="77" spans="1:12" customHeight="1" ht="15.6">
      <c r="A77" s="34" t="s">
        <v>607</v>
      </c>
      <c r="B77" s="35">
        <v>0.25</v>
      </c>
      <c r="C77" s="35">
        <v>0.25</v>
      </c>
      <c r="D77" s="35">
        <v>0.24</v>
      </c>
      <c r="E77" s="532">
        <v>0.23</v>
      </c>
      <c r="F77" s="532">
        <v>0.23</v>
      </c>
      <c r="G77" s="532">
        <v>0.23</v>
      </c>
      <c r="H77" s="532">
        <v>0.23</v>
      </c>
      <c r="I77" s="533">
        <v>0.23</v>
      </c>
      <c r="J77" s="609">
        <v>0.23</v>
      </c>
      <c r="K77" s="609">
        <v>0.23</v>
      </c>
      <c r="L77" s="609">
        <v>0.23</v>
      </c>
    </row>
    <row r="78" spans="1:12" customHeight="1" ht="15.6">
      <c r="A78" s="34" t="s">
        <v>608</v>
      </c>
      <c r="B78" s="35">
        <v>0.314</v>
      </c>
      <c r="C78" s="35">
        <v>0.314</v>
      </c>
      <c r="D78" s="35">
        <v>0.24</v>
      </c>
      <c r="E78" s="532">
        <v>0.24</v>
      </c>
      <c r="F78" s="532">
        <v>0.24</v>
      </c>
      <c r="G78" s="532">
        <v>0.24</v>
      </c>
      <c r="H78" s="532">
        <v>0.24</v>
      </c>
      <c r="I78" s="533">
        <v>0.24</v>
      </c>
      <c r="J78" s="609">
        <v>0.24</v>
      </c>
      <c r="K78" s="609">
        <v>0.2781</v>
      </c>
      <c r="L78" s="609">
        <v>0.2781</v>
      </c>
    </row>
    <row r="79" spans="1:12" customHeight="1" ht="15.6">
      <c r="A79" s="34" t="s">
        <v>609</v>
      </c>
      <c r="B79" s="35">
        <v>0</v>
      </c>
      <c r="C79" s="35">
        <v>0</v>
      </c>
      <c r="D79" s="35">
        <v>0.25</v>
      </c>
      <c r="E79" s="532">
        <v>0.25</v>
      </c>
      <c r="F79" s="532">
        <v>0.25</v>
      </c>
      <c r="G79" s="532">
        <v>0.25</v>
      </c>
      <c r="H79" s="532">
        <v>0.25</v>
      </c>
      <c r="I79" s="533">
        <v>0.25</v>
      </c>
      <c r="J79" s="609">
        <v>0.25</v>
      </c>
      <c r="K79" s="609">
        <v>0.25</v>
      </c>
      <c r="L79" s="609">
        <v>0.25</v>
      </c>
    </row>
    <row r="80" spans="1:12" customHeight="1" ht="15.6">
      <c r="A80" s="34" t="s">
        <v>610</v>
      </c>
      <c r="B80" s="35">
        <v>0.25</v>
      </c>
      <c r="C80" s="35">
        <v>0.25</v>
      </c>
      <c r="D80" s="35">
        <v>0.25</v>
      </c>
      <c r="E80" s="532">
        <v>0.25</v>
      </c>
      <c r="F80" s="532">
        <v>0.25</v>
      </c>
      <c r="G80" s="532">
        <v>0.25</v>
      </c>
      <c r="H80" s="532">
        <v>0.25</v>
      </c>
      <c r="I80" s="533">
        <v>0.25</v>
      </c>
      <c r="J80" s="609">
        <v>0.25</v>
      </c>
      <c r="K80" s="609">
        <v>0.25</v>
      </c>
      <c r="L80" s="609">
        <v>0.25</v>
      </c>
    </row>
    <row r="81" spans="1:12" customHeight="1" ht="15.6">
      <c r="A81" s="34" t="s">
        <v>611</v>
      </c>
      <c r="B81" s="35">
        <v>0.3386</v>
      </c>
      <c r="C81" s="35">
        <v>0.3086</v>
      </c>
      <c r="D81" s="35">
        <v>0.3086</v>
      </c>
      <c r="E81" s="532">
        <v>0.3086</v>
      </c>
      <c r="F81" s="532">
        <v>0.3062</v>
      </c>
      <c r="G81" s="532">
        <v>0.3062</v>
      </c>
      <c r="H81" s="532">
        <v>0.3062</v>
      </c>
      <c r="I81" s="533">
        <v>0.232</v>
      </c>
      <c r="J81" s="609">
        <v>0.232</v>
      </c>
      <c r="K81" s="609">
        <v>0.2974</v>
      </c>
      <c r="L81" s="609">
        <v>0.2974</v>
      </c>
    </row>
    <row r="82" spans="1:12" customHeight="1" ht="15.6">
      <c r="A82" s="34" t="s">
        <v>612</v>
      </c>
      <c r="B82" s="35">
        <v>0.2</v>
      </c>
      <c r="C82" s="35">
        <v>0.2</v>
      </c>
      <c r="D82" s="35">
        <v>0.2</v>
      </c>
      <c r="E82" s="532">
        <v>0.2</v>
      </c>
      <c r="F82" s="532">
        <v>0</v>
      </c>
      <c r="G82" s="532">
        <v>0</v>
      </c>
      <c r="H82" s="532">
        <v>0</v>
      </c>
      <c r="I82" s="533">
        <v>0</v>
      </c>
      <c r="J82" s="609">
        <v>0</v>
      </c>
      <c r="K82" s="609">
        <v>0</v>
      </c>
      <c r="L82" s="609">
        <v>0</v>
      </c>
    </row>
    <row r="83" spans="1:12" customHeight="1" ht="15.6">
      <c r="A83" s="34" t="s">
        <v>613</v>
      </c>
      <c r="B83" s="35">
        <v>0.2</v>
      </c>
      <c r="C83" s="35">
        <v>0.2</v>
      </c>
      <c r="D83" s="35">
        <v>0.2</v>
      </c>
      <c r="E83" s="532">
        <v>0.2</v>
      </c>
      <c r="F83" s="532">
        <v>0.2</v>
      </c>
      <c r="G83" s="532">
        <v>0.2</v>
      </c>
      <c r="H83" s="532">
        <v>0.2</v>
      </c>
      <c r="I83" s="533">
        <v>0.2</v>
      </c>
      <c r="J83" s="609">
        <v>0.2</v>
      </c>
      <c r="K83" s="609">
        <v>0.2</v>
      </c>
      <c r="L83" s="609">
        <v>0.2</v>
      </c>
    </row>
    <row r="84" spans="1:12" customHeight="1" ht="15.6">
      <c r="A84" s="34" t="s">
        <v>614</v>
      </c>
      <c r="B84" s="35">
        <v>0.2</v>
      </c>
      <c r="C84" s="35">
        <v>0.2</v>
      </c>
      <c r="D84" s="35">
        <v>0.2</v>
      </c>
      <c r="E84" s="532">
        <v>0.2</v>
      </c>
      <c r="F84" s="532">
        <v>0.2</v>
      </c>
      <c r="G84" s="532">
        <v>0.2</v>
      </c>
      <c r="H84" s="532">
        <v>0.2</v>
      </c>
      <c r="I84" s="533">
        <v>0.2</v>
      </c>
      <c r="J84" s="609">
        <v>0.2</v>
      </c>
      <c r="K84" s="609">
        <v>0.2</v>
      </c>
      <c r="L84" s="609">
        <v>0.2</v>
      </c>
    </row>
    <row r="85" spans="1:12" customHeight="1" ht="15.6">
      <c r="A85" s="34" t="s">
        <v>615</v>
      </c>
      <c r="B85" s="35">
        <v>0.3</v>
      </c>
      <c r="C85" s="35">
        <v>0.3</v>
      </c>
      <c r="D85" s="35">
        <v>0.3</v>
      </c>
      <c r="E85" s="532">
        <v>0.3</v>
      </c>
      <c r="F85" s="532">
        <v>0.3</v>
      </c>
      <c r="G85" s="532">
        <v>0.3</v>
      </c>
      <c r="H85" s="532">
        <v>0.3</v>
      </c>
      <c r="I85" s="533">
        <v>0.3</v>
      </c>
      <c r="J85" s="609">
        <v>0.3</v>
      </c>
      <c r="K85" s="609">
        <v>0.3</v>
      </c>
      <c r="L85" s="609">
        <v>0.3</v>
      </c>
    </row>
    <row r="86" spans="1:12" customHeight="1" ht="15.6">
      <c r="A86" s="34" t="s">
        <v>616</v>
      </c>
      <c r="B86" s="35">
        <v>0.242</v>
      </c>
      <c r="C86" s="35">
        <v>0.242</v>
      </c>
      <c r="D86" s="35">
        <v>0.22</v>
      </c>
      <c r="E86" s="532">
        <v>0.25</v>
      </c>
      <c r="F86" s="532">
        <v>0.25</v>
      </c>
      <c r="G86" s="532">
        <v>0.25</v>
      </c>
      <c r="H86" s="532">
        <v>0.25</v>
      </c>
      <c r="I86" s="533">
        <v>0.25</v>
      </c>
      <c r="J86" s="609">
        <v>0.25</v>
      </c>
      <c r="K86" s="609">
        <v>0.265</v>
      </c>
      <c r="L86" s="609">
        <v>0.265</v>
      </c>
    </row>
    <row r="87" spans="1:12" customHeight="1" ht="15.6">
      <c r="A87" s="34" t="s">
        <v>617</v>
      </c>
      <c r="B87" s="35">
        <v>0.15</v>
      </c>
      <c r="C87" s="35">
        <v>0.15</v>
      </c>
      <c r="D87" s="35">
        <v>0.15</v>
      </c>
      <c r="E87" s="532">
        <v>0.15</v>
      </c>
      <c r="F87" s="532">
        <v>0.15</v>
      </c>
      <c r="G87" s="532">
        <v>0.15</v>
      </c>
      <c r="H87" s="532">
        <v>0.15</v>
      </c>
      <c r="I87" s="533">
        <v>0.15</v>
      </c>
      <c r="J87" s="609">
        <v>0.15</v>
      </c>
      <c r="K87" s="609">
        <v>0.15</v>
      </c>
      <c r="L87" s="609">
        <v>0.15</v>
      </c>
    </row>
    <row r="88" spans="1:12" customHeight="1" ht="15.6">
      <c r="A88" s="34" t="s">
        <v>618</v>
      </c>
      <c r="B88" s="35">
        <v>0</v>
      </c>
      <c r="C88" s="35">
        <v>0</v>
      </c>
      <c r="D88" s="35">
        <v>0.1</v>
      </c>
      <c r="E88" s="532">
        <v>0.1</v>
      </c>
      <c r="F88" s="532">
        <v>0.1</v>
      </c>
      <c r="G88" s="532">
        <v>0.1</v>
      </c>
      <c r="H88" s="532">
        <v>0.1</v>
      </c>
      <c r="I88" s="533">
        <v>0.1</v>
      </c>
      <c r="J88" s="609">
        <v>0.1</v>
      </c>
      <c r="K88" s="609">
        <v>0.1</v>
      </c>
      <c r="L88" s="609">
        <v>0.1</v>
      </c>
    </row>
    <row r="89" spans="1:12" customHeight="1" ht="15.6">
      <c r="A89" s="34" t="s">
        <v>619</v>
      </c>
      <c r="B89" s="35">
        <v>0.15</v>
      </c>
      <c r="C89" s="35">
        <v>0.15</v>
      </c>
      <c r="D89" s="35">
        <v>0.15</v>
      </c>
      <c r="E89" s="532">
        <v>0.2</v>
      </c>
      <c r="F89" s="532">
        <v>0.2</v>
      </c>
      <c r="G89" s="532">
        <v>0.2</v>
      </c>
      <c r="H89" s="532">
        <v>0.2</v>
      </c>
      <c r="I89" s="533">
        <v>0.2</v>
      </c>
      <c r="J89" s="609">
        <v>0.2</v>
      </c>
      <c r="K89" s="609">
        <v>0.2</v>
      </c>
      <c r="L89" s="609">
        <v>0.2</v>
      </c>
    </row>
    <row r="90" spans="1:12" customHeight="1" ht="15.6">
      <c r="A90" s="34" t="s">
        <v>620</v>
      </c>
      <c r="B90" s="35">
        <v>0.15</v>
      </c>
      <c r="C90" s="35">
        <v>0.15</v>
      </c>
      <c r="D90" s="35">
        <v>0.15</v>
      </c>
      <c r="E90" s="532">
        <v>0.15</v>
      </c>
      <c r="F90" s="532">
        <v>0.17</v>
      </c>
      <c r="G90" s="532">
        <v>0.17</v>
      </c>
      <c r="H90" s="532">
        <v>0.17</v>
      </c>
      <c r="I90" s="533">
        <v>0.17</v>
      </c>
      <c r="J90" s="609">
        <v>0.17</v>
      </c>
      <c r="K90" s="609">
        <v>0.17</v>
      </c>
      <c r="L90" s="609">
        <v>0.17</v>
      </c>
    </row>
    <row r="91" spans="1:12" customHeight="1" ht="15.6">
      <c r="A91" s="34" t="s">
        <v>621</v>
      </c>
      <c r="B91" s="35">
        <v>0.2</v>
      </c>
      <c r="C91" s="35">
        <v>0.2</v>
      </c>
      <c r="D91" s="35">
        <v>0.2</v>
      </c>
      <c r="E91" s="532">
        <v>0.2</v>
      </c>
      <c r="F91" s="532">
        <v>0.2</v>
      </c>
      <c r="G91" s="532">
        <v>0.2</v>
      </c>
      <c r="H91" s="532">
        <v>0.2</v>
      </c>
      <c r="I91" s="533">
        <v>0.24</v>
      </c>
      <c r="J91" s="609">
        <v>0.24</v>
      </c>
      <c r="K91" s="609">
        <v>0.2</v>
      </c>
      <c r="L91" s="609">
        <v>0.2</v>
      </c>
    </row>
    <row r="92" spans="1:12" customHeight="1" ht="15.6">
      <c r="A92" s="34" t="s">
        <v>622</v>
      </c>
      <c r="B92" s="35">
        <v>0.125</v>
      </c>
      <c r="C92" s="35">
        <v>0.125</v>
      </c>
      <c r="D92" s="35">
        <v>0.125</v>
      </c>
      <c r="E92" s="532">
        <v>0.125</v>
      </c>
      <c r="F92" s="532">
        <v>0.125</v>
      </c>
      <c r="G92" s="532">
        <v>0.125</v>
      </c>
      <c r="H92" s="532">
        <v>0.125</v>
      </c>
      <c r="I92" s="533">
        <v>0.125</v>
      </c>
      <c r="J92" s="609">
        <v>0.125</v>
      </c>
      <c r="K92" s="609">
        <v>0.125</v>
      </c>
      <c r="L92" s="609">
        <v>0.125</v>
      </c>
    </row>
    <row r="93" spans="1:12" customHeight="1" ht="15.6">
      <c r="A93" s="34" t="s">
        <v>623</v>
      </c>
      <c r="B93" s="35">
        <v>0.15</v>
      </c>
      <c r="C93" s="35">
        <v>0.15</v>
      </c>
      <c r="D93" s="35">
        <v>0.15</v>
      </c>
      <c r="E93" s="532">
        <v>0.15</v>
      </c>
      <c r="F93" s="532">
        <v>0.15</v>
      </c>
      <c r="G93" s="532">
        <v>0.15</v>
      </c>
      <c r="H93" s="532">
        <v>0.15</v>
      </c>
      <c r="I93" s="533">
        <v>0.15</v>
      </c>
      <c r="J93" s="609">
        <v>0.15</v>
      </c>
      <c r="K93" s="609">
        <v>0.15</v>
      </c>
      <c r="L93" s="609">
        <v>0.15</v>
      </c>
    </row>
    <row r="94" spans="1:12" customHeight="1" ht="15.6">
      <c r="A94" s="34" t="s">
        <v>624</v>
      </c>
      <c r="B94" s="35">
        <v>0.2922</v>
      </c>
      <c r="C94" s="35">
        <v>0.2922</v>
      </c>
      <c r="D94" s="35">
        <v>0.2708</v>
      </c>
      <c r="E94" s="532">
        <v>0.2601</v>
      </c>
      <c r="F94" s="532">
        <v>0.2494</v>
      </c>
      <c r="G94" s="532">
        <v>0.2494</v>
      </c>
      <c r="H94" s="532">
        <v>0.2494</v>
      </c>
      <c r="I94" s="533">
        <v>0.2494</v>
      </c>
      <c r="J94" s="609">
        <v>0.2494</v>
      </c>
      <c r="K94" s="609">
        <v>0.2494</v>
      </c>
      <c r="L94" s="609">
        <v>0.2494</v>
      </c>
    </row>
    <row r="95" spans="1:12" customHeight="1" ht="15.6">
      <c r="A95" s="34" t="s">
        <v>625</v>
      </c>
      <c r="B95" s="35">
        <v>0.12</v>
      </c>
      <c r="C95" s="35">
        <v>0.12</v>
      </c>
      <c r="D95" s="35">
        <v>0.12</v>
      </c>
      <c r="E95" s="532">
        <v>0.12</v>
      </c>
      <c r="F95" s="532">
        <v>0.12</v>
      </c>
      <c r="G95" s="532">
        <v>0.12</v>
      </c>
      <c r="H95" s="532">
        <v>0.12</v>
      </c>
      <c r="I95" s="533">
        <v>0.12</v>
      </c>
      <c r="J95" s="609">
        <v>0.12</v>
      </c>
      <c r="K95" s="609">
        <v>0.12</v>
      </c>
      <c r="L95" s="609">
        <v>0.12</v>
      </c>
    </row>
    <row r="96" spans="1:12" customHeight="1" ht="15.6">
      <c r="A96" s="34" t="s">
        <v>626</v>
      </c>
      <c r="B96" s="35">
        <v>0.1</v>
      </c>
      <c r="C96" s="35">
        <v>0.1</v>
      </c>
      <c r="D96" s="35">
        <v>0.1</v>
      </c>
      <c r="E96" s="532">
        <v>0.1</v>
      </c>
      <c r="F96" s="532">
        <v>0.1</v>
      </c>
      <c r="G96" s="532">
        <v>0.1</v>
      </c>
      <c r="H96" s="532">
        <v>0.1</v>
      </c>
      <c r="I96" s="533">
        <v>0.1</v>
      </c>
      <c r="J96" s="609">
        <v>0.1</v>
      </c>
      <c r="K96" s="609">
        <v>0.1</v>
      </c>
      <c r="L96" s="609">
        <v>0.1</v>
      </c>
    </row>
    <row r="97" spans="1:12" customHeight="1" ht="15.6">
      <c r="A97" s="34" t="s">
        <v>627</v>
      </c>
      <c r="B97" s="35">
        <v>0</v>
      </c>
      <c r="C97" s="35">
        <v>0</v>
      </c>
      <c r="D97" s="35">
        <v>0.2</v>
      </c>
      <c r="E97" s="532">
        <v>0.2</v>
      </c>
      <c r="F97" s="532">
        <v>0.2</v>
      </c>
      <c r="G97" s="532">
        <v>0.2</v>
      </c>
      <c r="H97" s="532">
        <v>0.2</v>
      </c>
      <c r="I97" s="533">
        <v>0.2</v>
      </c>
      <c r="J97" s="609">
        <v>0.2</v>
      </c>
      <c r="K97" s="609">
        <v>0.2</v>
      </c>
      <c r="L97" s="609">
        <v>0.2</v>
      </c>
    </row>
    <row r="98" spans="1:12" customHeight="1" ht="15.6">
      <c r="A98" s="34" t="s">
        <v>628</v>
      </c>
      <c r="B98" s="35">
        <v>0.3</v>
      </c>
      <c r="C98" s="35">
        <v>0.3</v>
      </c>
      <c r="D98" s="35">
        <v>0.3</v>
      </c>
      <c r="E98" s="532">
        <v>0.3</v>
      </c>
      <c r="F98" s="532">
        <v>0.3</v>
      </c>
      <c r="G98" s="532">
        <v>0.3</v>
      </c>
      <c r="H98" s="532">
        <v>0.3</v>
      </c>
      <c r="I98" s="533">
        <v>0.3</v>
      </c>
      <c r="J98" s="609">
        <v>0.3</v>
      </c>
      <c r="K98" s="609">
        <v>0.3</v>
      </c>
      <c r="L98" s="609">
        <v>0.3</v>
      </c>
    </row>
    <row r="99" spans="1:12" customHeight="1" ht="15.6">
      <c r="A99" s="34" t="s">
        <v>629</v>
      </c>
      <c r="B99" s="35">
        <v>0.24</v>
      </c>
      <c r="C99" s="35">
        <v>0.24</v>
      </c>
      <c r="D99" s="35">
        <v>0.24</v>
      </c>
      <c r="E99" s="532">
        <v>0.24</v>
      </c>
      <c r="F99" s="532">
        <v>0.24</v>
      </c>
      <c r="G99" s="532">
        <v>0.24</v>
      </c>
      <c r="H99" s="532">
        <v>0.24</v>
      </c>
      <c r="I99" s="533">
        <v>0.24</v>
      </c>
      <c r="J99" s="609">
        <v>0.24</v>
      </c>
      <c r="K99" s="609">
        <v>0.24</v>
      </c>
      <c r="L99" s="609">
        <v>0.24</v>
      </c>
    </row>
    <row r="100" spans="1:12" customHeight="1" ht="15.6">
      <c r="A100" s="34" t="s">
        <v>630</v>
      </c>
      <c r="B100" s="35">
        <v>0.35</v>
      </c>
      <c r="C100" s="35">
        <v>0.35</v>
      </c>
      <c r="D100" s="35">
        <v>0.35</v>
      </c>
      <c r="E100" s="532">
        <v>0.35</v>
      </c>
      <c r="F100" s="532">
        <v>0.35</v>
      </c>
      <c r="G100" s="532">
        <v>0.35</v>
      </c>
      <c r="H100" s="532">
        <v>0.35</v>
      </c>
      <c r="I100" s="533">
        <v>0.35</v>
      </c>
      <c r="J100" s="609">
        <v>0.35</v>
      </c>
      <c r="K100" s="609">
        <v>0.35</v>
      </c>
      <c r="L100" s="609">
        <v>0.35</v>
      </c>
    </row>
    <row r="101" spans="1:12" customHeight="1" ht="15.6">
      <c r="A101" s="34" t="s">
        <v>631</v>
      </c>
      <c r="B101" s="35">
        <v>0.15</v>
      </c>
      <c r="C101" s="35">
        <v>0.15</v>
      </c>
      <c r="D101" s="35">
        <v>0.15</v>
      </c>
      <c r="E101" s="532">
        <v>0.15</v>
      </c>
      <c r="F101" s="532">
        <v>0.15</v>
      </c>
      <c r="G101" s="532">
        <v>0.15</v>
      </c>
      <c r="H101" s="532">
        <v>0.15</v>
      </c>
      <c r="I101" s="533">
        <v>0.15</v>
      </c>
      <c r="J101" s="609">
        <v>0.15</v>
      </c>
      <c r="K101" s="609">
        <v>0.15</v>
      </c>
      <c r="L101" s="609">
        <v>0.15</v>
      </c>
    </row>
    <row r="102" spans="1:12" customHeight="1" ht="15.6">
      <c r="A102" s="34" t="s">
        <v>497</v>
      </c>
      <c r="B102" s="35">
        <v>0.3</v>
      </c>
      <c r="C102" s="35">
        <v>0.3</v>
      </c>
      <c r="D102" s="35">
        <v>0.3</v>
      </c>
      <c r="E102" s="532">
        <v>0.3</v>
      </c>
      <c r="F102" s="532">
        <v>0.3</v>
      </c>
      <c r="G102" s="532">
        <v>0.3</v>
      </c>
      <c r="H102" s="532">
        <v>0.3</v>
      </c>
      <c r="I102" s="533">
        <v>0.3</v>
      </c>
      <c r="J102" s="609">
        <v>0.3</v>
      </c>
      <c r="K102" s="609">
        <v>0.3</v>
      </c>
      <c r="L102" s="609">
        <v>0.3</v>
      </c>
    </row>
    <row r="103" spans="1:12" customHeight="1" ht="15.6">
      <c r="A103" s="34" t="s">
        <v>632</v>
      </c>
      <c r="B103" s="35">
        <v>0.12</v>
      </c>
      <c r="C103" s="35">
        <v>0.12</v>
      </c>
      <c r="D103" s="35">
        <v>0.12</v>
      </c>
      <c r="E103" s="532">
        <v>0.12</v>
      </c>
      <c r="F103" s="532">
        <v>0.12</v>
      </c>
      <c r="G103" s="532">
        <v>0.12</v>
      </c>
      <c r="H103" s="532">
        <v>0.12</v>
      </c>
      <c r="I103" s="533">
        <v>0.12</v>
      </c>
      <c r="J103" s="609">
        <v>0.12</v>
      </c>
      <c r="K103" s="609">
        <v>0.12</v>
      </c>
      <c r="L103" s="609">
        <v>0.12</v>
      </c>
    </row>
    <row r="104" spans="1:12" customHeight="1" ht="15.6">
      <c r="A104" s="34" t="s">
        <v>633</v>
      </c>
      <c r="B104" s="35">
        <v>0</v>
      </c>
      <c r="C104" s="35">
        <v>0</v>
      </c>
      <c r="D104" s="35">
        <v>0.3333</v>
      </c>
      <c r="E104" s="532">
        <v>0.33</v>
      </c>
      <c r="F104" s="532">
        <v>0.33</v>
      </c>
      <c r="G104" s="532">
        <v>0.33</v>
      </c>
      <c r="H104" s="532">
        <v>0.33</v>
      </c>
      <c r="I104" s="533">
        <v>0.33</v>
      </c>
      <c r="J104" s="609">
        <v>0.33</v>
      </c>
      <c r="K104" s="609">
        <v>0.25</v>
      </c>
      <c r="L104" s="609">
        <v>0.25</v>
      </c>
    </row>
    <row r="105" spans="1:12" customHeight="1" ht="15.6">
      <c r="A105" s="34" t="s">
        <v>634</v>
      </c>
      <c r="B105" s="35">
        <v>0</v>
      </c>
      <c r="C105" s="35">
        <v>0</v>
      </c>
      <c r="D105" s="35">
        <v>0.25</v>
      </c>
      <c r="E105" s="532">
        <v>0.25</v>
      </c>
      <c r="F105" s="532">
        <v>0.25</v>
      </c>
      <c r="G105" s="532">
        <v>0.25</v>
      </c>
      <c r="H105" s="532">
        <v>0.25</v>
      </c>
      <c r="I105" s="533">
        <v>0.25</v>
      </c>
      <c r="J105" s="609">
        <v>0.25</v>
      </c>
      <c r="K105" s="609">
        <v>0.25</v>
      </c>
      <c r="L105" s="609">
        <v>0.25</v>
      </c>
    </row>
    <row r="106" spans="1:12" customHeight="1" ht="15.6">
      <c r="A106" s="34" t="s">
        <v>635</v>
      </c>
      <c r="B106" s="35">
        <v>0.09</v>
      </c>
      <c r="C106" s="35">
        <v>0.09</v>
      </c>
      <c r="D106" s="35">
        <v>0.09</v>
      </c>
      <c r="E106" s="532">
        <v>0.09</v>
      </c>
      <c r="F106" s="532">
        <v>0.09</v>
      </c>
      <c r="G106" s="532">
        <v>0.09</v>
      </c>
      <c r="H106" s="532">
        <v>0.09</v>
      </c>
      <c r="I106" s="533">
        <v>0.15</v>
      </c>
      <c r="J106" s="609">
        <v>0.15</v>
      </c>
      <c r="K106" s="609">
        <v>0.15</v>
      </c>
      <c r="L106" s="609">
        <v>0.15</v>
      </c>
    </row>
    <row r="107" spans="1:12" customHeight="1" ht="15.6">
      <c r="A107" s="34" t="s">
        <v>636</v>
      </c>
      <c r="B107" s="35">
        <v>0.31</v>
      </c>
      <c r="C107" s="35">
        <v>0.31</v>
      </c>
      <c r="D107" s="35">
        <v>0.31</v>
      </c>
      <c r="E107" s="532">
        <v>0.31</v>
      </c>
      <c r="F107" s="532">
        <v>0.31</v>
      </c>
      <c r="G107" s="532">
        <v>0.31</v>
      </c>
      <c r="H107" s="532">
        <v>0.31</v>
      </c>
      <c r="I107" s="533">
        <v>0.31</v>
      </c>
      <c r="J107" s="609">
        <v>0.31</v>
      </c>
      <c r="K107" s="609">
        <v>0.32</v>
      </c>
      <c r="L107" s="609">
        <v>0.32</v>
      </c>
    </row>
    <row r="108" spans="1:12" customHeight="1" ht="15.6">
      <c r="A108" s="34" t="s">
        <v>637</v>
      </c>
      <c r="B108" s="35">
        <v>0.32</v>
      </c>
      <c r="C108" s="35">
        <v>0.32</v>
      </c>
      <c r="D108" s="35">
        <v>0.32</v>
      </c>
      <c r="E108" s="532">
        <v>0.32</v>
      </c>
      <c r="F108" s="532">
        <v>0.32</v>
      </c>
      <c r="G108" s="532">
        <v>0.32</v>
      </c>
      <c r="H108" s="532">
        <v>0.32</v>
      </c>
      <c r="I108" s="533">
        <v>0.32</v>
      </c>
      <c r="J108" s="609">
        <v>0.32</v>
      </c>
      <c r="K108" s="609">
        <v>0.32</v>
      </c>
      <c r="L108" s="609">
        <v>0.32</v>
      </c>
    </row>
    <row r="109" spans="1:12" customHeight="1" ht="15.6">
      <c r="A109" s="34" t="s">
        <v>638</v>
      </c>
      <c r="B109" s="35">
        <v>0</v>
      </c>
      <c r="C109" s="35">
        <v>0</v>
      </c>
      <c r="D109" s="35">
        <v>0.25</v>
      </c>
      <c r="E109" s="532">
        <v>0.25</v>
      </c>
      <c r="F109" s="532">
        <v>0.25</v>
      </c>
      <c r="G109" s="532">
        <v>0.25</v>
      </c>
      <c r="H109" s="532">
        <v>0.25</v>
      </c>
      <c r="I109" s="533">
        <v>0.22</v>
      </c>
      <c r="J109" s="609">
        <v>0.22</v>
      </c>
      <c r="K109" s="609">
        <v>0.22</v>
      </c>
      <c r="L109" s="609">
        <v>0.22</v>
      </c>
    </row>
    <row r="110" spans="1:12" customHeight="1" ht="15.6">
      <c r="A110" s="34" t="s">
        <v>639</v>
      </c>
      <c r="B110" s="35">
        <v>0.33</v>
      </c>
      <c r="C110" s="35">
        <v>0.32</v>
      </c>
      <c r="D110" s="35">
        <v>0.32</v>
      </c>
      <c r="E110" s="532">
        <v>0.32</v>
      </c>
      <c r="F110" s="532">
        <v>0.32</v>
      </c>
      <c r="G110" s="532">
        <v>0.32</v>
      </c>
      <c r="H110" s="532">
        <v>0.32</v>
      </c>
      <c r="I110" s="533">
        <v>0.32</v>
      </c>
      <c r="J110" s="609">
        <v>0.32</v>
      </c>
      <c r="K110" s="609">
        <v>0.32</v>
      </c>
      <c r="L110" s="609">
        <v>0.32</v>
      </c>
    </row>
    <row r="111" spans="1:12" customHeight="1" ht="15.6">
      <c r="A111" s="34" t="s">
        <v>640</v>
      </c>
      <c r="B111" s="35">
        <v>0.25</v>
      </c>
      <c r="C111" s="35">
        <v>0.25</v>
      </c>
      <c r="D111" s="35">
        <v>0.25</v>
      </c>
      <c r="E111" s="532">
        <v>0.25</v>
      </c>
      <c r="F111" s="532">
        <v>0.25</v>
      </c>
      <c r="G111" s="532">
        <v>0.25</v>
      </c>
      <c r="H111" s="532">
        <v>0.25</v>
      </c>
      <c r="I111" s="533">
        <v>0.258</v>
      </c>
      <c r="J111" s="609">
        <v>0.258</v>
      </c>
      <c r="K111" s="609">
        <v>0.258</v>
      </c>
      <c r="L111" s="609">
        <v>0.258</v>
      </c>
    </row>
    <row r="112" spans="1:12" customHeight="1" ht="15.6">
      <c r="A112" s="34" t="s">
        <v>641</v>
      </c>
      <c r="B112" s="35">
        <v>0.28</v>
      </c>
      <c r="C112" s="35">
        <v>0.28</v>
      </c>
      <c r="D112" s="35">
        <v>0.28</v>
      </c>
      <c r="E112" s="532">
        <v>0.28</v>
      </c>
      <c r="F112" s="532">
        <v>0.28</v>
      </c>
      <c r="G112" s="532">
        <v>0.28</v>
      </c>
      <c r="H112" s="532">
        <v>0.28</v>
      </c>
      <c r="I112" s="533">
        <v>0.28</v>
      </c>
      <c r="J112" s="609">
        <v>0.28</v>
      </c>
      <c r="K112" s="609">
        <v>0.28</v>
      </c>
      <c r="L112" s="609">
        <v>0.28</v>
      </c>
    </row>
    <row r="113" spans="1:12" customHeight="1" ht="15.6">
      <c r="A113" s="34" t="s">
        <v>642</v>
      </c>
      <c r="B113" s="35">
        <v>0</v>
      </c>
      <c r="C113" s="35">
        <v>0</v>
      </c>
      <c r="D113" s="35">
        <v>0.3</v>
      </c>
      <c r="E113" s="532">
        <v>0.3</v>
      </c>
      <c r="F113" s="532">
        <v>0.3</v>
      </c>
      <c r="G113" s="532">
        <v>0.3</v>
      </c>
      <c r="H113" s="532">
        <v>0.3</v>
      </c>
      <c r="I113" s="533">
        <v>0.3</v>
      </c>
      <c r="J113" s="609">
        <v>0.3</v>
      </c>
      <c r="K113" s="609">
        <v>0.3</v>
      </c>
      <c r="L113" s="609">
        <v>0.3</v>
      </c>
    </row>
    <row r="114" spans="1:12" customHeight="1" ht="15.6">
      <c r="A114" s="34" t="s">
        <v>643</v>
      </c>
      <c r="B114" s="35">
        <v>0.3</v>
      </c>
      <c r="C114" s="35">
        <v>0.3</v>
      </c>
      <c r="D114" s="35">
        <v>0.3</v>
      </c>
      <c r="E114" s="532">
        <v>0.3</v>
      </c>
      <c r="F114" s="532">
        <v>0.3</v>
      </c>
      <c r="G114" s="532">
        <v>0.3</v>
      </c>
      <c r="H114" s="532">
        <v>0.3</v>
      </c>
      <c r="I114" s="533">
        <v>0.3</v>
      </c>
      <c r="J114" s="609">
        <v>0.3</v>
      </c>
      <c r="K114" s="609">
        <v>0.3</v>
      </c>
      <c r="L114" s="609">
        <v>0.3</v>
      </c>
    </row>
    <row r="115" spans="1:12" customHeight="1" ht="15.6">
      <c r="A115" s="34" t="s">
        <v>644</v>
      </c>
      <c r="B115" s="35">
        <v>0.27</v>
      </c>
      <c r="C115" s="35">
        <v>0.25</v>
      </c>
      <c r="D115" s="35">
        <v>0.24</v>
      </c>
      <c r="E115" s="532">
        <v>0.23</v>
      </c>
      <c r="F115" s="532">
        <v>0.22</v>
      </c>
      <c r="G115" s="532">
        <v>0.22</v>
      </c>
      <c r="H115" s="532">
        <v>0.22</v>
      </c>
      <c r="I115" s="533">
        <v>0.22</v>
      </c>
      <c r="J115" s="609">
        <v>0.22</v>
      </c>
      <c r="K115" s="609">
        <v>0.22</v>
      </c>
      <c r="L115" s="609">
        <v>0.22</v>
      </c>
    </row>
    <row r="116" spans="1:12" customHeight="1" ht="15.6">
      <c r="A116" s="34" t="s">
        <v>645</v>
      </c>
      <c r="B116" s="35">
        <v>0.12</v>
      </c>
      <c r="C116" s="35">
        <v>0.12</v>
      </c>
      <c r="D116" s="35">
        <v>0.15</v>
      </c>
      <c r="E116" s="532">
        <v>0.15</v>
      </c>
      <c r="F116" s="532">
        <v>0.15</v>
      </c>
      <c r="G116" s="532">
        <v>0.15</v>
      </c>
      <c r="H116" s="532">
        <v>0.15</v>
      </c>
      <c r="I116" s="533">
        <v>0.15</v>
      </c>
      <c r="J116" s="609">
        <v>0.15</v>
      </c>
      <c r="K116" s="609">
        <v>0.15</v>
      </c>
      <c r="L116" s="609">
        <v>0.15</v>
      </c>
    </row>
    <row r="117" spans="1:12" customHeight="1" ht="15.6">
      <c r="A117" s="34" t="s">
        <v>646</v>
      </c>
      <c r="B117" s="35">
        <v>0.33</v>
      </c>
      <c r="C117" s="35">
        <v>0.32</v>
      </c>
      <c r="D117" s="35">
        <v>0.31</v>
      </c>
      <c r="E117" s="532">
        <v>0.3</v>
      </c>
      <c r="F117" s="532">
        <v>0.3</v>
      </c>
      <c r="G117" s="532">
        <v>0.35</v>
      </c>
      <c r="H117" s="532">
        <v>0.29</v>
      </c>
      <c r="I117" s="533">
        <v>0.29</v>
      </c>
      <c r="J117" s="609">
        <v>0.29</v>
      </c>
      <c r="K117" s="609">
        <v>0.29</v>
      </c>
      <c r="L117" s="609">
        <v>0.29</v>
      </c>
    </row>
    <row r="118" spans="1:12" customHeight="1" ht="15.6">
      <c r="A118" s="34" t="s">
        <v>647</v>
      </c>
      <c r="B118" s="35">
        <v>0</v>
      </c>
      <c r="C118" s="35">
        <v>0</v>
      </c>
      <c r="D118" s="35">
        <v>0.15</v>
      </c>
      <c r="E118" s="532">
        <v>0.15</v>
      </c>
      <c r="F118" s="532">
        <v>0.15</v>
      </c>
      <c r="G118" s="532">
        <v>0.15</v>
      </c>
      <c r="H118" s="532">
        <v>0.15</v>
      </c>
      <c r="I118" s="533">
        <v>0.15</v>
      </c>
      <c r="J118" s="609">
        <v>0.15</v>
      </c>
      <c r="K118" s="609">
        <v>0.15</v>
      </c>
      <c r="L118" s="609">
        <v>0.15</v>
      </c>
    </row>
    <row r="119" spans="1:12" customHeight="1" ht="15.6">
      <c r="A119" s="34" t="s">
        <v>648</v>
      </c>
      <c r="B119" s="35">
        <v>0.25</v>
      </c>
      <c r="C119" s="35">
        <v>0.25</v>
      </c>
      <c r="D119" s="35">
        <v>0.25</v>
      </c>
      <c r="E119" s="532">
        <v>0.25</v>
      </c>
      <c r="F119" s="532">
        <v>0.25</v>
      </c>
      <c r="G119" s="532">
        <v>0.25</v>
      </c>
      <c r="H119" s="532">
        <v>0.25</v>
      </c>
      <c r="I119" s="533">
        <v>0.25</v>
      </c>
      <c r="J119" s="609">
        <v>0.25</v>
      </c>
      <c r="K119" s="609">
        <v>0.25</v>
      </c>
      <c r="L119" s="609">
        <v>0.25</v>
      </c>
    </row>
    <row r="120" spans="1:12" customHeight="1" ht="15.6">
      <c r="A120" s="34" t="s">
        <v>649</v>
      </c>
      <c r="B120" s="35">
        <v>0.3</v>
      </c>
      <c r="C120" s="35">
        <v>0.3</v>
      </c>
      <c r="D120" s="35">
        <v>0.3</v>
      </c>
      <c r="E120" s="532">
        <v>0.3</v>
      </c>
      <c r="F120" s="532">
        <v>0.3</v>
      </c>
      <c r="G120" s="532">
        <v>0.3</v>
      </c>
      <c r="H120" s="532">
        <v>0.3</v>
      </c>
      <c r="I120" s="533">
        <v>0.3</v>
      </c>
      <c r="J120" s="609">
        <v>0.3</v>
      </c>
      <c r="K120" s="609">
        <v>0.3</v>
      </c>
      <c r="L120" s="609">
        <v>0.3</v>
      </c>
    </row>
    <row r="121" spans="1:12" customHeight="1" ht="15.6">
      <c r="A121" s="34" t="s">
        <v>650</v>
      </c>
      <c r="B121" s="35">
        <v>0.1</v>
      </c>
      <c r="C121" s="35">
        <v>0.1</v>
      </c>
      <c r="D121" s="35">
        <v>0.1</v>
      </c>
      <c r="E121" s="532">
        <v>0.1</v>
      </c>
      <c r="F121" s="532">
        <v>0.1</v>
      </c>
      <c r="G121" s="532">
        <v>0.1</v>
      </c>
      <c r="H121" s="532">
        <v>0.1</v>
      </c>
      <c r="I121" s="533">
        <v>0.1</v>
      </c>
      <c r="J121" s="609">
        <v>0.1</v>
      </c>
      <c r="K121" s="609">
        <v>0.1</v>
      </c>
      <c r="L121" s="609">
        <v>0.1</v>
      </c>
    </row>
    <row r="122" spans="1:12" customHeight="1" ht="15.6">
      <c r="A122" s="34" t="s">
        <v>2</v>
      </c>
      <c r="B122" s="35">
        <v>0.28</v>
      </c>
      <c r="C122" s="35">
        <v>0.28</v>
      </c>
      <c r="D122" s="35">
        <v>0.295</v>
      </c>
      <c r="E122" s="532">
        <v>0.295</v>
      </c>
      <c r="F122" s="532">
        <v>0.295</v>
      </c>
      <c r="G122" s="532">
        <v>0.295</v>
      </c>
      <c r="H122" s="532">
        <v>0.295</v>
      </c>
      <c r="I122" s="533">
        <v>0.295</v>
      </c>
      <c r="J122" s="609">
        <v>0.295</v>
      </c>
      <c r="K122" s="609">
        <v>0.295</v>
      </c>
      <c r="L122" s="609">
        <v>0.295</v>
      </c>
    </row>
    <row r="123" spans="1:12" customHeight="1" ht="15.6">
      <c r="A123" s="34" t="s">
        <v>651</v>
      </c>
      <c r="B123" s="35">
        <v>0.3</v>
      </c>
      <c r="C123" s="35">
        <v>0.3</v>
      </c>
      <c r="D123" s="35">
        <v>0.3</v>
      </c>
      <c r="E123" s="532">
        <v>0.3</v>
      </c>
      <c r="F123" s="532">
        <v>0.3</v>
      </c>
      <c r="G123" s="532">
        <v>0.3</v>
      </c>
      <c r="H123" s="532">
        <v>0.3</v>
      </c>
      <c r="I123" s="533">
        <v>0.25</v>
      </c>
      <c r="J123" s="609">
        <v>0.25</v>
      </c>
      <c r="K123" s="609">
        <v>0.25</v>
      </c>
      <c r="L123" s="609">
        <v>0.25</v>
      </c>
    </row>
    <row r="124" spans="1:12" customHeight="1" ht="15.6">
      <c r="A124" s="34" t="s">
        <v>652</v>
      </c>
      <c r="B124" s="35">
        <v>0.19</v>
      </c>
      <c r="C124" s="35">
        <v>0.19</v>
      </c>
      <c r="D124" s="35">
        <v>0.19</v>
      </c>
      <c r="E124" s="532">
        <v>0.19</v>
      </c>
      <c r="F124" s="532">
        <v>0.19</v>
      </c>
      <c r="G124" s="532">
        <v>0.19</v>
      </c>
      <c r="H124" s="532">
        <v>0.19</v>
      </c>
      <c r="I124" s="533">
        <v>0.19</v>
      </c>
      <c r="J124" s="609">
        <v>0.19</v>
      </c>
      <c r="K124" s="609">
        <v>0.19</v>
      </c>
      <c r="L124" s="609">
        <v>0.19</v>
      </c>
    </row>
    <row r="125" spans="1:12" customHeight="1" ht="15.6">
      <c r="A125" s="34" t="s">
        <v>653</v>
      </c>
      <c r="B125" s="35">
        <v>0.21</v>
      </c>
      <c r="C125" s="35">
        <v>0.21</v>
      </c>
      <c r="D125" s="35">
        <v>0.21</v>
      </c>
      <c r="E125" s="532">
        <v>0.21</v>
      </c>
      <c r="F125" s="532">
        <v>0.21</v>
      </c>
      <c r="G125" s="532">
        <v>0.21</v>
      </c>
      <c r="H125" s="532">
        <v>0.21</v>
      </c>
      <c r="I125" s="533">
        <v>0.21</v>
      </c>
      <c r="J125" s="609">
        <v>0.21</v>
      </c>
      <c r="K125" s="609">
        <v>0.315</v>
      </c>
      <c r="L125" s="609">
        <v>0.315</v>
      </c>
    </row>
    <row r="126" spans="1:12" customHeight="1" ht="15.6">
      <c r="A126" s="34" t="s">
        <v>654</v>
      </c>
      <c r="B126" s="35">
        <v>0.1</v>
      </c>
      <c r="C126" s="35">
        <v>0</v>
      </c>
      <c r="D126" s="35">
        <v>0.1</v>
      </c>
      <c r="E126" s="532">
        <v>0.1</v>
      </c>
      <c r="F126" s="532">
        <v>0.1</v>
      </c>
      <c r="G126" s="532">
        <v>0.1</v>
      </c>
      <c r="H126" s="532">
        <v>0.1</v>
      </c>
      <c r="I126" s="533">
        <v>0.1</v>
      </c>
      <c r="J126" s="609">
        <v>0.1</v>
      </c>
      <c r="K126" s="609">
        <v>0.1</v>
      </c>
      <c r="L126" s="609">
        <v>0.1</v>
      </c>
    </row>
    <row r="127" spans="1:12" customHeight="1" ht="15.6">
      <c r="A127" s="34" t="s">
        <v>655</v>
      </c>
      <c r="B127" s="35">
        <v>0.16</v>
      </c>
      <c r="C127" s="35">
        <v>0.16</v>
      </c>
      <c r="D127" s="35">
        <v>0.16</v>
      </c>
      <c r="E127" s="532">
        <v>0.16</v>
      </c>
      <c r="F127" s="532">
        <v>0.16</v>
      </c>
      <c r="G127" s="532">
        <v>0.16</v>
      </c>
      <c r="H127" s="532">
        <v>0.16</v>
      </c>
      <c r="I127" s="533">
        <v>0.16</v>
      </c>
      <c r="J127" s="609">
        <v>0.16</v>
      </c>
      <c r="K127" s="609">
        <v>0.16</v>
      </c>
      <c r="L127" s="609">
        <v>0.16</v>
      </c>
    </row>
    <row r="128" spans="1:12" customHeight="1" ht="15.6">
      <c r="A128" s="34" t="s">
        <v>656</v>
      </c>
      <c r="B128" s="35">
        <v>0.2</v>
      </c>
      <c r="C128" s="35">
        <v>0.2</v>
      </c>
      <c r="D128" s="35">
        <v>0.2</v>
      </c>
      <c r="E128" s="532">
        <v>0.2</v>
      </c>
      <c r="F128" s="532">
        <v>0.2</v>
      </c>
      <c r="G128" s="532">
        <v>0.2</v>
      </c>
      <c r="H128" s="532">
        <v>0.2</v>
      </c>
      <c r="I128" s="533">
        <v>0.2</v>
      </c>
      <c r="J128" s="609">
        <v>0.2</v>
      </c>
      <c r="K128" s="609">
        <v>0.2</v>
      </c>
      <c r="L128" s="609">
        <v>0.2</v>
      </c>
    </row>
    <row r="129" spans="1:12" customHeight="1" ht="15.6">
      <c r="A129" s="34" t="s">
        <v>657</v>
      </c>
      <c r="B129" s="35">
        <v>0</v>
      </c>
      <c r="C129" s="35">
        <v>0</v>
      </c>
      <c r="D129" s="35">
        <v>0.3</v>
      </c>
      <c r="E129" s="532">
        <v>0.3</v>
      </c>
      <c r="F129" s="532">
        <v>0.3</v>
      </c>
      <c r="G129" s="532">
        <v>0.3</v>
      </c>
      <c r="H129" s="532">
        <v>0.3</v>
      </c>
      <c r="I129" s="533">
        <v>0.3</v>
      </c>
      <c r="J129" s="609">
        <v>0.3</v>
      </c>
      <c r="K129" s="609">
        <v>0.3</v>
      </c>
      <c r="L129" s="609">
        <v>0.3</v>
      </c>
    </row>
    <row r="130" spans="1:12" customHeight="1" ht="15.6">
      <c r="A130" s="34" t="s">
        <v>658</v>
      </c>
      <c r="B130" s="35">
        <v>0</v>
      </c>
      <c r="C130" s="35">
        <v>0</v>
      </c>
      <c r="D130" s="35">
        <v>0.33</v>
      </c>
      <c r="E130" s="532">
        <v>0.33</v>
      </c>
      <c r="F130" s="532">
        <v>0.33</v>
      </c>
      <c r="G130" s="532">
        <v>0.33</v>
      </c>
      <c r="H130" s="532">
        <v>0.33</v>
      </c>
      <c r="I130" s="533">
        <v>0.33</v>
      </c>
      <c r="J130" s="609">
        <v>0.33</v>
      </c>
      <c r="K130" s="609">
        <v>0.33</v>
      </c>
      <c r="L130" s="609">
        <v>0.33</v>
      </c>
    </row>
    <row r="131" spans="1:12" customHeight="1" ht="15.6">
      <c r="A131" s="34" t="s">
        <v>659</v>
      </c>
      <c r="B131" s="35">
        <v>0</v>
      </c>
      <c r="C131" s="35">
        <v>0</v>
      </c>
      <c r="D131" s="35">
        <v>0.3</v>
      </c>
      <c r="E131" s="532">
        <v>0.3</v>
      </c>
      <c r="F131" s="532">
        <v>0.3</v>
      </c>
      <c r="G131" s="532">
        <v>0.3</v>
      </c>
      <c r="H131" s="532">
        <v>0.3</v>
      </c>
      <c r="I131" s="533">
        <v>0.3</v>
      </c>
      <c r="J131" s="609">
        <v>0.3</v>
      </c>
      <c r="K131" s="609">
        <v>0.3</v>
      </c>
      <c r="L131" s="609">
        <v>0.3</v>
      </c>
    </row>
    <row r="132" spans="1:12" customHeight="1" ht="15.6">
      <c r="A132" s="34" t="s">
        <v>660</v>
      </c>
      <c r="B132" s="35">
        <v>0</v>
      </c>
      <c r="C132" s="35">
        <v>0</v>
      </c>
      <c r="D132" s="35">
        <v>0.325</v>
      </c>
      <c r="E132" s="532">
        <v>0.33</v>
      </c>
      <c r="F132" s="532">
        <v>0.3</v>
      </c>
      <c r="G132" s="532">
        <v>0.3</v>
      </c>
      <c r="H132" s="532">
        <v>0.3</v>
      </c>
      <c r="I132" s="533">
        <v>0.3</v>
      </c>
      <c r="J132" s="609">
        <v>0.3</v>
      </c>
      <c r="K132" s="609">
        <v>0.28</v>
      </c>
      <c r="L132" s="609">
        <v>0.28</v>
      </c>
    </row>
    <row r="133" spans="1:12" customHeight="1" ht="15.6">
      <c r="A133" s="34" t="s">
        <v>661</v>
      </c>
      <c r="B133" s="35">
        <v>0.27</v>
      </c>
      <c r="C133" s="35">
        <v>0.27</v>
      </c>
      <c r="D133" s="35">
        <v>0.27</v>
      </c>
      <c r="E133" s="532">
        <v>0.27</v>
      </c>
      <c r="F133" s="532">
        <v>0.27</v>
      </c>
      <c r="G133" s="532">
        <v>0.27</v>
      </c>
      <c r="H133" s="532">
        <v>0.27</v>
      </c>
      <c r="I133" s="533">
        <v>0.27</v>
      </c>
      <c r="J133" s="609">
        <v>0.27</v>
      </c>
      <c r="K133" s="609">
        <v>0.27</v>
      </c>
      <c r="L133" s="609">
        <v>0.27</v>
      </c>
    </row>
    <row r="134" spans="1:12" customHeight="1" ht="15.6">
      <c r="A134" s="34" t="s">
        <v>662</v>
      </c>
      <c r="B134" s="35">
        <v>0.2</v>
      </c>
      <c r="C134" s="35">
        <v>0.2</v>
      </c>
      <c r="D134" s="35">
        <v>0.2</v>
      </c>
      <c r="E134" s="532">
        <v>0.2</v>
      </c>
      <c r="F134" s="532">
        <v>0.2</v>
      </c>
      <c r="G134" s="532">
        <v>0.2</v>
      </c>
      <c r="H134" s="532">
        <v>0.2</v>
      </c>
      <c r="I134" s="533">
        <v>0.2</v>
      </c>
      <c r="J134" s="609">
        <v>0.2</v>
      </c>
      <c r="K134" s="609">
        <v>0.2</v>
      </c>
      <c r="L134" s="609">
        <v>0.2</v>
      </c>
    </row>
    <row r="135" spans="1:12" customHeight="1" ht="15.6">
      <c r="A135" s="34" t="s">
        <v>663</v>
      </c>
      <c r="B135" s="35">
        <v>0</v>
      </c>
      <c r="C135" s="35">
        <v>0</v>
      </c>
      <c r="D135" s="35">
        <v>0.3</v>
      </c>
      <c r="E135" s="532">
        <v>0.3</v>
      </c>
      <c r="F135" s="532">
        <v>0.3</v>
      </c>
      <c r="G135" s="532">
        <v>0.3</v>
      </c>
      <c r="H135" s="532">
        <v>0.3</v>
      </c>
      <c r="I135" s="533">
        <v>0.3</v>
      </c>
      <c r="J135" s="609">
        <v>0.3</v>
      </c>
      <c r="K135" s="609">
        <v>0.3</v>
      </c>
      <c r="L135" s="609">
        <v>0.3</v>
      </c>
    </row>
    <row r="136" spans="1:12" customHeight="1" ht="15.6">
      <c r="A136" s="34" t="s">
        <v>664</v>
      </c>
      <c r="B136" s="35">
        <v>0.15</v>
      </c>
      <c r="C136" s="35">
        <v>0.15</v>
      </c>
      <c r="D136" s="35">
        <v>0.15</v>
      </c>
      <c r="E136" s="532">
        <v>0.15</v>
      </c>
      <c r="F136" s="532">
        <v>0.15</v>
      </c>
      <c r="G136" s="532">
        <v>0.15</v>
      </c>
      <c r="H136" s="532">
        <v>0.15</v>
      </c>
      <c r="I136" s="533">
        <v>0.15</v>
      </c>
      <c r="J136" s="609">
        <v>0.15</v>
      </c>
      <c r="K136" s="609">
        <v>0.15</v>
      </c>
      <c r="L136" s="609">
        <v>0.15</v>
      </c>
    </row>
    <row r="137" spans="1:12" customHeight="1" ht="15.6">
      <c r="A137" s="34" t="s">
        <v>665</v>
      </c>
      <c r="B137" s="35">
        <v>0.3</v>
      </c>
      <c r="C137" s="35">
        <v>0.3</v>
      </c>
      <c r="D137" s="35">
        <v>0.3</v>
      </c>
      <c r="E137" s="532">
        <v>0.3</v>
      </c>
      <c r="F137" s="532">
        <v>0.3</v>
      </c>
      <c r="G137" s="532">
        <v>0.3</v>
      </c>
      <c r="H137" s="532">
        <v>0.3</v>
      </c>
      <c r="I137" s="533">
        <v>0.3</v>
      </c>
      <c r="J137" s="609">
        <v>0.3</v>
      </c>
      <c r="K137" s="609">
        <v>0.25</v>
      </c>
      <c r="L137" s="609">
        <v>0.25</v>
      </c>
    </row>
    <row r="138" spans="1:12" customHeight="1" ht="15.6">
      <c r="A138" s="34" t="s">
        <v>666</v>
      </c>
      <c r="B138" s="35">
        <v>0.17</v>
      </c>
      <c r="C138" s="35">
        <v>0.17</v>
      </c>
      <c r="D138" s="35">
        <v>0.17</v>
      </c>
      <c r="E138" s="532">
        <v>0.17</v>
      </c>
      <c r="F138" s="532">
        <v>0.17</v>
      </c>
      <c r="G138" s="532">
        <v>0.17</v>
      </c>
      <c r="H138" s="532">
        <v>0.17</v>
      </c>
      <c r="I138" s="533">
        <v>0.17</v>
      </c>
      <c r="J138" s="609">
        <v>0.17</v>
      </c>
      <c r="K138" s="609">
        <v>0.17</v>
      </c>
      <c r="L138" s="609">
        <v>0.17</v>
      </c>
    </row>
    <row r="139" spans="1:12" customHeight="1" ht="15.6">
      <c r="A139" s="34" t="s">
        <v>667</v>
      </c>
      <c r="B139" s="35">
        <v>0.345</v>
      </c>
      <c r="C139" s="35">
        <v>0.345</v>
      </c>
      <c r="D139" s="35">
        <v>0.345</v>
      </c>
      <c r="E139" s="532">
        <v>0.35</v>
      </c>
      <c r="F139" s="532">
        <v>0.35</v>
      </c>
      <c r="G139" s="532">
        <v>0.35</v>
      </c>
      <c r="H139" s="532">
        <v>0.35</v>
      </c>
      <c r="I139" s="533">
        <v>0.35</v>
      </c>
      <c r="J139" s="609">
        <v>0.35</v>
      </c>
      <c r="K139" s="609">
        <v>0.345</v>
      </c>
      <c r="L139" s="609">
        <v>0.345</v>
      </c>
    </row>
    <row r="140" spans="1:12" customHeight="1" ht="15.6">
      <c r="A140" s="34" t="s">
        <v>668</v>
      </c>
      <c r="B140" s="35">
        <v>0.22</v>
      </c>
      <c r="C140" s="35">
        <v>0.22</v>
      </c>
      <c r="D140" s="35">
        <v>0.21</v>
      </c>
      <c r="E140" s="532">
        <v>0.21</v>
      </c>
      <c r="F140" s="532">
        <v>0.21</v>
      </c>
      <c r="G140" s="532">
        <v>0.21</v>
      </c>
      <c r="H140" s="532">
        <v>0.21</v>
      </c>
      <c r="I140" s="533">
        <v>0.21</v>
      </c>
      <c r="J140" s="609">
        <v>0.21</v>
      </c>
      <c r="K140" s="609">
        <v>0.21</v>
      </c>
      <c r="L140" s="609">
        <v>0.21</v>
      </c>
    </row>
    <row r="141" spans="1:12" customHeight="1" ht="15.6">
      <c r="A141" s="34" t="s">
        <v>669</v>
      </c>
      <c r="B141" s="35">
        <v>0.17</v>
      </c>
      <c r="C141" s="35">
        <v>0.17</v>
      </c>
      <c r="D141" s="35">
        <v>0.19</v>
      </c>
      <c r="E141" s="532">
        <v>0.19</v>
      </c>
      <c r="F141" s="532">
        <v>0.19</v>
      </c>
      <c r="G141" s="532">
        <v>0.19</v>
      </c>
      <c r="H141" s="532">
        <v>0.19</v>
      </c>
      <c r="I141" s="533">
        <v>0.19</v>
      </c>
      <c r="J141" s="609">
        <v>0.19</v>
      </c>
      <c r="K141" s="609">
        <v>0.19</v>
      </c>
      <c r="L141" s="609">
        <v>0.19</v>
      </c>
    </row>
    <row r="142" spans="1:12" customHeight="1" ht="15.6">
      <c r="A142" s="34" t="s">
        <v>670</v>
      </c>
      <c r="B142" s="35">
        <v>0</v>
      </c>
      <c r="C142" s="35">
        <v>0</v>
      </c>
      <c r="D142" s="35">
        <v>0.3</v>
      </c>
      <c r="E142" s="532">
        <v>0.3</v>
      </c>
      <c r="F142" s="532">
        <v>0.3</v>
      </c>
      <c r="G142" s="532">
        <v>0.3</v>
      </c>
      <c r="H142" s="532">
        <v>0.3</v>
      </c>
      <c r="I142" s="533">
        <v>0.3</v>
      </c>
      <c r="J142" s="609">
        <v>0.3</v>
      </c>
      <c r="K142" s="609">
        <v>0.3</v>
      </c>
      <c r="L142" s="609">
        <v>0.3</v>
      </c>
    </row>
    <row r="143" spans="1:12" customHeight="1" ht="15.6">
      <c r="A143" s="34" t="s">
        <v>671</v>
      </c>
      <c r="B143" s="35">
        <v>0.28</v>
      </c>
      <c r="C143" s="35">
        <v>0.28</v>
      </c>
      <c r="D143" s="35">
        <v>0.28</v>
      </c>
      <c r="E143" s="532">
        <v>0.28</v>
      </c>
      <c r="F143" s="532">
        <v>0.28</v>
      </c>
      <c r="G143" s="532">
        <v>0.28</v>
      </c>
      <c r="H143" s="532">
        <v>0.28</v>
      </c>
      <c r="I143" s="533">
        <v>0.27</v>
      </c>
      <c r="J143" s="609">
        <v>0.27</v>
      </c>
      <c r="K143" s="609">
        <v>0.27</v>
      </c>
      <c r="L143" s="609">
        <v>0.27</v>
      </c>
    </row>
    <row r="144" spans="1:12" customHeight="1" ht="15.6">
      <c r="A144" s="34" t="s">
        <v>672</v>
      </c>
      <c r="B144" s="35">
        <v>0.28</v>
      </c>
      <c r="C144" s="35">
        <v>0.25</v>
      </c>
      <c r="D144" s="35">
        <v>0.25</v>
      </c>
      <c r="E144" s="532">
        <v>0.25</v>
      </c>
      <c r="F144" s="532">
        <v>0.25</v>
      </c>
      <c r="G144" s="532">
        <v>0.25</v>
      </c>
      <c r="H144" s="532">
        <v>0.25</v>
      </c>
      <c r="I144" s="533">
        <v>0.25</v>
      </c>
      <c r="J144" s="609">
        <v>0.25</v>
      </c>
      <c r="K144" s="609">
        <v>0.25</v>
      </c>
      <c r="L144" s="609">
        <v>0.25</v>
      </c>
    </row>
    <row r="145" spans="1:12" customHeight="1" ht="15.6">
      <c r="A145" s="34" t="s">
        <v>673</v>
      </c>
      <c r="B145" s="35">
        <v>0.28</v>
      </c>
      <c r="C145" s="35">
        <v>0.15</v>
      </c>
      <c r="D145" s="35">
        <v>0.28</v>
      </c>
      <c r="E145" s="532">
        <v>0.28</v>
      </c>
      <c r="F145" s="532">
        <v>0.28</v>
      </c>
      <c r="G145" s="532">
        <v>0.28</v>
      </c>
      <c r="H145" s="532">
        <v>0.24</v>
      </c>
      <c r="I145" s="533">
        <v>0.24</v>
      </c>
      <c r="J145" s="609">
        <v>0.24</v>
      </c>
      <c r="K145" s="609">
        <v>0.3</v>
      </c>
      <c r="L145" s="609">
        <v>0.3</v>
      </c>
    </row>
    <row r="146" spans="1:12" customHeight="1" ht="15.6">
      <c r="A146" s="34" t="s">
        <v>674</v>
      </c>
      <c r="B146" s="35">
        <v>0.245</v>
      </c>
      <c r="C146" s="35">
        <v>0.345</v>
      </c>
      <c r="D146" s="35">
        <v>0.345</v>
      </c>
      <c r="E146" s="532">
        <v>0.35</v>
      </c>
      <c r="F146" s="532">
        <v>0.35</v>
      </c>
      <c r="G146" s="532">
        <v>0.35</v>
      </c>
      <c r="H146" s="532">
        <v>0.35</v>
      </c>
      <c r="I146" s="533">
        <v>0.35</v>
      </c>
      <c r="J146" s="609">
        <v>0.35</v>
      </c>
      <c r="K146" s="609">
        <v>0.345</v>
      </c>
      <c r="L146" s="609">
        <v>0.345</v>
      </c>
    </row>
    <row r="147" spans="1:12" customHeight="1" ht="15.6">
      <c r="A147" s="34" t="s">
        <v>675</v>
      </c>
      <c r="B147" s="35">
        <v>0.35</v>
      </c>
      <c r="C147" s="35">
        <v>0.35</v>
      </c>
      <c r="D147" s="35">
        <v>0.35</v>
      </c>
      <c r="E147" s="532">
        <v>0.35</v>
      </c>
      <c r="F147" s="532">
        <v>0.35</v>
      </c>
      <c r="G147" s="532">
        <v>0.35</v>
      </c>
      <c r="H147" s="532">
        <v>0.35</v>
      </c>
      <c r="I147" s="533">
        <v>0.35</v>
      </c>
      <c r="J147" s="609">
        <v>0.35</v>
      </c>
      <c r="K147" s="609">
        <v>0.35</v>
      </c>
      <c r="L147" s="609">
        <v>0.35</v>
      </c>
    </row>
    <row r="148" spans="1:12" customHeight="1" ht="15.6">
      <c r="A148" s="34" t="s">
        <v>676</v>
      </c>
      <c r="B148" s="35">
        <v>0.345</v>
      </c>
      <c r="C148" s="35">
        <v>0.345</v>
      </c>
      <c r="D148" s="35">
        <v>0.36</v>
      </c>
      <c r="E148" s="532">
        <v>0.36</v>
      </c>
      <c r="F148" s="532">
        <v>0.36</v>
      </c>
      <c r="G148" s="532">
        <v>0.36</v>
      </c>
      <c r="H148" s="532">
        <v>0.36</v>
      </c>
      <c r="I148" s="533">
        <v>0.36</v>
      </c>
      <c r="J148" s="609">
        <v>0.36</v>
      </c>
      <c r="K148" s="609">
        <v>0.36</v>
      </c>
      <c r="L148" s="609">
        <v>0.36</v>
      </c>
    </row>
    <row r="149" spans="1:12" customHeight="1" ht="15.6">
      <c r="A149" s="34" t="s">
        <v>677</v>
      </c>
      <c r="B149" s="35">
        <v>0</v>
      </c>
      <c r="C149" s="35">
        <v>0</v>
      </c>
      <c r="D149" s="35">
        <v>0.275</v>
      </c>
      <c r="E149" s="532">
        <v>0.28</v>
      </c>
      <c r="F149" s="532">
        <v>0.275</v>
      </c>
      <c r="G149" s="532">
        <v>0.275</v>
      </c>
      <c r="H149" s="532">
        <v>0.275</v>
      </c>
      <c r="I149" s="533">
        <v>0.275</v>
      </c>
      <c r="J149" s="609">
        <v>0.275</v>
      </c>
      <c r="K149" s="609">
        <v>0.275</v>
      </c>
      <c r="L149" s="609">
        <v>0.275</v>
      </c>
    </row>
    <row r="150" spans="1:12" customHeight="1" ht="15.6">
      <c r="A150" s="34" t="s">
        <v>678</v>
      </c>
      <c r="B150" s="35">
        <v>0.22</v>
      </c>
      <c r="C150" s="35">
        <v>0.22</v>
      </c>
      <c r="D150" s="35">
        <v>0.22</v>
      </c>
      <c r="E150" s="532">
        <v>0.22</v>
      </c>
      <c r="F150" s="532">
        <v>0.214</v>
      </c>
      <c r="G150" s="532">
        <v>0.214</v>
      </c>
      <c r="H150" s="532">
        <v>0.206</v>
      </c>
      <c r="I150" s="533">
        <v>0.206</v>
      </c>
      <c r="J150" s="609">
        <v>0.206</v>
      </c>
      <c r="K150" s="609">
        <v>0.206</v>
      </c>
      <c r="L150" s="609">
        <v>0.206</v>
      </c>
    </row>
    <row r="151" spans="1:12" customHeight="1" ht="15.6">
      <c r="A151" s="34" t="s">
        <v>679</v>
      </c>
      <c r="B151" s="35">
        <v>0.1792</v>
      </c>
      <c r="C151" s="35">
        <v>0.1792</v>
      </c>
      <c r="D151" s="35">
        <v>0.1777</v>
      </c>
      <c r="E151" s="532">
        <v>0.18</v>
      </c>
      <c r="F151" s="532">
        <v>0.18</v>
      </c>
      <c r="G151" s="532">
        <v>0.1484</v>
      </c>
      <c r="H151" s="532">
        <v>0.1493</v>
      </c>
      <c r="I151" s="533">
        <v>0.18</v>
      </c>
      <c r="J151" s="609">
        <v>0.18</v>
      </c>
      <c r="K151" s="609">
        <v>0.19653</v>
      </c>
      <c r="L151" s="609">
        <v>0.19653</v>
      </c>
    </row>
    <row r="152" spans="1:12" customHeight="1" ht="15.6">
      <c r="A152" s="34" t="s">
        <v>680</v>
      </c>
      <c r="B152" s="35">
        <v>0.22</v>
      </c>
      <c r="C152" s="35">
        <v>0.22</v>
      </c>
      <c r="D152" s="35">
        <v>0.28</v>
      </c>
      <c r="E152" s="532">
        <v>0.28</v>
      </c>
      <c r="F152" s="532">
        <v>0.28</v>
      </c>
      <c r="G152" s="532">
        <v>0.28</v>
      </c>
      <c r="H152" s="532">
        <v>0.28</v>
      </c>
      <c r="I152" s="533">
        <v>0.28</v>
      </c>
      <c r="J152" s="609">
        <v>0.28</v>
      </c>
      <c r="K152" s="609">
        <v>0.28</v>
      </c>
      <c r="L152" s="609">
        <v>0.28</v>
      </c>
    </row>
    <row r="153" spans="1:12" customHeight="1" ht="15.6">
      <c r="A153" s="34" t="s">
        <v>681</v>
      </c>
      <c r="B153" s="35">
        <v>0.17</v>
      </c>
      <c r="C153" s="35">
        <v>0.17</v>
      </c>
      <c r="D153" s="35">
        <v>0.17</v>
      </c>
      <c r="E153" s="532">
        <v>0.2</v>
      </c>
      <c r="F153" s="532">
        <v>0.2</v>
      </c>
      <c r="G153" s="532">
        <v>0.2</v>
      </c>
      <c r="H153" s="532">
        <v>0.2</v>
      </c>
      <c r="I153" s="533">
        <v>0.2</v>
      </c>
      <c r="J153" s="609">
        <v>0.2</v>
      </c>
      <c r="K153" s="609">
        <v>0.2</v>
      </c>
      <c r="L153" s="609">
        <v>0.2</v>
      </c>
    </row>
    <row r="154" spans="1:12" customHeight="1" ht="15.6">
      <c r="A154" s="34" t="s">
        <v>682</v>
      </c>
      <c r="B154" s="35">
        <v>0.3</v>
      </c>
      <c r="C154" s="35">
        <v>0.3</v>
      </c>
      <c r="D154" s="35">
        <v>0.3</v>
      </c>
      <c r="E154" s="532">
        <v>0.3</v>
      </c>
      <c r="F154" s="532">
        <v>0.3</v>
      </c>
      <c r="G154" s="532">
        <v>0.3</v>
      </c>
      <c r="H154" s="532">
        <v>0.3</v>
      </c>
      <c r="I154" s="533">
        <v>0.3</v>
      </c>
      <c r="J154" s="609">
        <v>0.3</v>
      </c>
      <c r="K154" s="609">
        <v>0.3</v>
      </c>
      <c r="L154" s="609">
        <v>0.3</v>
      </c>
    </row>
    <row r="155" spans="1:12" customHeight="1" ht="15.6">
      <c r="A155" s="34" t="s">
        <v>683</v>
      </c>
      <c r="B155" s="35">
        <v>0.2</v>
      </c>
      <c r="C155" s="35">
        <v>0.2</v>
      </c>
      <c r="D155" s="35">
        <v>0.2</v>
      </c>
      <c r="E155" s="532">
        <v>0.2</v>
      </c>
      <c r="F155" s="532">
        <v>0.2</v>
      </c>
      <c r="G155" s="532">
        <v>0.2</v>
      </c>
      <c r="H155" s="532">
        <v>0.2</v>
      </c>
      <c r="I155" s="533">
        <v>0.2</v>
      </c>
      <c r="J155" s="609">
        <v>0.2</v>
      </c>
      <c r="K155" s="609">
        <v>0.2</v>
      </c>
      <c r="L155" s="609">
        <v>0.2</v>
      </c>
    </row>
    <row r="156" spans="1:12" customHeight="1" ht="15.6">
      <c r="A156" s="34" t="s">
        <v>684</v>
      </c>
      <c r="B156" s="35">
        <v>0.25</v>
      </c>
      <c r="C156" s="35">
        <v>0.25</v>
      </c>
      <c r="D156" s="35">
        <v>0.25</v>
      </c>
      <c r="E156" s="532">
        <v>0.25</v>
      </c>
      <c r="F156" s="532">
        <v>0.25</v>
      </c>
      <c r="G156" s="532">
        <v>0.3</v>
      </c>
      <c r="H156" s="532">
        <v>0.3</v>
      </c>
      <c r="I156" s="533">
        <v>0.3</v>
      </c>
      <c r="J156" s="609">
        <v>0.3</v>
      </c>
      <c r="K156" s="609">
        <v>0.3</v>
      </c>
      <c r="L156" s="609">
        <v>0.3</v>
      </c>
    </row>
    <row r="157" spans="1:12" customHeight="1" ht="15.6">
      <c r="A157" s="34" t="s">
        <v>685</v>
      </c>
      <c r="B157" s="35">
        <v>0.25</v>
      </c>
      <c r="C157" s="35">
        <v>0.25</v>
      </c>
      <c r="D157" s="35">
        <v>0.25</v>
      </c>
      <c r="E157" s="532">
        <v>0.25</v>
      </c>
      <c r="F157" s="532">
        <v>0.25</v>
      </c>
      <c r="G157" s="532">
        <v>0.25</v>
      </c>
      <c r="H157" s="532">
        <v>0.15</v>
      </c>
      <c r="I157" s="533">
        <v>0.15</v>
      </c>
      <c r="J157" s="609">
        <v>0.15</v>
      </c>
      <c r="K157" s="609">
        <v>0.15</v>
      </c>
      <c r="L157" s="609">
        <v>0.15</v>
      </c>
    </row>
    <row r="158" spans="1:12" customHeight="1" ht="15.6">
      <c r="A158" s="34" t="s">
        <v>686</v>
      </c>
      <c r="B158" s="35">
        <v>0.2</v>
      </c>
      <c r="C158" s="35">
        <v>0.2</v>
      </c>
      <c r="D158" s="35">
        <v>0.2</v>
      </c>
      <c r="E158" s="532">
        <v>0.22</v>
      </c>
      <c r="F158" s="532">
        <v>0.22</v>
      </c>
      <c r="G158" s="532">
        <v>0.22</v>
      </c>
      <c r="H158" s="532">
        <v>0.2</v>
      </c>
      <c r="I158" s="533">
        <v>0.23</v>
      </c>
      <c r="J158" s="609">
        <v>0.23</v>
      </c>
      <c r="K158" s="609">
        <v>0.25</v>
      </c>
      <c r="L158" s="609">
        <v>0.25</v>
      </c>
    </row>
    <row r="159" spans="1:12" customHeight="1" ht="15.6">
      <c r="A159" s="34" t="s">
        <v>687</v>
      </c>
      <c r="B159" s="35">
        <v>0</v>
      </c>
      <c r="C159" s="35">
        <v>0</v>
      </c>
      <c r="D159" s="35">
        <v>0.2</v>
      </c>
      <c r="E159" s="532">
        <v>0.2</v>
      </c>
      <c r="F159" s="532">
        <v>0.2</v>
      </c>
      <c r="G159" s="532">
        <v>0.2</v>
      </c>
      <c r="H159" s="532">
        <v>0.2</v>
      </c>
      <c r="I159" s="533">
        <v>0.2</v>
      </c>
      <c r="J159" s="609">
        <v>0.2</v>
      </c>
      <c r="K159" s="609">
        <v>0.08</v>
      </c>
      <c r="L159" s="609">
        <v>0.08</v>
      </c>
    </row>
    <row r="160" spans="1:12" customHeight="1" ht="15.6">
      <c r="A160" s="34" t="s">
        <v>688</v>
      </c>
      <c r="B160" s="35">
        <v>0</v>
      </c>
      <c r="C160" s="35">
        <v>0</v>
      </c>
      <c r="D160" s="35">
        <v>0</v>
      </c>
      <c r="E160" s="532">
        <v>0</v>
      </c>
      <c r="F160" s="532">
        <v>0</v>
      </c>
      <c r="G160" s="532">
        <v>0</v>
      </c>
      <c r="H160" s="532">
        <v>0</v>
      </c>
      <c r="I160" s="533">
        <v>0</v>
      </c>
      <c r="J160" s="609">
        <v>0</v>
      </c>
      <c r="K160" s="609">
        <v>0</v>
      </c>
      <c r="L160" s="609">
        <v>0</v>
      </c>
    </row>
    <row r="161" spans="1:12" customHeight="1" ht="15.6">
      <c r="A161" s="34" t="s">
        <v>689</v>
      </c>
      <c r="B161" s="35">
        <v>0.3</v>
      </c>
      <c r="C161" s="35">
        <v>0.3</v>
      </c>
      <c r="D161" s="35">
        <v>0.3</v>
      </c>
      <c r="E161" s="532">
        <v>0.3</v>
      </c>
      <c r="F161" s="532">
        <v>0.3</v>
      </c>
      <c r="G161" s="532">
        <v>0.3</v>
      </c>
      <c r="H161" s="532">
        <v>0.3</v>
      </c>
      <c r="I161" s="533">
        <v>0.3</v>
      </c>
      <c r="J161" s="609">
        <v>0.3</v>
      </c>
      <c r="K161" s="609">
        <v>0.3</v>
      </c>
      <c r="L161" s="609">
        <v>0.3</v>
      </c>
    </row>
    <row r="162" spans="1:12" customHeight="1" ht="15.6">
      <c r="A162" s="34" t="s">
        <v>690</v>
      </c>
      <c r="B162" s="35">
        <v>0.18</v>
      </c>
      <c r="C162" s="35">
        <v>0.18</v>
      </c>
      <c r="D162" s="35">
        <v>0.18</v>
      </c>
      <c r="E162" s="532">
        <v>0.18</v>
      </c>
      <c r="F162" s="532">
        <v>0.18</v>
      </c>
      <c r="G162" s="532">
        <v>0.18</v>
      </c>
      <c r="H162" s="532">
        <v>0.18</v>
      </c>
      <c r="I162" s="533">
        <v>0.18</v>
      </c>
      <c r="J162" s="609">
        <v>0.18</v>
      </c>
      <c r="K162" s="609">
        <v>0.18</v>
      </c>
      <c r="L162" s="609">
        <v>0.18</v>
      </c>
    </row>
    <row r="163" spans="1:12" customHeight="1" ht="15.6">
      <c r="A163" s="34" t="s">
        <v>691</v>
      </c>
      <c r="B163" s="35">
        <v>0.55</v>
      </c>
      <c r="C163" s="35">
        <v>0.55</v>
      </c>
      <c r="D163" s="35">
        <v>0.55</v>
      </c>
      <c r="E163" s="532">
        <v>0.55</v>
      </c>
      <c r="F163" s="532">
        <v>0.55</v>
      </c>
      <c r="G163" s="532">
        <v>0.55</v>
      </c>
      <c r="H163" s="532">
        <v>0.55</v>
      </c>
      <c r="I163" s="533">
        <v>0</v>
      </c>
      <c r="J163" s="609">
        <v>0</v>
      </c>
      <c r="K163" s="609">
        <v>0.09</v>
      </c>
      <c r="L163" s="609">
        <v>0.09</v>
      </c>
    </row>
    <row r="164" spans="1:12" customHeight="1" ht="15.6">
      <c r="A164" s="34" t="s">
        <v>692</v>
      </c>
      <c r="B164" s="35">
        <v>0.2</v>
      </c>
      <c r="C164" s="35">
        <v>0.2</v>
      </c>
      <c r="D164" s="35">
        <v>0.19</v>
      </c>
      <c r="E164" s="532">
        <v>0.19</v>
      </c>
      <c r="F164" s="532">
        <v>0.19</v>
      </c>
      <c r="G164" s="532">
        <v>0.19</v>
      </c>
      <c r="H164" s="532">
        <v>0.19</v>
      </c>
      <c r="I164" s="533">
        <v>0.19</v>
      </c>
      <c r="J164" s="609">
        <v>0.25</v>
      </c>
      <c r="K164" s="609">
        <v>0.25</v>
      </c>
      <c r="L164" s="609">
        <v>0.25</v>
      </c>
    </row>
    <row r="165" spans="1:12" customHeight="1" ht="15.6">
      <c r="A165" s="34" t="s">
        <v>498</v>
      </c>
      <c r="B165" s="35">
        <v>0.4</v>
      </c>
      <c r="C165" s="35">
        <v>0.4</v>
      </c>
      <c r="D165" s="35">
        <v>0.4</v>
      </c>
      <c r="E165" s="532">
        <v>0.27</v>
      </c>
      <c r="F165" s="532">
        <v>0.27</v>
      </c>
      <c r="G165" s="532">
        <v>0.27</v>
      </c>
      <c r="H165" s="532">
        <v>0.27</v>
      </c>
      <c r="I165" s="533">
        <v>0.25</v>
      </c>
      <c r="J165" s="609">
        <v>0.25</v>
      </c>
      <c r="K165" s="609">
        <v>0.25768</v>
      </c>
      <c r="L165" s="609">
        <v>0.25768</v>
      </c>
    </row>
    <row r="166" spans="1:12" customHeight="1" ht="15.6">
      <c r="A166" s="34" t="s">
        <v>693</v>
      </c>
      <c r="B166" s="35">
        <v>0.25</v>
      </c>
      <c r="C166" s="35">
        <v>0.25</v>
      </c>
      <c r="D166" s="35">
        <v>0.25</v>
      </c>
      <c r="E166" s="532">
        <v>0.25</v>
      </c>
      <c r="F166" s="532">
        <v>0.25</v>
      </c>
      <c r="G166" s="532">
        <v>0.25</v>
      </c>
      <c r="H166" s="532">
        <v>0.25</v>
      </c>
      <c r="I166" s="533">
        <v>0.25</v>
      </c>
      <c r="J166" s="609">
        <v>0.25</v>
      </c>
      <c r="K166" s="609">
        <v>0.25</v>
      </c>
      <c r="L166" s="609">
        <v>0.25</v>
      </c>
    </row>
    <row r="167" spans="1:12" customHeight="1" ht="15.6">
      <c r="A167" s="34" t="s">
        <v>694</v>
      </c>
      <c r="B167" s="35">
        <v>0</v>
      </c>
      <c r="C167" s="35">
        <v>0.075</v>
      </c>
      <c r="D167" s="35">
        <v>0.075</v>
      </c>
      <c r="E167" s="532">
        <v>0.075</v>
      </c>
      <c r="F167" s="532">
        <v>0.075</v>
      </c>
      <c r="G167" s="532">
        <v>0.075</v>
      </c>
      <c r="H167" s="532">
        <v>0.075</v>
      </c>
      <c r="I167" s="533">
        <v>0.15</v>
      </c>
      <c r="J167" s="609">
        <v>0.15</v>
      </c>
      <c r="K167" s="609">
        <v>0.15</v>
      </c>
      <c r="L167" s="609">
        <v>0.15</v>
      </c>
    </row>
    <row r="168" spans="1:12" customHeight="1" ht="15.6">
      <c r="A168" s="34" t="s">
        <v>695</v>
      </c>
      <c r="B168" s="35">
        <v>0</v>
      </c>
      <c r="C168" s="35">
        <v>0</v>
      </c>
      <c r="D168" s="35">
        <v>0.34</v>
      </c>
      <c r="E168" s="532">
        <v>0</v>
      </c>
      <c r="F168" s="532">
        <v>0</v>
      </c>
      <c r="G168" s="532">
        <v>0</v>
      </c>
      <c r="H168" s="532">
        <v>0</v>
      </c>
      <c r="I168" s="533">
        <v>0</v>
      </c>
      <c r="J168" s="609">
        <v>0</v>
      </c>
      <c r="K168" s="609">
        <v>0</v>
      </c>
      <c r="L168" s="609">
        <v>0</v>
      </c>
    </row>
    <row r="169" spans="1:12" customHeight="1" ht="15.6">
      <c r="A169" s="34" t="s">
        <v>696</v>
      </c>
      <c r="B169" s="35">
        <v>0.34</v>
      </c>
      <c r="C169" s="35">
        <v>0.34</v>
      </c>
      <c r="D169" s="35">
        <v>0.34</v>
      </c>
      <c r="E169" s="532">
        <v>0.34</v>
      </c>
      <c r="F169" s="532">
        <v>0.34</v>
      </c>
      <c r="G169" s="532">
        <v>0.34</v>
      </c>
      <c r="H169" s="532">
        <v>0.34</v>
      </c>
      <c r="I169" s="533">
        <v>0.34</v>
      </c>
      <c r="J169" s="609">
        <v>0.34</v>
      </c>
      <c r="K169" s="609">
        <v>0.34</v>
      </c>
      <c r="L169" s="609">
        <v>0.34</v>
      </c>
    </row>
    <row r="170" spans="1:12" customHeight="1" ht="15.6">
      <c r="A170" s="34" t="s">
        <v>697</v>
      </c>
      <c r="B170" s="35">
        <v>0.22</v>
      </c>
      <c r="C170" s="35">
        <v>0.22</v>
      </c>
      <c r="D170" s="35">
        <v>0.2</v>
      </c>
      <c r="E170" s="532">
        <v>0.2</v>
      </c>
      <c r="F170" s="532">
        <v>0.2</v>
      </c>
      <c r="G170" s="532">
        <v>0.2</v>
      </c>
      <c r="H170" s="532">
        <v>0.2</v>
      </c>
      <c r="I170" s="533">
        <v>0.2</v>
      </c>
      <c r="J170" s="609">
        <v>0.2</v>
      </c>
      <c r="K170" s="609">
        <v>0.2</v>
      </c>
      <c r="L170" s="609">
        <v>0.2</v>
      </c>
    </row>
    <row r="171" spans="1:12" customHeight="1" ht="15.6">
      <c r="A171" s="34" t="s">
        <v>698</v>
      </c>
      <c r="B171" s="35">
        <v>0.2</v>
      </c>
      <c r="C171" s="35">
        <v>0.2</v>
      </c>
      <c r="D171" s="35">
        <v>0.2</v>
      </c>
      <c r="E171" s="532">
        <v>0.2</v>
      </c>
      <c r="F171" s="532">
        <v>0.2</v>
      </c>
      <c r="G171" s="532">
        <v>0.2</v>
      </c>
      <c r="H171" s="532">
        <v>0.2</v>
      </c>
      <c r="I171" s="533">
        <v>0.2</v>
      </c>
      <c r="J171" s="609">
        <v>0.2</v>
      </c>
      <c r="K171" s="609">
        <v>0.2</v>
      </c>
      <c r="L171" s="609">
        <v>0.2</v>
      </c>
    </row>
    <row r="172" spans="1:12" customHeight="1" ht="15.6">
      <c r="A172" s="34" t="s">
        <v>699</v>
      </c>
      <c r="B172" s="35">
        <v>0.35</v>
      </c>
      <c r="C172" s="35">
        <v>0.35</v>
      </c>
      <c r="D172" s="35">
        <v>0.35</v>
      </c>
      <c r="E172" s="532">
        <v>0.35</v>
      </c>
      <c r="F172" s="532">
        <v>0.35</v>
      </c>
      <c r="G172" s="532">
        <v>0.35</v>
      </c>
      <c r="H172" s="532">
        <v>0.35</v>
      </c>
      <c r="I172" s="533">
        <v>0.35</v>
      </c>
      <c r="J172" s="609">
        <v>0.35</v>
      </c>
      <c r="K172" s="609">
        <v>0.3</v>
      </c>
      <c r="L172" s="609">
        <v>0.3</v>
      </c>
    </row>
    <row r="173" spans="1:12" customHeight="1" ht="15.6">
      <c r="A173" s="34" t="s">
        <v>700</v>
      </c>
      <c r="B173" s="35">
        <v>0.2575</v>
      </c>
      <c r="C173" s="35">
        <v>0.2575</v>
      </c>
      <c r="D173" s="35">
        <v>0.25</v>
      </c>
      <c r="E173" s="532">
        <v>0.25</v>
      </c>
      <c r="F173" s="532">
        <v>0.25</v>
      </c>
      <c r="G173" s="532">
        <v>0.24</v>
      </c>
      <c r="H173" s="532">
        <v>0.24</v>
      </c>
      <c r="I173" s="533">
        <v>0.2472</v>
      </c>
      <c r="J173" s="609">
        <v>0.2472</v>
      </c>
      <c r="K173" s="609">
        <v>0.2472</v>
      </c>
      <c r="L173" s="609">
        <v>0.2472</v>
      </c>
    </row>
    <row r="174" spans="1:12">
      <c r="A174" s="34" t="s">
        <v>701</v>
      </c>
      <c r="B174" s="35">
        <v>0.2814</v>
      </c>
      <c r="C174" s="35">
        <v>0.2803</v>
      </c>
      <c r="D174" s="35">
        <v>0.2821</v>
      </c>
      <c r="E174" s="35">
        <v>0.2826</v>
      </c>
      <c r="F174" s="35">
        <v>0.2823</v>
      </c>
      <c r="G174" s="36">
        <v>0.2825</v>
      </c>
      <c r="H174" s="36">
        <v>0.24</v>
      </c>
      <c r="I174" s="36">
        <v>0.24</v>
      </c>
      <c r="J174" s="533"/>
    </row>
    <row r="175" spans="1:12">
      <c r="A175" s="34" t="s">
        <v>702</v>
      </c>
      <c r="B175" s="35">
        <v>0.2761</v>
      </c>
      <c r="C175" s="35">
        <v>0.2771</v>
      </c>
      <c r="D175" s="35">
        <v>0.2829</v>
      </c>
      <c r="E175" s="35">
        <v>0.2811</v>
      </c>
      <c r="F175" s="35">
        <v>0.2736</v>
      </c>
      <c r="G175" s="36">
        <v>0.2733</v>
      </c>
      <c r="H175" s="36">
        <v>0.2733</v>
      </c>
      <c r="I175" s="36">
        <v>0.2733</v>
      </c>
    </row>
    <row r="176" spans="1:12">
      <c r="A176" s="34" t="s">
        <v>703</v>
      </c>
      <c r="B176" s="35">
        <v>0.2198</v>
      </c>
      <c r="C176" s="35">
        <v>0.2141</v>
      </c>
      <c r="D176" s="35">
        <v>0.2108</v>
      </c>
      <c r="E176" s="35">
        <v>0.2121</v>
      </c>
      <c r="F176" s="35">
        <v>0.2118</v>
      </c>
      <c r="G176" s="36">
        <v>0.2113</v>
      </c>
      <c r="H176" s="36">
        <v>0.2113</v>
      </c>
      <c r="I176" s="36">
        <v>0.2113</v>
      </c>
    </row>
    <row r="177" spans="1:12">
      <c r="A177" s="34" t="s">
        <v>704</v>
      </c>
      <c r="B177" s="35">
        <v>0.2215</v>
      </c>
      <c r="C177" s="35">
        <v>0.2209</v>
      </c>
      <c r="D177" s="35">
        <v>0.2133</v>
      </c>
      <c r="E177" s="35">
        <v>0.2129</v>
      </c>
      <c r="F177" s="35">
        <v>0.2098</v>
      </c>
      <c r="G177" s="36">
        <v>0.2087</v>
      </c>
      <c r="H177" s="36">
        <v>0.2087</v>
      </c>
      <c r="I177" s="36">
        <v>0.2087</v>
      </c>
    </row>
    <row r="178" spans="1:12">
      <c r="A178" s="34" t="s">
        <v>705</v>
      </c>
      <c r="B178" s="35">
        <v>0.2005</v>
      </c>
      <c r="C178" s="35">
        <v>0.1997</v>
      </c>
      <c r="D178" s="35">
        <v>0.1953</v>
      </c>
      <c r="E178" s="35">
        <v>0.1948</v>
      </c>
      <c r="F178" s="35">
        <v>0.1926</v>
      </c>
      <c r="G178" s="36">
        <v>0.1912</v>
      </c>
      <c r="H178" s="36">
        <v>0.1912</v>
      </c>
      <c r="I178" s="36">
        <v>0.1912</v>
      </c>
    </row>
    <row r="179" spans="1:12">
      <c r="A179" s="610" t="s">
        <v>706</v>
      </c>
      <c r="B179" s="611">
        <v>0.2377</v>
      </c>
      <c r="C179" s="611">
        <v>0.2362</v>
      </c>
      <c r="D179" s="611">
        <v>0.2406</v>
      </c>
      <c r="E179" s="611">
        <v>0.2405</v>
      </c>
      <c r="F179" s="611">
        <v>0.2381</v>
      </c>
      <c r="G179" s="611">
        <v>0.2379</v>
      </c>
      <c r="H179" s="611">
        <v>0.2379</v>
      </c>
      <c r="I179" s="611">
        <v>0.2379</v>
      </c>
    </row>
    <row r="180" spans="1:12">
      <c r="A180" s="610" t="s">
        <v>707</v>
      </c>
      <c r="B180" s="611">
        <v>0.2716</v>
      </c>
      <c r="C180" s="611">
        <v>0.2729</v>
      </c>
      <c r="D180" s="611">
        <v>0.2798</v>
      </c>
      <c r="E180" s="611">
        <v>0.282</v>
      </c>
      <c r="F180" s="611">
        <v>0.2739</v>
      </c>
      <c r="G180" s="611">
        <v>0.2736</v>
      </c>
      <c r="H180" s="611">
        <v>0.2736</v>
      </c>
      <c r="I180" s="611">
        <v>0.2736</v>
      </c>
    </row>
    <row r="181" spans="1:12">
      <c r="A181" s="610" t="s">
        <v>708</v>
      </c>
      <c r="B181" s="611">
        <v>0.3325</v>
      </c>
      <c r="C181" s="611">
        <v>0.3325</v>
      </c>
      <c r="D181" s="611">
        <v>0.3325</v>
      </c>
      <c r="E181" s="611">
        <v>0.2675</v>
      </c>
      <c r="F181" s="611">
        <v>0.2675</v>
      </c>
      <c r="G181" s="611">
        <v>0.2675</v>
      </c>
      <c r="H181" s="611">
        <v>0.2675</v>
      </c>
      <c r="I181" s="611">
        <v>0.2675</v>
      </c>
    </row>
    <row r="182" spans="1:12">
      <c r="A182" s="610" t="s">
        <v>709</v>
      </c>
      <c r="B182" s="611">
        <v>0.27</v>
      </c>
      <c r="C182" s="611">
        <v>0.27</v>
      </c>
      <c r="D182" s="611">
        <v>0.2843</v>
      </c>
      <c r="E182" s="611">
        <v>0.2843</v>
      </c>
      <c r="F182" s="611">
        <v>0.2843</v>
      </c>
      <c r="G182" s="611">
        <v>0.2843</v>
      </c>
      <c r="H182" s="611">
        <v>0.2843</v>
      </c>
      <c r="I182" s="611">
        <v>0.2843</v>
      </c>
    </row>
    <row r="183" spans="1:12">
      <c r="A183" s="610" t="s">
        <v>710</v>
      </c>
      <c r="B183" s="611">
        <v>0.2477</v>
      </c>
      <c r="C183" s="611">
        <v>0.2469</v>
      </c>
      <c r="D183" s="611">
        <v>0.2395</v>
      </c>
      <c r="E183" s="611">
        <v>0.2353</v>
      </c>
      <c r="F183" s="611">
        <v>0.2323</v>
      </c>
      <c r="G183" s="611">
        <v>0.2305</v>
      </c>
      <c r="H183" s="611">
        <v>0.2305</v>
      </c>
      <c r="I183" s="611">
        <v>0.2305</v>
      </c>
    </row>
    <row r="184" spans="1:12">
      <c r="A184" s="610" t="s">
        <v>711</v>
      </c>
      <c r="B184" s="611">
        <v>0.2716</v>
      </c>
      <c r="C184" s="611">
        <v>0.2729</v>
      </c>
      <c r="D184" s="611">
        <v>0.2798</v>
      </c>
      <c r="E184" s="611">
        <v>0.282</v>
      </c>
      <c r="F184" s="611">
        <v>0.2739</v>
      </c>
      <c r="G184" s="611">
        <v>0.2736</v>
      </c>
      <c r="H184" s="611">
        <v>0.2736</v>
      </c>
      <c r="I184" s="611">
        <v>0.2736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DS17"/>
  <sheetViews>
    <sheetView tabSelected="0" workbookViewId="0" zoomScale="110" zoomScaleNormal="110" showGridLines="true" showRowColHeaders="1">
      <selection activeCell="C6" sqref="C6"/>
    </sheetView>
  </sheetViews>
  <sheetFormatPr customHeight="true" defaultRowHeight="15" zeroHeight="1" defaultColWidth="11.44140625" outlineLevelRow="0" outlineLevelCol="0"/>
  <cols>
    <col min="1" max="1" width="11.44140625" style="59"/>
    <col min="2" max="2" width="31.33203125" customWidth="true" style="59"/>
    <col min="3" max="3" width="11.44140625" style="59"/>
  </cols>
  <sheetData>
    <row r="1" spans="1:123" customHeight="1" ht="12.75"/>
    <row r="2" spans="1:123" customHeight="1" ht="14.4">
      <c r="B2" s="786" t="s">
        <v>712</v>
      </c>
      <c r="C2" s="786"/>
    </row>
    <row r="3" spans="1:123" customHeight="1" ht="15.75"/>
    <row r="4" spans="1:123" customHeight="1" ht="15.75">
      <c r="B4" s="60" t="s">
        <v>713</v>
      </c>
      <c r="C4" s="61">
        <v>5</v>
      </c>
    </row>
    <row r="5" spans="1:123" customHeight="1" ht="15.75">
      <c r="B5" s="62" t="s">
        <v>714</v>
      </c>
      <c r="C5" s="63" t="s">
        <v>715</v>
      </c>
    </row>
    <row r="6" spans="1:123" customHeight="1" ht="15.75">
      <c r="B6" s="60" t="s">
        <v>716</v>
      </c>
      <c r="C6" s="61">
        <f>IF($C$5="Trimestral",$C$4*4,IF($C$5="Anual",$C$4,$C$4*2))</f>
        <v>5</v>
      </c>
      <c r="D6" s="64"/>
    </row>
    <row r="8" spans="1:123" customHeight="1" ht="14.4">
      <c r="B8" s="65"/>
    </row>
    <row r="9" spans="1:123" customHeight="1" ht="15.75"/>
    <row r="10" spans="1:123" customHeight="1" ht="15.75">
      <c r="B10" s="60" t="s">
        <v>503</v>
      </c>
      <c r="C10" s="66">
        <v>0</v>
      </c>
      <c r="D10" s="66">
        <v>1</v>
      </c>
      <c r="E10" s="66">
        <v>2</v>
      </c>
      <c r="F10" s="66">
        <v>3</v>
      </c>
      <c r="G10" s="66">
        <v>4</v>
      </c>
      <c r="H10" s="66">
        <v>5</v>
      </c>
      <c r="I10" s="66">
        <v>6</v>
      </c>
      <c r="J10" s="66">
        <v>7</v>
      </c>
      <c r="K10" s="66">
        <v>8</v>
      </c>
      <c r="L10" s="66">
        <v>9</v>
      </c>
      <c r="M10" s="66">
        <v>10</v>
      </c>
      <c r="N10" s="66">
        <v>11</v>
      </c>
      <c r="O10" s="66">
        <v>12</v>
      </c>
      <c r="P10" s="66">
        <v>13</v>
      </c>
      <c r="Q10" s="66">
        <v>14</v>
      </c>
      <c r="R10" s="66">
        <v>15</v>
      </c>
      <c r="S10" s="66">
        <v>16</v>
      </c>
      <c r="T10" s="66">
        <v>17</v>
      </c>
      <c r="U10" s="66">
        <v>18</v>
      </c>
      <c r="V10" s="66">
        <v>19</v>
      </c>
      <c r="W10" s="66">
        <v>20</v>
      </c>
      <c r="X10" s="66">
        <v>21</v>
      </c>
      <c r="Y10" s="66">
        <v>22</v>
      </c>
      <c r="Z10" s="66">
        <v>23</v>
      </c>
      <c r="AA10" s="66">
        <v>24</v>
      </c>
      <c r="AB10" s="66">
        <v>25</v>
      </c>
      <c r="AC10" s="66">
        <v>26</v>
      </c>
      <c r="AD10" s="66">
        <v>27</v>
      </c>
      <c r="AE10" s="66">
        <v>28</v>
      </c>
      <c r="AF10" s="66">
        <v>29</v>
      </c>
      <c r="AG10" s="66">
        <v>30</v>
      </c>
      <c r="AH10" s="66">
        <v>31</v>
      </c>
      <c r="AI10" s="66">
        <v>32</v>
      </c>
      <c r="AJ10" s="66">
        <v>33</v>
      </c>
      <c r="AK10" s="66">
        <v>34</v>
      </c>
      <c r="AL10" s="66">
        <v>35</v>
      </c>
      <c r="AM10" s="66">
        <v>36</v>
      </c>
      <c r="AN10" s="66">
        <v>37</v>
      </c>
      <c r="AO10" s="66">
        <v>38</v>
      </c>
      <c r="AP10" s="66">
        <v>39</v>
      </c>
      <c r="AQ10" s="66">
        <v>40</v>
      </c>
      <c r="AR10" s="66">
        <v>41</v>
      </c>
      <c r="AS10" s="66">
        <v>42</v>
      </c>
      <c r="AT10" s="66">
        <v>43</v>
      </c>
      <c r="AU10" s="66">
        <v>44</v>
      </c>
      <c r="AV10" s="66">
        <v>45</v>
      </c>
      <c r="AW10" s="66">
        <v>46</v>
      </c>
      <c r="AX10" s="66">
        <v>47</v>
      </c>
      <c r="AY10" s="66">
        <v>48</v>
      </c>
      <c r="AZ10" s="66">
        <v>49</v>
      </c>
      <c r="BA10" s="66">
        <v>50</v>
      </c>
      <c r="BB10" s="66">
        <v>51</v>
      </c>
      <c r="BC10" s="66">
        <v>52</v>
      </c>
      <c r="BD10" s="66">
        <v>53</v>
      </c>
      <c r="BE10" s="66">
        <v>54</v>
      </c>
      <c r="BF10" s="66">
        <v>55</v>
      </c>
      <c r="BG10" s="66">
        <v>56</v>
      </c>
      <c r="BH10" s="66">
        <v>57</v>
      </c>
      <c r="BI10" s="66">
        <v>58</v>
      </c>
      <c r="BJ10" s="66">
        <v>59</v>
      </c>
      <c r="BK10" s="66">
        <v>60</v>
      </c>
      <c r="BL10" s="66">
        <v>61</v>
      </c>
      <c r="BM10" s="66">
        <v>62</v>
      </c>
      <c r="BN10" s="66">
        <v>63</v>
      </c>
      <c r="BO10" s="66">
        <v>64</v>
      </c>
      <c r="BP10" s="66">
        <v>65</v>
      </c>
      <c r="BQ10" s="66">
        <v>66</v>
      </c>
      <c r="BR10" s="66">
        <v>67</v>
      </c>
      <c r="BS10" s="66">
        <v>68</v>
      </c>
      <c r="BT10" s="66">
        <v>69</v>
      </c>
      <c r="BU10" s="66">
        <v>70</v>
      </c>
      <c r="BV10" s="66">
        <v>71</v>
      </c>
      <c r="BW10" s="66">
        <v>72</v>
      </c>
      <c r="BX10" s="66">
        <v>73</v>
      </c>
      <c r="BY10" s="66">
        <v>74</v>
      </c>
      <c r="BZ10" s="66">
        <v>75</v>
      </c>
      <c r="CA10" s="66">
        <v>76</v>
      </c>
      <c r="CB10" s="66">
        <v>77</v>
      </c>
      <c r="CC10" s="66">
        <v>78</v>
      </c>
      <c r="CD10" s="66">
        <v>79</v>
      </c>
      <c r="CE10" s="66">
        <v>80</v>
      </c>
      <c r="CF10" s="66">
        <v>81</v>
      </c>
      <c r="CG10" s="66">
        <v>82</v>
      </c>
      <c r="CH10" s="66">
        <v>83</v>
      </c>
      <c r="CI10" s="66">
        <v>84</v>
      </c>
      <c r="CJ10" s="66">
        <v>85</v>
      </c>
      <c r="CK10" s="66">
        <v>86</v>
      </c>
      <c r="CL10" s="66">
        <v>87</v>
      </c>
      <c r="CM10" s="66">
        <v>88</v>
      </c>
      <c r="CN10" s="66">
        <v>89</v>
      </c>
      <c r="CO10" s="66">
        <v>90</v>
      </c>
      <c r="CP10" s="66">
        <v>91</v>
      </c>
      <c r="CQ10" s="66">
        <v>92</v>
      </c>
      <c r="CR10" s="66">
        <v>93</v>
      </c>
      <c r="CS10" s="66">
        <v>94</v>
      </c>
      <c r="CT10" s="66">
        <v>95</v>
      </c>
      <c r="CU10" s="66">
        <v>96</v>
      </c>
      <c r="CV10" s="66">
        <v>97</v>
      </c>
      <c r="CW10" s="66">
        <v>98</v>
      </c>
      <c r="CX10" s="66">
        <v>99</v>
      </c>
      <c r="CY10" s="66">
        <v>100</v>
      </c>
      <c r="CZ10" s="66">
        <v>101</v>
      </c>
      <c r="DA10" s="66">
        <v>102</v>
      </c>
      <c r="DB10" s="66">
        <v>103</v>
      </c>
      <c r="DC10" s="66">
        <v>104</v>
      </c>
      <c r="DD10" s="66">
        <v>105</v>
      </c>
      <c r="DE10" s="66">
        <v>106</v>
      </c>
      <c r="DF10" s="66">
        <v>107</v>
      </c>
      <c r="DG10" s="66">
        <v>108</v>
      </c>
      <c r="DH10" s="66">
        <v>109</v>
      </c>
      <c r="DI10" s="66">
        <v>110</v>
      </c>
      <c r="DJ10" s="66">
        <v>111</v>
      </c>
      <c r="DK10" s="66">
        <v>112</v>
      </c>
      <c r="DL10" s="66">
        <v>113</v>
      </c>
      <c r="DM10" s="66">
        <v>114</v>
      </c>
      <c r="DN10" s="66">
        <v>115</v>
      </c>
      <c r="DO10" s="66">
        <v>116</v>
      </c>
      <c r="DP10" s="66">
        <v>117</v>
      </c>
      <c r="DQ10" s="66">
        <v>118</v>
      </c>
      <c r="DR10" s="66">
        <v>119</v>
      </c>
      <c r="DS10" s="66">
        <v>120</v>
      </c>
    </row>
    <row r="11" spans="1:123" customHeight="1" ht="15.75">
      <c r="B11" s="60" t="s">
        <v>717</v>
      </c>
      <c r="C11" s="67"/>
      <c r="D11" s="67">
        <v>500</v>
      </c>
      <c r="E11" s="67">
        <v>500</v>
      </c>
      <c r="F11" s="67">
        <v>500</v>
      </c>
      <c r="G11" s="67">
        <v>500</v>
      </c>
      <c r="H11" s="67">
        <v>500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</row>
    <row r="12" spans="1:123" customHeight="1" ht="15.75">
      <c r="B12" s="60" t="s">
        <v>511</v>
      </c>
      <c r="C12" s="67">
        <v>2000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</row>
    <row r="13" spans="1:123" customHeight="1" ht="14.4"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</row>
    <row r="17" spans="1:123" customHeight="1" ht="14.4">
      <c r="B17" s="69"/>
    </row>
  </sheetData>
  <sheetProtection formatCells="0" formatColumns="0" formatRows="0" insertColumns="0" insertRows="0" insertHyperlinks="0" deleteColumns="0" deleteRows="0" sort="0" autoFilter="0" pivotTables="0"/>
  <mergeCells>
    <mergeCell ref="B2:C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EEBDF"/>
    <outlinePr summaryBelow="1" summaryRight="1"/>
  </sheetPr>
  <dimension ref="A1:N65"/>
  <sheetViews>
    <sheetView tabSelected="0" workbookViewId="0" showGridLines="true" showRowColHeaders="1" topLeftCell="A40">
      <selection activeCell="A43" sqref="A43"/>
    </sheetView>
  </sheetViews>
  <sheetFormatPr defaultRowHeight="14.4" defaultColWidth="11.44140625" outlineLevelRow="0" outlineLevelCol="0"/>
  <cols>
    <col min="1" max="1" width="24.5546875" customWidth="true" style="0"/>
    <col min="3" max="3" width="22.33203125" customWidth="true" style="0"/>
    <col min="5" max="5" width="21.5546875" customWidth="true" style="0"/>
    <col min="7" max="7" width="23.33203125" customWidth="true" style="0"/>
  </cols>
  <sheetData>
    <row r="1" spans="1:14">
      <c r="A1" s="27" t="s">
        <v>718</v>
      </c>
      <c r="B1" s="28"/>
      <c r="C1" s="27" t="s">
        <v>719</v>
      </c>
      <c r="E1" s="27" t="s">
        <v>720</v>
      </c>
      <c r="F1" s="28"/>
      <c r="G1" s="27" t="s">
        <v>721</v>
      </c>
      <c r="I1" s="27" t="s">
        <v>722</v>
      </c>
      <c r="L1" s="27" t="s">
        <v>3</v>
      </c>
      <c r="N1" s="27" t="s">
        <v>723</v>
      </c>
    </row>
    <row r="2" spans="1:14">
      <c r="A2" s="30" t="s">
        <v>110</v>
      </c>
      <c r="C2" s="95" t="s">
        <v>522</v>
      </c>
      <c r="E2" s="29" t="s">
        <v>724</v>
      </c>
      <c r="G2" s="29">
        <v>1</v>
      </c>
      <c r="I2" t="s">
        <v>725</v>
      </c>
      <c r="J2" t="s">
        <v>726</v>
      </c>
      <c r="L2" s="92" t="s">
        <v>4</v>
      </c>
      <c r="N2" s="92" t="s">
        <v>492</v>
      </c>
    </row>
    <row r="3" spans="1:14">
      <c r="A3" s="75" t="s">
        <v>727</v>
      </c>
      <c r="C3" s="93" t="s">
        <v>523</v>
      </c>
      <c r="E3" s="31" t="s">
        <v>728</v>
      </c>
      <c r="G3" s="31">
        <v>2</v>
      </c>
      <c r="I3" s="102">
        <v>44197</v>
      </c>
      <c r="J3" s="102">
        <v>44561</v>
      </c>
      <c r="L3" s="92" t="s">
        <v>300</v>
      </c>
      <c r="N3" s="92" t="s">
        <v>493</v>
      </c>
    </row>
    <row r="4" spans="1:14">
      <c r="C4" s="29">
        <v>1</v>
      </c>
      <c r="E4" s="58" t="s">
        <v>715</v>
      </c>
      <c r="G4" s="29">
        <v>3</v>
      </c>
      <c r="I4" s="102">
        <v>44562</v>
      </c>
      <c r="J4" s="102">
        <v>44926</v>
      </c>
      <c r="N4" s="92" t="s">
        <v>494</v>
      </c>
    </row>
    <row r="5" spans="1:14">
      <c r="C5" s="31">
        <v>2</v>
      </c>
      <c r="G5" s="31">
        <v>4</v>
      </c>
      <c r="I5" s="102">
        <v>44927</v>
      </c>
      <c r="J5" s="102">
        <v>45291</v>
      </c>
      <c r="N5" s="92" t="s">
        <v>495</v>
      </c>
    </row>
    <row r="6" spans="1:14">
      <c r="C6" s="29">
        <v>3</v>
      </c>
      <c r="G6" s="29">
        <v>5</v>
      </c>
      <c r="I6" s="102">
        <v>45292</v>
      </c>
      <c r="J6" s="102">
        <v>46022</v>
      </c>
      <c r="N6" s="92" t="s">
        <v>496</v>
      </c>
    </row>
    <row r="7" spans="1:14">
      <c r="C7" s="31">
        <v>5</v>
      </c>
      <c r="G7" s="31">
        <v>6</v>
      </c>
      <c r="I7" s="102">
        <v>45658</v>
      </c>
      <c r="J7" s="102">
        <v>45658</v>
      </c>
      <c r="N7" s="92" t="s">
        <v>497</v>
      </c>
    </row>
    <row r="8" spans="1:14">
      <c r="C8" s="29">
        <v>7</v>
      </c>
      <c r="G8" s="58">
        <v>7</v>
      </c>
      <c r="N8" s="92" t="s">
        <v>2</v>
      </c>
    </row>
    <row r="9" spans="1:14">
      <c r="C9" s="31">
        <v>10</v>
      </c>
      <c r="G9" s="73">
        <v>8</v>
      </c>
      <c r="N9" s="92" t="s">
        <v>498</v>
      </c>
    </row>
    <row r="10" spans="1:14">
      <c r="C10" s="29">
        <v>20</v>
      </c>
      <c r="G10" s="74">
        <v>9</v>
      </c>
    </row>
    <row r="11" spans="1:14">
      <c r="C11" s="32">
        <v>30</v>
      </c>
      <c r="G11" s="73">
        <v>10</v>
      </c>
    </row>
    <row r="12" spans="1:14">
      <c r="G12" s="74">
        <v>11</v>
      </c>
    </row>
    <row r="13" spans="1:14">
      <c r="G13" s="73">
        <v>12</v>
      </c>
    </row>
    <row r="14" spans="1:14">
      <c r="G14" s="74">
        <v>13</v>
      </c>
    </row>
    <row r="15" spans="1:14">
      <c r="G15" s="73">
        <v>14</v>
      </c>
    </row>
    <row r="16" spans="1:14">
      <c r="G16" s="74">
        <v>15</v>
      </c>
    </row>
    <row r="17" spans="1:14">
      <c r="G17" s="73">
        <v>16</v>
      </c>
    </row>
    <row r="18" spans="1:14">
      <c r="G18" s="74">
        <v>17</v>
      </c>
    </row>
    <row r="19" spans="1:14">
      <c r="G19" s="73">
        <v>18</v>
      </c>
    </row>
    <row r="20" spans="1:14">
      <c r="G20" s="74">
        <v>19</v>
      </c>
    </row>
    <row r="21" spans="1:14">
      <c r="G21" s="73">
        <v>20</v>
      </c>
    </row>
    <row r="22" spans="1:14">
      <c r="G22" s="74">
        <v>21</v>
      </c>
    </row>
    <row r="23" spans="1:14">
      <c r="G23" s="73">
        <v>22</v>
      </c>
    </row>
    <row r="24" spans="1:14">
      <c r="G24" s="74">
        <v>23</v>
      </c>
    </row>
    <row r="25" spans="1:14">
      <c r="G25" s="73">
        <v>24</v>
      </c>
    </row>
    <row r="26" spans="1:14">
      <c r="G26" s="74">
        <v>25</v>
      </c>
    </row>
    <row r="27" spans="1:14">
      <c r="G27" s="73">
        <v>26</v>
      </c>
    </row>
    <row r="28" spans="1:14">
      <c r="G28" s="74">
        <v>27</v>
      </c>
    </row>
    <row r="29" spans="1:14">
      <c r="G29" s="73">
        <v>28</v>
      </c>
    </row>
    <row r="30" spans="1:14">
      <c r="G30" s="74">
        <v>29</v>
      </c>
    </row>
    <row r="31" spans="1:14">
      <c r="G31" s="73">
        <v>30</v>
      </c>
    </row>
    <row r="40" spans="1:14">
      <c r="A40" s="116" t="s">
        <v>729</v>
      </c>
    </row>
    <row r="41" spans="1:14">
      <c r="A41" s="758">
        <v>45838</v>
      </c>
    </row>
    <row r="42" spans="1:14">
      <c r="A42" s="758">
        <v>45747</v>
      </c>
    </row>
    <row r="43" spans="1:14">
      <c r="A43" s="639">
        <v>45657</v>
      </c>
    </row>
    <row r="44" spans="1:14">
      <c r="A44" s="639">
        <v>45565</v>
      </c>
    </row>
    <row r="45" spans="1:14">
      <c r="A45" s="639">
        <v>45473</v>
      </c>
    </row>
    <row r="46" spans="1:14">
      <c r="A46" s="639">
        <v>45382</v>
      </c>
    </row>
    <row r="47" spans="1:14">
      <c r="A47" s="639">
        <v>45291</v>
      </c>
    </row>
    <row r="48" spans="1:14">
      <c r="A48" s="639">
        <v>45199</v>
      </c>
    </row>
    <row r="49" spans="1:14">
      <c r="A49" s="639">
        <v>45107</v>
      </c>
    </row>
    <row r="50" spans="1:14">
      <c r="A50" s="639">
        <v>45016</v>
      </c>
    </row>
    <row r="51" spans="1:14">
      <c r="A51" s="117">
        <v>44926</v>
      </c>
    </row>
    <row r="52" spans="1:14">
      <c r="A52" s="117">
        <v>44834</v>
      </c>
      <c r="B52">
        <f>YEAR(A58)</f>
        <v>2021</v>
      </c>
      <c r="C52">
        <v>3.411</v>
      </c>
    </row>
    <row r="53" spans="1:14">
      <c r="A53" s="117">
        <v>44742</v>
      </c>
      <c r="B53">
        <f>YEAR(A59)</f>
        <v>2016</v>
      </c>
      <c r="C53">
        <v>3.356</v>
      </c>
    </row>
    <row r="54" spans="1:14">
      <c r="A54" s="117">
        <v>44651</v>
      </c>
      <c r="B54">
        <f>YEAR(A60)</f>
        <v>2017</v>
      </c>
      <c r="C54">
        <v>3.241</v>
      </c>
    </row>
    <row r="55" spans="1:14">
      <c r="A55" s="117">
        <v>44561</v>
      </c>
      <c r="B55">
        <f>YEAR(A61)</f>
        <v>2018</v>
      </c>
      <c r="C55">
        <v>3.373</v>
      </c>
    </row>
    <row r="56" spans="1:14">
      <c r="A56" s="117">
        <v>44469</v>
      </c>
      <c r="B56">
        <f>YEAR(A62)</f>
        <v>2019</v>
      </c>
      <c r="C56">
        <v>3.314</v>
      </c>
    </row>
    <row r="57" spans="1:14">
      <c r="A57" s="117">
        <v>44377</v>
      </c>
      <c r="B57">
        <f>YEAR(A63)</f>
        <v>2020</v>
      </c>
      <c r="C57">
        <v>3.621</v>
      </c>
    </row>
    <row r="58" spans="1:14">
      <c r="A58" s="117">
        <v>44286</v>
      </c>
      <c r="B58">
        <f>YEAR(A64)</f>
        <v>2021</v>
      </c>
      <c r="C58">
        <v>3.987</v>
      </c>
    </row>
    <row r="59" spans="1:14">
      <c r="A59" s="102">
        <v>42734</v>
      </c>
      <c r="B59">
        <f>YEAR(A65)</f>
        <v>2022</v>
      </c>
      <c r="C59">
        <v>3.852</v>
      </c>
    </row>
    <row r="60" spans="1:14">
      <c r="A60" s="102">
        <v>43098</v>
      </c>
    </row>
    <row r="61" spans="1:14">
      <c r="A61" s="102">
        <v>43465</v>
      </c>
    </row>
    <row r="62" spans="1:14">
      <c r="A62" s="102">
        <v>43830</v>
      </c>
    </row>
    <row r="63" spans="1:14">
      <c r="A63" s="102">
        <v>44196</v>
      </c>
    </row>
    <row r="64" spans="1:14">
      <c r="A64" s="102">
        <v>44561</v>
      </c>
    </row>
    <row r="65" spans="1:14">
      <c r="A65" s="102">
        <v>44895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1">
    <tablePart r:id="rId_table_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W57"/>
  <sheetViews>
    <sheetView tabSelected="0" workbookViewId="0" zoomScale="40" zoomScaleNormal="40" showGridLines="true" showRowColHeaders="1" topLeftCell="A28">
      <selection activeCell="C57" sqref="C57"/>
    </sheetView>
  </sheetViews>
  <sheetFormatPr defaultRowHeight="14.4" defaultColWidth="11.5546875" outlineLevelRow="0" outlineLevelCol="0"/>
  <cols>
    <col min="1" max="1" width="11.5546875" style="175"/>
    <col min="2" max="2" width="41.5546875" customWidth="true" style="175"/>
    <col min="3" max="3" width="11.5546875" style="175"/>
    <col min="4" max="4" width="11.5546875" style="175"/>
    <col min="5" max="5" width="11.5546875" style="175"/>
    <col min="6" max="6" width="11.5546875" style="175"/>
    <col min="7" max="7" width="11.5546875" style="203"/>
    <col min="8" max="8" width="11.5546875" style="175"/>
    <col min="9" max="9" width="11.5546875" style="175"/>
    <col min="10" max="10" width="11.5546875" style="175"/>
    <col min="11" max="11" width="11.5546875" style="175"/>
    <col min="12" max="12" width="17" customWidth="true" style="175"/>
    <col min="13" max="13" width="11.5546875" style="175"/>
    <col min="14" max="14" width="11.5546875" style="175"/>
    <col min="15" max="15" width="11.5546875" style="175"/>
    <col min="16" max="16" width="11.5546875" style="175"/>
    <col min="17" max="17" width="12.5546875" customWidth="true" style="175"/>
    <col min="18" max="18" width="11.5546875" style="175"/>
    <col min="19" max="19" width="11.5546875" style="175"/>
    <col min="20" max="20" width="11.5546875" style="175"/>
    <col min="21" max="21" width="11.5546875" style="175"/>
    <col min="22" max="22" width="12.6640625" customWidth="true" style="175"/>
    <col min="23" max="23" width="11.5546875" style="175"/>
  </cols>
  <sheetData>
    <row r="2" spans="1:23" s="281" customFormat="1">
      <c r="B2" s="166" t="s">
        <v>730</v>
      </c>
      <c r="G2" s="282"/>
    </row>
    <row r="3" spans="1:23" s="283" customFormat="1">
      <c r="G3" s="284"/>
    </row>
    <row r="4" spans="1:23" customHeight="1" ht="15.6" s="169" customFormat="1">
      <c r="B4" s="168" t="s">
        <v>433</v>
      </c>
      <c r="G4" s="170"/>
    </row>
    <row r="5" spans="1:23" s="283" customFormat="1">
      <c r="G5" s="284"/>
    </row>
    <row r="6" spans="1:23" s="283" customFormat="1">
      <c r="G6" s="284"/>
    </row>
    <row r="7" spans="1:23">
      <c r="B7" s="775" t="s">
        <v>731</v>
      </c>
      <c r="C7" s="285">
        <f>IFERROR('EE.FF Económicos'!D2,"")</f>
        <v>2017</v>
      </c>
      <c r="D7" s="286">
        <f>IFERROR('EE.FF Económicos'!E2,"")</f>
        <v>2018</v>
      </c>
      <c r="E7" s="286">
        <f>IFERROR('EE.FF Económicos'!F2,"")</f>
        <v>2019</v>
      </c>
      <c r="F7" s="286">
        <f>IFERROR('EE.FF Económicos'!G2,"")</f>
        <v>2020</v>
      </c>
      <c r="G7" s="287">
        <f>IFERROR('EE.FF Económicos'!H2,"")</f>
        <v>2021</v>
      </c>
      <c r="H7" s="286">
        <v>2022</v>
      </c>
      <c r="I7" s="286">
        <v>2023</v>
      </c>
      <c r="J7" s="286">
        <v>2024</v>
      </c>
      <c r="K7" s="286">
        <v>2025</v>
      </c>
      <c r="L7" s="286">
        <v>2026</v>
      </c>
      <c r="M7" s="286">
        <v>2027</v>
      </c>
      <c r="N7" s="286">
        <v>2028</v>
      </c>
      <c r="O7" s="286">
        <v>2029</v>
      </c>
      <c r="P7" s="286">
        <v>2030</v>
      </c>
      <c r="Q7" s="286">
        <v>2031</v>
      </c>
      <c r="R7" s="286">
        <v>2032</v>
      </c>
      <c r="S7" s="286">
        <v>2033</v>
      </c>
      <c r="T7" s="286">
        <v>2034</v>
      </c>
      <c r="U7" s="286">
        <v>2035</v>
      </c>
      <c r="V7" s="288">
        <v>2036</v>
      </c>
    </row>
    <row r="8" spans="1:23">
      <c r="B8" s="776"/>
      <c r="C8" s="289">
        <f>IFERROR('EE.FF Económicos'!D3,"")</f>
        <v>1</v>
      </c>
      <c r="D8" s="290">
        <f>IFERROR('EE.FF Económicos'!E3,"")</f>
        <v>2</v>
      </c>
      <c r="E8" s="290">
        <f>IFERROR('EE.FF Económicos'!F3,"")</f>
        <v>3</v>
      </c>
      <c r="F8" s="290">
        <f>IFERROR('EE.FF Económicos'!G3,"")</f>
        <v>4</v>
      </c>
      <c r="G8" s="291">
        <f>IFERROR('EE.FF Económicos'!H3,"")</f>
        <v>5</v>
      </c>
      <c r="H8" s="354">
        <v>6</v>
      </c>
      <c r="I8" s="354">
        <v>7</v>
      </c>
      <c r="J8" s="354">
        <v>8</v>
      </c>
      <c r="K8" s="354">
        <v>9</v>
      </c>
      <c r="L8" s="354">
        <v>10</v>
      </c>
      <c r="M8" s="354">
        <v>11</v>
      </c>
      <c r="N8" s="354">
        <v>12</v>
      </c>
      <c r="O8" s="354">
        <v>13</v>
      </c>
      <c r="P8" s="354">
        <v>14</v>
      </c>
      <c r="Q8" s="354">
        <v>15</v>
      </c>
      <c r="R8" s="354">
        <v>16</v>
      </c>
      <c r="S8" s="354">
        <v>17</v>
      </c>
      <c r="T8" s="354">
        <v>18</v>
      </c>
      <c r="U8" s="354">
        <v>19</v>
      </c>
      <c r="V8" s="292">
        <v>20</v>
      </c>
    </row>
    <row r="9" spans="1:23">
      <c r="B9" s="181" t="s">
        <v>435</v>
      </c>
      <c r="C9" s="182">
        <f>IF('EE.FF Económicos'!D44=0,"",'EE.FF Económicos'!D44)</f>
        <v>688179.76</v>
      </c>
      <c r="D9" s="183">
        <f>IF('EE.FF Económicos'!E44=0,"",'EE.FF Económicos'!E44)</f>
        <v>757098.17</v>
      </c>
      <c r="E9" s="183">
        <f>IF('EE.FF Económicos'!F44=0,"",'EE.FF Económicos'!F44)</f>
        <v>966773.375</v>
      </c>
      <c r="F9" s="183">
        <f>IF('EE.FF Económicos'!G44=0,"",'EE.FF Económicos'!G44)</f>
        <v>845730.315</v>
      </c>
      <c r="G9" s="184">
        <f>IF('EE.FF Económicos'!H44=0,"",'EE.FF Económicos'!H44)</f>
        <v>878655.03</v>
      </c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8"/>
    </row>
    <row r="10" spans="1:23">
      <c r="B10" s="186" t="s">
        <v>436</v>
      </c>
      <c r="C10" s="187"/>
      <c r="D10" s="157">
        <f>IF(C9="","",AVERAGE(C9:D9))</f>
        <v>722638.965</v>
      </c>
      <c r="E10" s="157">
        <f>IF(D9="","",AVERAGE(D9:E9))</f>
        <v>861935.7725</v>
      </c>
      <c r="F10" s="157">
        <f>IF(E9="","",AVERAGE(E9:F9))</f>
        <v>906251.845</v>
      </c>
      <c r="G10" s="189">
        <f>IF(F9="","",AVERAGE(F9:G9))</f>
        <v>862192.6725</v>
      </c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1"/>
    </row>
    <row r="11" spans="1:23">
      <c r="B11" s="186" t="s">
        <v>437</v>
      </c>
      <c r="C11" s="187"/>
      <c r="D11" s="188"/>
      <c r="E11" s="188"/>
      <c r="F11" s="188"/>
      <c r="G11" s="189" t="e">
        <f>LN(F8)*$E$16+$F$21</f>
        <v>#REF!</v>
      </c>
      <c r="H11" s="157" t="e">
        <f>LN(G8)*$E$16+$F$21</f>
        <v>#REF!</v>
      </c>
      <c r="I11" s="157" t="e">
        <f>LN(H8)*$E$16+$F$21</f>
        <v>#REF!</v>
      </c>
      <c r="J11" s="157" t="e">
        <f>LN(I8)*$E$16+$F$21</f>
        <v>#REF!</v>
      </c>
      <c r="K11" s="157" t="e">
        <f>LN(J8)*$E$16+$F$21</f>
        <v>#REF!</v>
      </c>
      <c r="L11" s="157" t="e">
        <f>LN(K8)*$E$16+$F$21</f>
        <v>#REF!</v>
      </c>
      <c r="M11" s="157" t="e">
        <f>LN(L8)*$E$16+$F$21</f>
        <v>#REF!</v>
      </c>
      <c r="N11" s="157" t="e">
        <f>LN(M8)*$E$16+$F$21</f>
        <v>#REF!</v>
      </c>
      <c r="O11" s="157" t="e">
        <f>LN(N8)*$E$16+$F$21</f>
        <v>#REF!</v>
      </c>
      <c r="P11" s="157" t="e">
        <f>LN(O8)*$E$16+$F$21</f>
        <v>#REF!</v>
      </c>
      <c r="Q11" s="157" t="e">
        <f>LN(P8)*$E$16+$F$21</f>
        <v>#REF!</v>
      </c>
      <c r="R11" s="157" t="e">
        <f>LN(Q8)*$E$16+$F$21</f>
        <v>#REF!</v>
      </c>
      <c r="S11" s="157" t="e">
        <f>LN(R8)*$E$16+$F$21</f>
        <v>#REF!</v>
      </c>
      <c r="T11" s="157" t="e">
        <f>LN(S8)*$E$16+$F$21</f>
        <v>#REF!</v>
      </c>
      <c r="U11" s="157" t="e">
        <f>LN(T8)*$E$16+$F$21</f>
        <v>#REF!</v>
      </c>
      <c r="V11" s="192" t="e">
        <f>LN(U8)*$E$16+$F$21</f>
        <v>#REF!</v>
      </c>
    </row>
    <row r="12" spans="1:23">
      <c r="B12" s="425" t="s">
        <v>438</v>
      </c>
      <c r="C12" s="186"/>
      <c r="D12" s="190"/>
      <c r="E12" s="190"/>
      <c r="F12" s="190"/>
      <c r="G12" s="209"/>
      <c r="H12" s="164">
        <f>IF(H11/G11-1&gt;'EE.FF Económicos'!$D$53,H11/G11-1,'EE.FF Económicos'!$D$53)</f>
        <v>0.015</v>
      </c>
      <c r="I12" s="164">
        <f>IF(I11/H11-1&gt;'EE.FF Económicos'!$D$53,I11/H11-1,'EE.FF Económicos'!$D$53)</f>
        <v>0.015</v>
      </c>
      <c r="J12" s="164">
        <f>IF(J11/I11-1&gt;'EE.FF Económicos'!$D$53,J11/I11-1,'EE.FF Económicos'!$D$53)</f>
        <v>0.015</v>
      </c>
      <c r="K12" s="164">
        <f>IF(K11/J11-1&gt;'EE.FF Económicos'!$D$53,K11/J11-1,'EE.FF Económicos'!$D$53)</f>
        <v>0.015</v>
      </c>
      <c r="L12" s="164">
        <f>IF(L11/K11-1&gt;'EE.FF Económicos'!$D$53,L11/K11-1,'EE.FF Económicos'!$D$53)</f>
        <v>0.015</v>
      </c>
      <c r="M12" s="164">
        <f>IF(M11/L11-1&gt;'EE.FF Económicos'!$D$53,M11/L11-1,'EE.FF Económicos'!$D$53)</f>
        <v>0.015</v>
      </c>
      <c r="N12" s="164">
        <f>IF(N11/M11-1&gt;'EE.FF Económicos'!$D$53,N11/M11-1,'EE.FF Económicos'!$D$53)</f>
        <v>0.015</v>
      </c>
      <c r="O12" s="164">
        <f>IF(O11/N11-1&gt;'EE.FF Económicos'!$D$53,O11/N11-1,'EE.FF Económicos'!$D$53)</f>
        <v>0.015</v>
      </c>
      <c r="P12" s="164">
        <f>IF(P11/O11-1&gt;'EE.FF Económicos'!$D$53,P11/O11-1,'EE.FF Económicos'!$D$53)</f>
        <v>0.015</v>
      </c>
      <c r="Q12" s="164">
        <f>IF(Q11/P11-1&gt;'EE.FF Económicos'!$D$53,Q11/P11-1,'EE.FF Económicos'!$D$53)</f>
        <v>0.015</v>
      </c>
      <c r="R12" s="164">
        <f>IF(R11/Q11-1&gt;'EE.FF Económicos'!$D$53,R11/Q11-1,'EE.FF Económicos'!$D$53)</f>
        <v>0.015</v>
      </c>
      <c r="S12" s="164">
        <f>IF(S11/R11-1&gt;'EE.FF Económicos'!$D$53,S11/R11-1,'EE.FF Económicos'!$D$53)</f>
        <v>0.015</v>
      </c>
      <c r="T12" s="164">
        <f>IF(T11/S11-1&gt;'EE.FF Económicos'!$D$53,T11/S11-1,'EE.FF Económicos'!$D$53)</f>
        <v>0.015</v>
      </c>
      <c r="U12" s="164">
        <f>IF(U11/T11-1&gt;'EE.FF Económicos'!$D$53,U11/T11-1,'EE.FF Económicos'!$D$53)</f>
        <v>0.015</v>
      </c>
      <c r="V12" s="196">
        <f>IF(V11/U11-1&gt;'EE.FF Económicos'!$D$53,V11/U11-1,'EE.FF Económicos'!$D$53)</f>
        <v>0.015</v>
      </c>
    </row>
    <row r="13" spans="1:23">
      <c r="B13" s="198" t="s">
        <v>439</v>
      </c>
      <c r="C13" s="227">
        <f>C9</f>
        <v>688179.76</v>
      </c>
      <c r="D13" s="201">
        <f>D9</f>
        <v>757098.17</v>
      </c>
      <c r="E13" s="201">
        <f>E9</f>
        <v>966773.375</v>
      </c>
      <c r="F13" s="201">
        <f>F9</f>
        <v>845730.315</v>
      </c>
      <c r="G13" s="228">
        <f>G9</f>
        <v>878655.03</v>
      </c>
      <c r="H13" s="201" t="e">
        <f>G11*(1+H12)</f>
        <v>#REF!</v>
      </c>
      <c r="I13" s="201" t="e">
        <f>H13*(1+I12)</f>
        <v>#REF!</v>
      </c>
      <c r="J13" s="201" t="e">
        <f>I13*(1+J12)</f>
        <v>#REF!</v>
      </c>
      <c r="K13" s="201" t="e">
        <f>J13*(1+K12)</f>
        <v>#REF!</v>
      </c>
      <c r="L13" s="201" t="e">
        <f>K13*(1+L12)</f>
        <v>#REF!</v>
      </c>
      <c r="M13" s="201" t="e">
        <f>L13*(1+M12)</f>
        <v>#REF!</v>
      </c>
      <c r="N13" s="201" t="e">
        <f>M13*(1+N12)</f>
        <v>#REF!</v>
      </c>
      <c r="O13" s="201" t="e">
        <f>N13*(1+O12)</f>
        <v>#REF!</v>
      </c>
      <c r="P13" s="201" t="e">
        <f>O13*(1+P12)</f>
        <v>#REF!</v>
      </c>
      <c r="Q13" s="201" t="e">
        <f>P13*(1+Q12)</f>
        <v>#REF!</v>
      </c>
      <c r="R13" s="201" t="e">
        <f>Q13*(1+R12)</f>
        <v>#REF!</v>
      </c>
      <c r="S13" s="201" t="e">
        <f>R13*(1+S12)</f>
        <v>#REF!</v>
      </c>
      <c r="T13" s="201" t="e">
        <f>S13*(1+T12)</f>
        <v>#REF!</v>
      </c>
      <c r="U13" s="201" t="e">
        <f>T13*(1+U12)</f>
        <v>#REF!</v>
      </c>
      <c r="V13" s="202" t="e">
        <f>U13*(1+V12)</f>
        <v>#REF!</v>
      </c>
    </row>
    <row r="14" spans="1:23">
      <c r="H14" s="204"/>
      <c r="I14" s="204"/>
      <c r="J14" s="204"/>
      <c r="K14" s="204"/>
      <c r="L14" s="204"/>
      <c r="M14" s="204"/>
      <c r="N14" s="204"/>
      <c r="O14" s="204"/>
      <c r="P14" s="204"/>
      <c r="Q14" s="204"/>
    </row>
    <row r="15" spans="1:23">
      <c r="E15" s="229" t="s">
        <v>440</v>
      </c>
      <c r="F15" s="210" t="s">
        <v>441</v>
      </c>
    </row>
    <row r="16" spans="1:23">
      <c r="E16" s="207" t="e">
        <f>INDEX(LINEST(INDEX(C10:G10,COUNTBLANK(C10:G10)+1):G10,LN(INDEX(C8:G8,COUNTBLANK(C10:G10)):INDEX(C8:G8,4)),TRUE,),1)</f>
        <v>#REF!</v>
      </c>
      <c r="F16" s="208" t="e">
        <f>INDEX(LINEST(INDEX(C10:G10,COUNTBLANK(C10:G10)+1):G10,LN(INDEX(C8:G8,COUNTBLANK(C10:G10)):INDEX(C8:G8,4)),TRUE,),2)</f>
        <v>#REF!</v>
      </c>
    </row>
    <row r="18" spans="1:23">
      <c r="E18" s="773" t="s">
        <v>442</v>
      </c>
      <c r="F18" s="774"/>
    </row>
    <row r="19" spans="1:23">
      <c r="E19" s="211" t="s">
        <v>443</v>
      </c>
      <c r="F19" s="212">
        <f>G10</f>
        <v>862192.6725</v>
      </c>
      <c r="J19" s="222"/>
    </row>
    <row r="20" spans="1:23">
      <c r="E20" s="213" t="s">
        <v>444</v>
      </c>
      <c r="F20" s="214" t="e">
        <f>LN(F8)*E16+F16</f>
        <v>#REF!</v>
      </c>
      <c r="J20" s="222"/>
    </row>
    <row r="21" spans="1:23">
      <c r="E21" s="215" t="s">
        <v>445</v>
      </c>
      <c r="F21" s="207" t="e">
        <f>F16+F19-F20</f>
        <v>#REF!</v>
      </c>
    </row>
    <row r="22" spans="1:23">
      <c r="F22" s="222"/>
    </row>
    <row r="23" spans="1:23">
      <c r="F23" s="222"/>
    </row>
    <row r="24" spans="1:23">
      <c r="F24" s="222"/>
    </row>
    <row r="25" spans="1:23" customHeight="1" ht="15.6" s="169" customFormat="1">
      <c r="B25" s="168" t="s">
        <v>460</v>
      </c>
      <c r="G25" s="170"/>
    </row>
    <row r="26" spans="1:23" customHeight="1" ht="15.6" s="293" customFormat="1">
      <c r="B26" s="294"/>
      <c r="G26" s="295"/>
    </row>
    <row r="27" spans="1:23">
      <c r="A27" s="296"/>
      <c r="B27" s="181" t="s">
        <v>92</v>
      </c>
      <c r="C27" s="225"/>
      <c r="D27" s="225"/>
      <c r="E27" s="225"/>
      <c r="F27" s="225"/>
      <c r="G27" s="297"/>
      <c r="H27" s="298" t="e">
        <f>'M. por conceptos'!H171</f>
        <v>#REF!</v>
      </c>
      <c r="I27" s="298" t="e">
        <f>'M. por conceptos'!I171</f>
        <v>#REF!</v>
      </c>
      <c r="J27" s="298" t="e">
        <f>'M. por conceptos'!J171</f>
        <v>#REF!</v>
      </c>
      <c r="K27" s="298" t="e">
        <f>'M. por conceptos'!K171</f>
        <v>#REF!</v>
      </c>
      <c r="L27" s="298" t="e">
        <f>'M. por conceptos'!L171</f>
        <v>#REF!</v>
      </c>
      <c r="M27" s="298" t="e">
        <f>'M. por conceptos'!M171</f>
        <v>#REF!</v>
      </c>
      <c r="N27" s="298" t="e">
        <f>'M. por conceptos'!N171</f>
        <v>#REF!</v>
      </c>
      <c r="O27" s="298" t="e">
        <f>'M. por conceptos'!O171</f>
        <v>#REF!</v>
      </c>
      <c r="P27" s="298" t="e">
        <f>'M. por conceptos'!P171</f>
        <v>#REF!</v>
      </c>
      <c r="Q27" s="298" t="e">
        <f>'M. por conceptos'!Q171</f>
        <v>#REF!</v>
      </c>
      <c r="R27" s="298" t="e">
        <f>'M. por conceptos'!R171</f>
        <v>#REF!</v>
      </c>
      <c r="S27" s="298" t="e">
        <f>'M. por conceptos'!S171</f>
        <v>#REF!</v>
      </c>
      <c r="T27" s="298" t="e">
        <f>'M. por conceptos'!T171</f>
        <v>#REF!</v>
      </c>
      <c r="U27" s="298" t="e">
        <f>'M. por conceptos'!U171</f>
        <v>#REF!</v>
      </c>
      <c r="V27" s="299" t="e">
        <f>'M. por conceptos'!V171</f>
        <v>#REF!</v>
      </c>
    </row>
    <row r="28" spans="1:23">
      <c r="A28" s="296"/>
      <c r="B28" s="186" t="s">
        <v>467</v>
      </c>
      <c r="C28" s="190"/>
      <c r="D28" s="190"/>
      <c r="E28" s="190"/>
      <c r="F28" s="190"/>
      <c r="G28" s="209"/>
      <c r="H28" s="300" t="e">
        <f>'M. por conceptos'!H172</f>
        <v>#REF!</v>
      </c>
      <c r="I28" s="300" t="e">
        <f>'M. por conceptos'!I172</f>
        <v>#REF!</v>
      </c>
      <c r="J28" s="300" t="e">
        <f>'M. por conceptos'!J172</f>
        <v>#REF!</v>
      </c>
      <c r="K28" s="300" t="e">
        <f>'M. por conceptos'!K172</f>
        <v>#REF!</v>
      </c>
      <c r="L28" s="300" t="e">
        <f>'M. por conceptos'!L172</f>
        <v>#REF!</v>
      </c>
      <c r="M28" s="300" t="e">
        <f>'M. por conceptos'!M172</f>
        <v>#REF!</v>
      </c>
      <c r="N28" s="300" t="e">
        <f>'M. por conceptos'!N172</f>
        <v>#REF!</v>
      </c>
      <c r="O28" s="300" t="e">
        <f>'M. por conceptos'!O172</f>
        <v>#REF!</v>
      </c>
      <c r="P28" s="300" t="e">
        <f>'M. por conceptos'!P172</f>
        <v>#REF!</v>
      </c>
      <c r="Q28" s="300" t="e">
        <f>'M. por conceptos'!Q172</f>
        <v>#REF!</v>
      </c>
      <c r="R28" s="300" t="e">
        <f>'M. por conceptos'!R172</f>
        <v>#REF!</v>
      </c>
      <c r="S28" s="300" t="e">
        <f>'M. por conceptos'!S172</f>
        <v>#REF!</v>
      </c>
      <c r="T28" s="300" t="e">
        <f>'M. por conceptos'!T172</f>
        <v>#REF!</v>
      </c>
      <c r="U28" s="300" t="e">
        <f>'M. por conceptos'!U172</f>
        <v>#REF!</v>
      </c>
      <c r="V28" s="301" t="e">
        <f>'M. por conceptos'!V172</f>
        <v>#REF!</v>
      </c>
    </row>
    <row r="29" spans="1:23">
      <c r="B29" s="260" t="s">
        <v>468</v>
      </c>
      <c r="C29" s="261"/>
      <c r="D29" s="261"/>
      <c r="E29" s="261"/>
      <c r="F29" s="261"/>
      <c r="G29" s="262"/>
      <c r="H29" s="255" t="e">
        <f>H13+H27+H28</f>
        <v>#REF!</v>
      </c>
      <c r="I29" s="255" t="e">
        <f>I13+I27+I28</f>
        <v>#REF!</v>
      </c>
      <c r="J29" s="255" t="e">
        <f>J13+J27+J28</f>
        <v>#REF!</v>
      </c>
      <c r="K29" s="255" t="e">
        <f>K13+K27+K28</f>
        <v>#REF!</v>
      </c>
      <c r="L29" s="255" t="e">
        <f>L13+L27+L28</f>
        <v>#REF!</v>
      </c>
      <c r="M29" s="255" t="e">
        <f>M13+M27+M28</f>
        <v>#REF!</v>
      </c>
      <c r="N29" s="255" t="e">
        <f>N13+N27+N28</f>
        <v>#REF!</v>
      </c>
      <c r="O29" s="255" t="e">
        <f>O13+O27+O28</f>
        <v>#REF!</v>
      </c>
      <c r="P29" s="255" t="e">
        <f>P13+P27+P28</f>
        <v>#REF!</v>
      </c>
      <c r="Q29" s="255" t="e">
        <f>Q13+Q27+Q28</f>
        <v>#REF!</v>
      </c>
      <c r="R29" s="255" t="e">
        <f>R13+R27+R28</f>
        <v>#REF!</v>
      </c>
      <c r="S29" s="255" t="e">
        <f>S13+S27+S28</f>
        <v>#REF!</v>
      </c>
      <c r="T29" s="255" t="e">
        <f>T13+T27+T28</f>
        <v>#REF!</v>
      </c>
      <c r="U29" s="255" t="e">
        <f>U13+U27+U28</f>
        <v>#REF!</v>
      </c>
      <c r="V29" s="257" t="e">
        <f>V13+V27+V28</f>
        <v>#REF!</v>
      </c>
    </row>
    <row r="30" spans="1:23">
      <c r="B30" s="186" t="s">
        <v>469</v>
      </c>
      <c r="C30" s="190"/>
      <c r="D30" s="190"/>
      <c r="E30" s="190"/>
      <c r="F30" s="190"/>
      <c r="G30" s="209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429" t="e">
        <f>V29*(1+'EE.FF Económicos'!$D$53)/(WACC!I44-'EE.FF Económicos'!$D$53)</f>
        <v>#REF!</v>
      </c>
    </row>
    <row r="31" spans="1:23">
      <c r="B31" s="198" t="s">
        <v>732</v>
      </c>
      <c r="C31" s="199"/>
      <c r="D31" s="199"/>
      <c r="E31" s="199"/>
      <c r="F31" s="199"/>
      <c r="G31" s="200"/>
      <c r="H31" s="201" t="e">
        <f>H29</f>
        <v>#REF!</v>
      </c>
      <c r="I31" s="201" t="e">
        <f>I29</f>
        <v>#REF!</v>
      </c>
      <c r="J31" s="201" t="e">
        <f>J29</f>
        <v>#REF!</v>
      </c>
      <c r="K31" s="201" t="e">
        <f>K29</f>
        <v>#REF!</v>
      </c>
      <c r="L31" s="201" t="e">
        <f>L29</f>
        <v>#REF!</v>
      </c>
      <c r="M31" s="201" t="e">
        <f>M29</f>
        <v>#REF!</v>
      </c>
      <c r="N31" s="201" t="e">
        <f>N29</f>
        <v>#REF!</v>
      </c>
      <c r="O31" s="201" t="e">
        <f>O29</f>
        <v>#REF!</v>
      </c>
      <c r="P31" s="201" t="e">
        <f>P29</f>
        <v>#REF!</v>
      </c>
      <c r="Q31" s="201" t="e">
        <f>Q29</f>
        <v>#REF!</v>
      </c>
      <c r="R31" s="201" t="e">
        <f>R29</f>
        <v>#REF!</v>
      </c>
      <c r="S31" s="201" t="e">
        <f>S29</f>
        <v>#REF!</v>
      </c>
      <c r="T31" s="201" t="e">
        <f>T29</f>
        <v>#REF!</v>
      </c>
      <c r="U31" s="201" t="e">
        <f>U29</f>
        <v>#REF!</v>
      </c>
      <c r="V31" s="202" t="e">
        <f>V29+V30</f>
        <v>#REF!</v>
      </c>
    </row>
    <row r="34" spans="1:23" customHeight="1" ht="15.6" s="266" customFormat="1">
      <c r="B34" s="168" t="s">
        <v>733</v>
      </c>
      <c r="G34" s="267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T34" s="269"/>
    </row>
    <row r="36" spans="1:23">
      <c r="L36" s="302" t="s">
        <v>472</v>
      </c>
      <c r="M36" s="303" t="s">
        <v>473</v>
      </c>
      <c r="N36" s="303" t="s">
        <v>474</v>
      </c>
    </row>
    <row r="37" spans="1:23">
      <c r="I37" s="181" t="s">
        <v>475</v>
      </c>
      <c r="J37" s="225"/>
      <c r="K37" s="225"/>
      <c r="L37" s="430">
        <f>NPV(WACC!I44,H31:V31)</f>
        <v>0</v>
      </c>
      <c r="M37" s="248"/>
      <c r="N37" s="248"/>
    </row>
    <row r="38" spans="1:23">
      <c r="I38" s="186" t="s">
        <v>476</v>
      </c>
      <c r="J38" s="190"/>
      <c r="K38" s="190"/>
      <c r="L38" s="439">
        <f>'EE.FF Económicos'!H24</f>
        <v>5437375</v>
      </c>
      <c r="M38" s="248"/>
      <c r="N38" s="248"/>
    </row>
    <row r="39" spans="1:23">
      <c r="I39" s="273" t="s">
        <v>80</v>
      </c>
      <c r="J39" s="274"/>
      <c r="K39" s="274"/>
      <c r="L39" s="430">
        <f>L37-L38</f>
        <v>-5437375</v>
      </c>
      <c r="M39" s="248"/>
      <c r="N39" s="248"/>
    </row>
    <row r="40" spans="1:23">
      <c r="I40" s="277" t="s">
        <v>477</v>
      </c>
      <c r="J40" s="278"/>
      <c r="K40" s="278"/>
      <c r="L40" s="304">
        <f>L39/'Plantilla Usuario'!C5</f>
        <v>-6.4181162315901</v>
      </c>
      <c r="M40" s="304">
        <v>6.05</v>
      </c>
      <c r="N40" s="304">
        <v>10.1</v>
      </c>
    </row>
    <row r="41" spans="1:23">
      <c r="I41" s="190"/>
      <c r="J41" s="190"/>
      <c r="K41" s="190"/>
      <c r="L41" s="380"/>
      <c r="M41" s="380"/>
      <c r="N41" s="380"/>
      <c r="O41" s="190"/>
    </row>
    <row r="42" spans="1:23" customHeight="1" ht="15.6" s="266" customFormat="1">
      <c r="B42" s="168" t="s">
        <v>478</v>
      </c>
      <c r="G42" s="267"/>
    </row>
    <row r="44" spans="1:23">
      <c r="B44" s="382" t="s">
        <v>468</v>
      </c>
      <c r="C44" s="383"/>
      <c r="D44" s="383"/>
      <c r="E44" s="383"/>
      <c r="F44" s="383"/>
      <c r="G44" s="384"/>
      <c r="H44" s="385" t="e">
        <f>H29</f>
        <v>#REF!</v>
      </c>
      <c r="I44" s="385" t="e">
        <f>I29</f>
        <v>#REF!</v>
      </c>
      <c r="J44" s="385" t="e">
        <f>J29</f>
        <v>#REF!</v>
      </c>
      <c r="K44" s="385" t="e">
        <f>K29</f>
        <v>#REF!</v>
      </c>
      <c r="L44" s="385" t="e">
        <f>L29</f>
        <v>#REF!</v>
      </c>
      <c r="M44" s="385" t="e">
        <f>M29</f>
        <v>#REF!</v>
      </c>
      <c r="N44" s="385" t="e">
        <f>N29</f>
        <v>#REF!</v>
      </c>
      <c r="O44" s="385" t="e">
        <f>O29</f>
        <v>#REF!</v>
      </c>
      <c r="P44" s="385" t="e">
        <f>P29</f>
        <v>#REF!</v>
      </c>
      <c r="Q44" s="385" t="e">
        <f>Q29</f>
        <v>#REF!</v>
      </c>
      <c r="R44" s="385" t="e">
        <f>R29</f>
        <v>#REF!</v>
      </c>
      <c r="S44" s="385" t="e">
        <f>S29</f>
        <v>#REF!</v>
      </c>
      <c r="T44" s="385" t="e">
        <f>T29</f>
        <v>#REF!</v>
      </c>
      <c r="U44" s="385" t="e">
        <f>U29</f>
        <v>#REF!</v>
      </c>
      <c r="V44" s="386" t="e">
        <f>V29</f>
        <v>#REF!</v>
      </c>
    </row>
    <row r="45" spans="1:23">
      <c r="B45" s="186" t="s">
        <v>469</v>
      </c>
      <c r="C45" s="190"/>
      <c r="D45" s="190"/>
      <c r="E45" s="190"/>
      <c r="F45" s="190"/>
      <c r="G45" s="209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429" t="e">
        <f>V44*(1+'EE.FF Económicos'!$D$53)/(WACC!$AO$38-'EE.FF Económicos'!$D$53)</f>
        <v>#REF!</v>
      </c>
    </row>
    <row r="46" spans="1:23">
      <c r="B46" s="198" t="s">
        <v>732</v>
      </c>
      <c r="C46" s="199"/>
      <c r="D46" s="199"/>
      <c r="E46" s="199"/>
      <c r="F46" s="199"/>
      <c r="G46" s="200"/>
      <c r="H46" s="201" t="e">
        <f>H44</f>
        <v>#REF!</v>
      </c>
      <c r="I46" s="201" t="e">
        <f>I44</f>
        <v>#REF!</v>
      </c>
      <c r="J46" s="201" t="e">
        <f>J44</f>
        <v>#REF!</v>
      </c>
      <c r="K46" s="201" t="e">
        <f>K44</f>
        <v>#REF!</v>
      </c>
      <c r="L46" s="201" t="e">
        <f>L44</f>
        <v>#REF!</v>
      </c>
      <c r="M46" s="201" t="e">
        <f>M44</f>
        <v>#REF!</v>
      </c>
      <c r="N46" s="201" t="e">
        <f>N44</f>
        <v>#REF!</v>
      </c>
      <c r="O46" s="201" t="e">
        <f>O44</f>
        <v>#REF!</v>
      </c>
      <c r="P46" s="201" t="e">
        <f>P44</f>
        <v>#REF!</v>
      </c>
      <c r="Q46" s="201" t="e">
        <f>Q44</f>
        <v>#REF!</v>
      </c>
      <c r="R46" s="201" t="e">
        <f>R44</f>
        <v>#REF!</v>
      </c>
      <c r="S46" s="201" t="e">
        <f>S44</f>
        <v>#REF!</v>
      </c>
      <c r="T46" s="201" t="e">
        <f>T44</f>
        <v>#REF!</v>
      </c>
      <c r="U46" s="201" t="e">
        <f>U44</f>
        <v>#REF!</v>
      </c>
      <c r="V46" s="202" t="e">
        <f>V44+V45</f>
        <v>#REF!</v>
      </c>
    </row>
    <row r="48" spans="1:23">
      <c r="L48" s="302" t="s">
        <v>472</v>
      </c>
      <c r="M48" s="303" t="s">
        <v>473</v>
      </c>
      <c r="N48" s="303" t="s">
        <v>474</v>
      </c>
    </row>
    <row r="49" spans="1:23">
      <c r="I49" s="181" t="s">
        <v>475</v>
      </c>
      <c r="J49" s="225"/>
      <c r="K49" s="225"/>
      <c r="L49" s="430">
        <f>NPV(WACC!AO38,H46:V46)</f>
        <v>0</v>
      </c>
      <c r="M49" s="248"/>
      <c r="N49" s="248"/>
    </row>
    <row r="50" spans="1:23">
      <c r="I50" s="186" t="s">
        <v>476</v>
      </c>
      <c r="J50" s="190"/>
      <c r="K50" s="190"/>
      <c r="L50" s="439">
        <f>L38</f>
        <v>5437375</v>
      </c>
      <c r="M50" s="248"/>
      <c r="N50" s="248"/>
    </row>
    <row r="51" spans="1:23">
      <c r="I51" s="273" t="s">
        <v>80</v>
      </c>
      <c r="J51" s="274"/>
      <c r="K51" s="274"/>
      <c r="L51" s="430">
        <f>L49-L50</f>
        <v>-5437375</v>
      </c>
      <c r="M51" s="248"/>
      <c r="N51" s="248"/>
    </row>
    <row r="52" spans="1:23">
      <c r="I52" s="277" t="s">
        <v>477</v>
      </c>
      <c r="J52" s="278"/>
      <c r="K52" s="278"/>
      <c r="L52" s="304">
        <f>L51/'Plantilla Usuario'!C5</f>
        <v>-6.4181162315901</v>
      </c>
      <c r="M52" s="304">
        <v>6.05</v>
      </c>
      <c r="N52" s="304">
        <v>10.1</v>
      </c>
    </row>
    <row r="53" spans="1:23">
      <c r="L53" s="619"/>
    </row>
    <row r="54" spans="1:23">
      <c r="B54" s="614" t="s">
        <v>60</v>
      </c>
      <c r="C54" s="615" t="s">
        <v>61</v>
      </c>
    </row>
    <row r="55" spans="1:23">
      <c r="B55" s="612" t="s">
        <v>479</v>
      </c>
      <c r="C55" s="613">
        <f>+L39</f>
        <v>-5437375</v>
      </c>
    </row>
    <row r="56" spans="1:23">
      <c r="B56" s="618" t="s">
        <v>480</v>
      </c>
      <c r="C56" s="613">
        <f>+L51</f>
        <v>-5437375</v>
      </c>
    </row>
    <row r="57" spans="1:23">
      <c r="B57" s="616" t="s">
        <v>477</v>
      </c>
      <c r="C57" s="617">
        <f>+L52</f>
        <v>-6.4181162315901</v>
      </c>
    </row>
  </sheetData>
  <mergeCells>
    <mergeCell ref="B7:B8"/>
    <mergeCell ref="E18:F1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1">
    <tablePart r:id="rId_table_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U133"/>
  <sheetViews>
    <sheetView tabSelected="0" workbookViewId="0" zoomScale="76" zoomScaleNormal="85" showGridLines="true" showRowColHeaders="1" topLeftCell="A88">
      <selection activeCell="H133" sqref="H133"/>
    </sheetView>
  </sheetViews>
  <sheetFormatPr defaultRowHeight="14.4" defaultColWidth="11.5546875" outlineLevelRow="0" outlineLevelCol="0"/>
  <cols>
    <col min="1" max="1" width="11.5546875" style="175"/>
    <col min="2" max="2" width="27.33203125" customWidth="true" style="175"/>
    <col min="3" max="3" width="11.5546875" style="175"/>
    <col min="4" max="4" width="11.5546875" style="175"/>
    <col min="5" max="5" width="11.5546875" style="175"/>
    <col min="6" max="6" width="11.5546875" style="175"/>
    <col min="7" max="7" width="11.5546875" style="175"/>
    <col min="8" max="8" width="13.88671875" customWidth="true" style="175"/>
    <col min="9" max="9" width="13.88671875" customWidth="true" style="175"/>
    <col min="10" max="10" width="14.88671875" customWidth="true" style="175"/>
    <col min="11" max="11" width="14.88671875" customWidth="true" style="175"/>
    <col min="12" max="12" width="14.88671875" customWidth="true" style="175"/>
    <col min="13" max="13" width="14.88671875" customWidth="true" style="175"/>
    <col min="14" max="14" width="15.88671875" customWidth="true" style="175"/>
    <col min="15" max="15" width="15.88671875" customWidth="true" style="175"/>
    <col min="16" max="16" width="15.88671875" customWidth="true" style="175"/>
    <col min="17" max="17" width="15.88671875" customWidth="true" style="175"/>
    <col min="18" max="18" width="15.88671875" customWidth="true" style="175"/>
    <col min="19" max="19" width="11.5546875" style="175"/>
    <col min="20" max="20" width="14.5546875" customWidth="true" style="175"/>
    <col min="21" max="21" width="11.5546875" style="175"/>
  </cols>
  <sheetData>
    <row r="2" spans="1:21" s="306" customFormat="1">
      <c r="A2" s="305" t="s">
        <v>734</v>
      </c>
    </row>
    <row r="4" spans="1:21">
      <c r="B4" s="789" t="s">
        <v>434</v>
      </c>
      <c r="C4" s="307">
        <v>2021</v>
      </c>
      <c r="D4" s="307">
        <v>2022</v>
      </c>
      <c r="E4" s="307">
        <v>2023</v>
      </c>
      <c r="F4" s="307">
        <v>2024</v>
      </c>
      <c r="G4" s="307">
        <v>2025</v>
      </c>
      <c r="H4" s="307">
        <v>2026</v>
      </c>
      <c r="I4" s="307">
        <v>2027</v>
      </c>
      <c r="J4" s="307">
        <v>2028</v>
      </c>
      <c r="K4" s="307">
        <v>2029</v>
      </c>
      <c r="L4" s="307">
        <v>2030</v>
      </c>
      <c r="M4" s="307">
        <v>2031</v>
      </c>
      <c r="N4" s="307">
        <v>2032</v>
      </c>
      <c r="O4" s="307">
        <v>2033</v>
      </c>
      <c r="P4" s="307">
        <v>2034</v>
      </c>
      <c r="Q4" s="307">
        <v>2035</v>
      </c>
      <c r="R4" s="307">
        <v>2036</v>
      </c>
    </row>
    <row r="5" spans="1:21">
      <c r="B5" s="790"/>
      <c r="C5" s="308">
        <v>5</v>
      </c>
      <c r="D5" s="308">
        <v>6</v>
      </c>
      <c r="E5" s="308">
        <v>7</v>
      </c>
      <c r="F5" s="308">
        <v>8</v>
      </c>
      <c r="G5" s="308">
        <v>9</v>
      </c>
      <c r="H5" s="308">
        <v>10</v>
      </c>
      <c r="I5" s="308">
        <v>11</v>
      </c>
      <c r="J5" s="308">
        <v>12</v>
      </c>
      <c r="K5" s="308">
        <v>13</v>
      </c>
      <c r="L5" s="308">
        <v>14</v>
      </c>
      <c r="M5" s="308">
        <v>15</v>
      </c>
      <c r="N5" s="308">
        <v>16</v>
      </c>
      <c r="O5" s="308">
        <v>17</v>
      </c>
      <c r="P5" s="308">
        <v>18</v>
      </c>
      <c r="Q5" s="308">
        <v>19</v>
      </c>
      <c r="R5" s="308">
        <v>20</v>
      </c>
    </row>
    <row r="6" spans="1:21">
      <c r="B6" s="309" t="s">
        <v>457</v>
      </c>
      <c r="C6" s="153" t="e">
        <f>'M. por conceptos'!G11</f>
        <v>#REF!</v>
      </c>
      <c r="D6" s="153" t="e">
        <f>'M. por conceptos'!H11</f>
        <v>#REF!</v>
      </c>
      <c r="E6" s="153" t="e">
        <f>'M. por conceptos'!I11</f>
        <v>#REF!</v>
      </c>
      <c r="F6" s="153" t="e">
        <f>'M. por conceptos'!J11</f>
        <v>#REF!</v>
      </c>
      <c r="G6" s="153" t="e">
        <f>'M. por conceptos'!K11</f>
        <v>#REF!</v>
      </c>
      <c r="H6" s="153" t="e">
        <f>'M. por conceptos'!L11</f>
        <v>#REF!</v>
      </c>
      <c r="I6" s="153" t="e">
        <f>'M. por conceptos'!M11</f>
        <v>#REF!</v>
      </c>
      <c r="J6" s="153" t="e">
        <f>'M. por conceptos'!N11</f>
        <v>#REF!</v>
      </c>
      <c r="K6" s="153" t="e">
        <f>'M. por conceptos'!O11</f>
        <v>#REF!</v>
      </c>
      <c r="L6" s="153" t="e">
        <f>'M. por conceptos'!P11</f>
        <v>#REF!</v>
      </c>
      <c r="M6" s="153" t="e">
        <f>'M. por conceptos'!Q11</f>
        <v>#REF!</v>
      </c>
      <c r="N6" s="153" t="e">
        <f>'M. por conceptos'!R11</f>
        <v>#REF!</v>
      </c>
      <c r="O6" s="153" t="e">
        <f>'M. por conceptos'!S11</f>
        <v>#REF!</v>
      </c>
      <c r="P6" s="153" t="e">
        <f>'M. por conceptos'!T11</f>
        <v>#REF!</v>
      </c>
      <c r="Q6" s="153" t="e">
        <f>'M. por conceptos'!U11</f>
        <v>#REF!</v>
      </c>
      <c r="R6" s="153" t="e">
        <f>'M. por conceptos'!V11</f>
        <v>#REF!</v>
      </c>
    </row>
    <row r="7" spans="1:21">
      <c r="B7" s="309" t="s">
        <v>735</v>
      </c>
      <c r="D7" s="22" t="e">
        <f>D6/C6-1</f>
        <v>#REF!</v>
      </c>
      <c r="E7" s="22" t="e">
        <f>E6/D6-1</f>
        <v>#REF!</v>
      </c>
      <c r="F7" s="22" t="e">
        <f>F6/E6-1</f>
        <v>#REF!</v>
      </c>
      <c r="G7" s="22" t="e">
        <f>G6/F6-1</f>
        <v>#REF!</v>
      </c>
      <c r="H7" s="22" t="e">
        <f>H6/G6-1</f>
        <v>#REF!</v>
      </c>
      <c r="I7" s="22" t="e">
        <f>I6/H6-1</f>
        <v>#REF!</v>
      </c>
      <c r="J7" s="22" t="e">
        <f>J6/I6-1</f>
        <v>#REF!</v>
      </c>
      <c r="K7" s="22" t="e">
        <f>K6/J6-1</f>
        <v>#REF!</v>
      </c>
      <c r="L7" s="22" t="e">
        <f>L6/K6-1</f>
        <v>#REF!</v>
      </c>
      <c r="M7" s="22" t="e">
        <f>M6/L6-1</f>
        <v>#REF!</v>
      </c>
      <c r="N7" s="22" t="e">
        <f>N6/M6-1</f>
        <v>#REF!</v>
      </c>
      <c r="O7" s="22" t="e">
        <f>O6/N6-1</f>
        <v>#REF!</v>
      </c>
      <c r="P7" s="22" t="e">
        <f>P6/O6-1</f>
        <v>#REF!</v>
      </c>
      <c r="Q7" s="22" t="e">
        <f>Q6/P6-1</f>
        <v>#REF!</v>
      </c>
      <c r="R7" s="310" t="e">
        <f>R6/Q6-1</f>
        <v>#REF!</v>
      </c>
    </row>
    <row r="8" spans="1:21">
      <c r="B8" s="311" t="s">
        <v>736</v>
      </c>
      <c r="C8" s="312"/>
      <c r="D8" s="312"/>
      <c r="E8" s="313" t="e">
        <f>E7/D7-1</f>
        <v>#REF!</v>
      </c>
      <c r="F8" s="313" t="e">
        <f>F7/E7-1</f>
        <v>#REF!</v>
      </c>
      <c r="G8" s="313" t="e">
        <f>G7/F7-1</f>
        <v>#REF!</v>
      </c>
      <c r="H8" s="313" t="e">
        <f>H7/G7-1</f>
        <v>#REF!</v>
      </c>
      <c r="I8" s="313" t="e">
        <f>I7/H7-1</f>
        <v>#REF!</v>
      </c>
      <c r="J8" s="313" t="e">
        <f>J7/I7-1</f>
        <v>#REF!</v>
      </c>
      <c r="K8" s="313" t="e">
        <f>K7/J7-1</f>
        <v>#REF!</v>
      </c>
      <c r="L8" s="313" t="e">
        <f>L7/K7-1</f>
        <v>#REF!</v>
      </c>
      <c r="M8" s="313" t="e">
        <f>M7/L7-1</f>
        <v>#REF!</v>
      </c>
      <c r="N8" s="313" t="e">
        <f>N7/M7-1</f>
        <v>#REF!</v>
      </c>
      <c r="O8" s="313" t="e">
        <f>O7/N7-1</f>
        <v>#REF!</v>
      </c>
      <c r="P8" s="313" t="e">
        <f>P7/O7-1</f>
        <v>#REF!</v>
      </c>
      <c r="Q8" s="313" t="e">
        <f>Q7/P7-1</f>
        <v>#REF!</v>
      </c>
      <c r="R8" s="314" t="e">
        <f>R7/Q7-1</f>
        <v>#REF!</v>
      </c>
    </row>
    <row r="10" spans="1:21">
      <c r="B10" s="315" t="s">
        <v>737</v>
      </c>
      <c r="C10" s="316"/>
      <c r="D10" s="431" t="e">
        <f>D7</f>
        <v>#REF!</v>
      </c>
      <c r="E10" s="317">
        <f>IF(D10*(1+E8)&gt;$G$14,D10*(1+E8),$G$14)</f>
        <v>0.015</v>
      </c>
      <c r="F10" s="317">
        <f>IF(E10*(1+F8)&gt;$G$14,E10*(1+F8),$G$14)</f>
        <v>0.015</v>
      </c>
      <c r="G10" s="317">
        <f>IF(F10*(1+G8)&gt;$G$14,F10*(1+G8),$G$14)</f>
        <v>0.015</v>
      </c>
      <c r="H10" s="317">
        <f>IF(G10*(1+H8)&gt;$G$14,G10*(1+H8),$G$14)</f>
        <v>0.015</v>
      </c>
      <c r="I10" s="317">
        <f>IF(H10*(1+I8)&gt;$G$14,H10*(1+I8),$G$14)</f>
        <v>0.015</v>
      </c>
      <c r="J10" s="317">
        <f>IF(I10*(1+J8)&gt;$G$14,I10*(1+J8),$G$14)</f>
        <v>0.015</v>
      </c>
      <c r="K10" s="317">
        <f>IF(J10*(1+K8)&gt;$G$14,J10*(1+K8),$G$14)</f>
        <v>0.015</v>
      </c>
      <c r="L10" s="317">
        <f>IF(K10*(1+L8)&gt;$G$14,K10*(1+L8),$G$14)</f>
        <v>0.015</v>
      </c>
      <c r="M10" s="317">
        <f>IF(L10*(1+M8)&gt;$G$14,L10*(1+M8),$G$14)</f>
        <v>0.015</v>
      </c>
      <c r="N10" s="317">
        <f>IF(M10*(1+N8)&gt;$G$14,M10*(1+N8),$G$14)</f>
        <v>0.015</v>
      </c>
      <c r="O10" s="317">
        <f>IF(N10*(1+O8)&gt;$G$14,N10*(1+O8),$G$14)</f>
        <v>0.015</v>
      </c>
      <c r="P10" s="317">
        <f>IF(O10*(1+P8)&gt;$G$14,O10*(1+P8),$G$14)</f>
        <v>0.015</v>
      </c>
      <c r="Q10" s="317">
        <f>IF(P10*(1+Q8)&gt;$G$14,P10*(1+Q8),$G$14)</f>
        <v>0.015</v>
      </c>
      <c r="R10" s="317">
        <f>IF(Q10*(1+R8)&gt;$G$14,Q10*(1+R8),$G$14)</f>
        <v>0.015</v>
      </c>
    </row>
    <row r="11" spans="1:21">
      <c r="B11" s="311" t="s">
        <v>457</v>
      </c>
      <c r="C11" s="319" t="e">
        <f>C6</f>
        <v>#REF!</v>
      </c>
      <c r="D11" s="319" t="e">
        <f>C11*(1+D10)</f>
        <v>#REF!</v>
      </c>
      <c r="E11" s="319" t="e">
        <f>D11*(1+E10)</f>
        <v>#REF!</v>
      </c>
      <c r="F11" s="319" t="e">
        <f>E11*(1+F10)</f>
        <v>#REF!</v>
      </c>
      <c r="G11" s="319" t="e">
        <f>F11*(1+G10)</f>
        <v>#REF!</v>
      </c>
      <c r="H11" s="319" t="e">
        <f>G11*(1+H10)</f>
        <v>#REF!</v>
      </c>
      <c r="I11" s="319" t="e">
        <f>H11*(1+I10)</f>
        <v>#REF!</v>
      </c>
      <c r="J11" s="319" t="e">
        <f>I11*(1+J10)</f>
        <v>#REF!</v>
      </c>
      <c r="K11" s="319" t="e">
        <f>J11*(1+K10)</f>
        <v>#REF!</v>
      </c>
      <c r="L11" s="319" t="e">
        <f>K11*(1+L10)</f>
        <v>#REF!</v>
      </c>
      <c r="M11" s="319" t="e">
        <f>L11*(1+M10)</f>
        <v>#REF!</v>
      </c>
      <c r="N11" s="319" t="e">
        <f>M11*(1+N10)</f>
        <v>#REF!</v>
      </c>
      <c r="O11" s="319" t="e">
        <f>N11*(1+O10)</f>
        <v>#REF!</v>
      </c>
      <c r="P11" s="319" t="e">
        <f>O11*(1+P10)</f>
        <v>#REF!</v>
      </c>
      <c r="Q11" s="319" t="e">
        <f>P11*(1+Q10)</f>
        <v>#REF!</v>
      </c>
      <c r="R11" s="320" t="e">
        <f>Q11*(1+R10)</f>
        <v>#REF!</v>
      </c>
    </row>
    <row r="14" spans="1:21">
      <c r="B14" s="321" t="s">
        <v>738</v>
      </c>
      <c r="C14" s="322"/>
      <c r="D14" s="323" t="e">
        <f>D10/D7-1</f>
        <v>#REF!</v>
      </c>
      <c r="F14" s="538" t="s">
        <v>489</v>
      </c>
      <c r="G14" s="537">
        <f>'EE.FF Económicos'!D53</f>
        <v>0.015</v>
      </c>
    </row>
    <row r="17" spans="1:21">
      <c r="B17" s="787" t="s">
        <v>739</v>
      </c>
      <c r="C17" s="324">
        <f>C$4</f>
        <v>2021</v>
      </c>
      <c r="D17" s="307">
        <f>D$4</f>
        <v>2022</v>
      </c>
      <c r="E17" s="307">
        <f>E$4</f>
        <v>2023</v>
      </c>
      <c r="F17" s="307">
        <f>F$4</f>
        <v>2024</v>
      </c>
      <c r="G17" s="307">
        <f>G$4</f>
        <v>2025</v>
      </c>
      <c r="H17" s="307">
        <f>H$4</f>
        <v>2026</v>
      </c>
      <c r="I17" s="307">
        <f>I$4</f>
        <v>2027</v>
      </c>
      <c r="J17" s="307">
        <f>J$4</f>
        <v>2028</v>
      </c>
      <c r="K17" s="307">
        <f>K$4</f>
        <v>2029</v>
      </c>
      <c r="L17" s="307">
        <f>L$4</f>
        <v>2030</v>
      </c>
      <c r="M17" s="307">
        <f>M$4</f>
        <v>2031</v>
      </c>
      <c r="N17" s="307">
        <f>N$4</f>
        <v>2032</v>
      </c>
      <c r="O17" s="307">
        <f>O$4</f>
        <v>2033</v>
      </c>
      <c r="P17" s="307">
        <f>P$4</f>
        <v>2034</v>
      </c>
      <c r="Q17" s="307">
        <f>Q$4</f>
        <v>2035</v>
      </c>
      <c r="R17" s="325">
        <f>R$4</f>
        <v>2036</v>
      </c>
    </row>
    <row r="18" spans="1:21">
      <c r="B18" s="788"/>
      <c r="C18" s="326">
        <f>C$5</f>
        <v>5</v>
      </c>
      <c r="D18" s="308">
        <f>D$5</f>
        <v>6</v>
      </c>
      <c r="E18" s="308">
        <f>E$5</f>
        <v>7</v>
      </c>
      <c r="F18" s="308">
        <f>F$5</f>
        <v>8</v>
      </c>
      <c r="G18" s="308">
        <f>G$5</f>
        <v>9</v>
      </c>
      <c r="H18" s="308">
        <f>H$5</f>
        <v>10</v>
      </c>
      <c r="I18" s="308">
        <f>I$5</f>
        <v>11</v>
      </c>
      <c r="J18" s="308">
        <f>J$5</f>
        <v>12</v>
      </c>
      <c r="K18" s="308">
        <f>K$5</f>
        <v>13</v>
      </c>
      <c r="L18" s="308">
        <f>L$5</f>
        <v>14</v>
      </c>
      <c r="M18" s="308">
        <f>M$5</f>
        <v>15</v>
      </c>
      <c r="N18" s="308">
        <f>N$5</f>
        <v>16</v>
      </c>
      <c r="O18" s="308">
        <f>O$5</f>
        <v>17</v>
      </c>
      <c r="P18" s="308">
        <f>P$5</f>
        <v>18</v>
      </c>
      <c r="Q18" s="308">
        <f>Q$5</f>
        <v>19</v>
      </c>
      <c r="R18" s="327">
        <f>R$5</f>
        <v>20</v>
      </c>
    </row>
    <row r="19" spans="1:21">
      <c r="B19" s="309" t="s">
        <v>457</v>
      </c>
      <c r="C19" s="153" t="e">
        <f>'M. por conceptos'!G28</f>
        <v>#REF!</v>
      </c>
      <c r="D19" s="153" t="e">
        <f>'M. por conceptos'!H28</f>
        <v>#REF!</v>
      </c>
      <c r="E19" s="153" t="e">
        <f>'M. por conceptos'!I28</f>
        <v>#REF!</v>
      </c>
      <c r="F19" s="153" t="e">
        <f>'M. por conceptos'!J28</f>
        <v>#REF!</v>
      </c>
      <c r="G19" s="153" t="e">
        <f>'M. por conceptos'!K28</f>
        <v>#REF!</v>
      </c>
      <c r="H19" s="153" t="e">
        <f>'M. por conceptos'!L28</f>
        <v>#REF!</v>
      </c>
      <c r="I19" s="153" t="e">
        <f>'M. por conceptos'!M28</f>
        <v>#REF!</v>
      </c>
      <c r="J19" s="153" t="e">
        <f>'M. por conceptos'!N28</f>
        <v>#REF!</v>
      </c>
      <c r="K19" s="153" t="e">
        <f>'M. por conceptos'!O28</f>
        <v>#REF!</v>
      </c>
      <c r="L19" s="153" t="e">
        <f>'M. por conceptos'!P28</f>
        <v>#REF!</v>
      </c>
      <c r="M19" s="153" t="e">
        <f>'M. por conceptos'!Q28</f>
        <v>#REF!</v>
      </c>
      <c r="N19" s="153" t="e">
        <f>'M. por conceptos'!R28</f>
        <v>#REF!</v>
      </c>
      <c r="O19" s="153" t="e">
        <f>'M. por conceptos'!S28</f>
        <v>#REF!</v>
      </c>
      <c r="P19" s="153" t="e">
        <f>'M. por conceptos'!T28</f>
        <v>#REF!</v>
      </c>
      <c r="Q19" s="153" t="e">
        <f>'M. por conceptos'!U28</f>
        <v>#REF!</v>
      </c>
      <c r="R19" s="153" t="e">
        <f>'M. por conceptos'!V28</f>
        <v>#REF!</v>
      </c>
    </row>
    <row r="20" spans="1:21">
      <c r="B20" s="309" t="s">
        <v>735</v>
      </c>
      <c r="D20" s="22" t="e">
        <f>D19/C19-1</f>
        <v>#REF!</v>
      </c>
      <c r="E20" s="22" t="e">
        <f>E19/D19-1</f>
        <v>#REF!</v>
      </c>
      <c r="F20" s="22" t="e">
        <f>F19/E19-1</f>
        <v>#REF!</v>
      </c>
      <c r="G20" s="22" t="e">
        <f>G19/F19-1</f>
        <v>#REF!</v>
      </c>
      <c r="H20" s="22" t="e">
        <f>H19/G19-1</f>
        <v>#REF!</v>
      </c>
      <c r="I20" s="22" t="e">
        <f>I19/H19-1</f>
        <v>#REF!</v>
      </c>
      <c r="J20" s="22" t="e">
        <f>J19/I19-1</f>
        <v>#REF!</v>
      </c>
      <c r="K20" s="22" t="e">
        <f>K19/J19-1</f>
        <v>#REF!</v>
      </c>
      <c r="L20" s="22" t="e">
        <f>L19/K19-1</f>
        <v>#REF!</v>
      </c>
      <c r="M20" s="22" t="e">
        <f>M19/L19-1</f>
        <v>#REF!</v>
      </c>
      <c r="N20" s="22" t="e">
        <f>N19/M19-1</f>
        <v>#REF!</v>
      </c>
      <c r="O20" s="22" t="e">
        <f>O19/N19-1</f>
        <v>#REF!</v>
      </c>
      <c r="P20" s="22" t="e">
        <f>P19/O19-1</f>
        <v>#REF!</v>
      </c>
      <c r="Q20" s="22" t="e">
        <f>Q19/P19-1</f>
        <v>#REF!</v>
      </c>
      <c r="R20" s="310" t="e">
        <f>R19/Q19-1</f>
        <v>#REF!</v>
      </c>
    </row>
    <row r="21" spans="1:21">
      <c r="B21" s="311" t="s">
        <v>736</v>
      </c>
      <c r="C21" s="312"/>
      <c r="D21" s="312"/>
      <c r="E21" s="313" t="e">
        <f>E20/D20-1</f>
        <v>#REF!</v>
      </c>
      <c r="F21" s="313" t="e">
        <f>F20/E20-1</f>
        <v>#REF!</v>
      </c>
      <c r="G21" s="313" t="e">
        <f>G20/F20-1</f>
        <v>#REF!</v>
      </c>
      <c r="H21" s="313" t="e">
        <f>H20/G20-1</f>
        <v>#REF!</v>
      </c>
      <c r="I21" s="313" t="e">
        <f>I20/H20-1</f>
        <v>#REF!</v>
      </c>
      <c r="J21" s="313" t="e">
        <f>J20/I20-1</f>
        <v>#REF!</v>
      </c>
      <c r="K21" s="313" t="e">
        <f>K20/J20-1</f>
        <v>#REF!</v>
      </c>
      <c r="L21" s="313" t="e">
        <f>L20/K20-1</f>
        <v>#REF!</v>
      </c>
      <c r="M21" s="313" t="e">
        <f>M20/L20-1</f>
        <v>#REF!</v>
      </c>
      <c r="N21" s="313" t="e">
        <f>N20/M20-1</f>
        <v>#REF!</v>
      </c>
      <c r="O21" s="313" t="e">
        <f>O20/N20-1</f>
        <v>#REF!</v>
      </c>
      <c r="P21" s="313" t="e">
        <f>P20/O20-1</f>
        <v>#REF!</v>
      </c>
      <c r="Q21" s="313" t="e">
        <f>Q20/P20-1</f>
        <v>#REF!</v>
      </c>
      <c r="R21" s="314" t="e">
        <f>R20/Q20-1</f>
        <v>#REF!</v>
      </c>
    </row>
    <row r="23" spans="1:21">
      <c r="B23" s="315" t="s">
        <v>737</v>
      </c>
      <c r="C23" s="316"/>
      <c r="D23" s="328" t="e">
        <f>D20*(1+$D$14)</f>
        <v>#REF!</v>
      </c>
      <c r="E23" s="317">
        <f>IF(E10&gt;$G$14,D23*(1+E21),$G$14)</f>
        <v>0.015</v>
      </c>
      <c r="F23" s="317">
        <f>IF(F10&gt;$G$14,E23*(1+F21),$G$14)</f>
        <v>0.015</v>
      </c>
      <c r="G23" s="317">
        <f>IF(G10&gt;$G$14,F23*(1+G21),$G$14)</f>
        <v>0.015</v>
      </c>
      <c r="H23" s="317">
        <f>IF(H10&gt;$G$14,G23*(1+H21),$G$14)</f>
        <v>0.015</v>
      </c>
      <c r="I23" s="317">
        <f>IF(I10&gt;$G$14,H23*(1+I21),$G$14)</f>
        <v>0.015</v>
      </c>
      <c r="J23" s="317">
        <f>IF(J10&gt;$G$14,I23*(1+J21),$G$14)</f>
        <v>0.015</v>
      </c>
      <c r="K23" s="317">
        <f>IF(K10&gt;$G$14,J23*(1+K21),$G$14)</f>
        <v>0.015</v>
      </c>
      <c r="L23" s="317">
        <f>IF(L10&gt;$G$14,K23*(1+L21),$G$14)</f>
        <v>0.015</v>
      </c>
      <c r="M23" s="317">
        <f>IF(M10&gt;$G$14,L23*(1+M21),$G$14)</f>
        <v>0.015</v>
      </c>
      <c r="N23" s="317">
        <f>IF(N10&gt;$G$14,M23*(1+N21),$G$14)</f>
        <v>0.015</v>
      </c>
      <c r="O23" s="317">
        <f>IF(O10&gt;$G$14,N23*(1+O21),$G$14)</f>
        <v>0.015</v>
      </c>
      <c r="P23" s="317">
        <f>IF(P10&gt;$G$14,O23*(1+P21),$G$14)</f>
        <v>0.015</v>
      </c>
      <c r="Q23" s="317">
        <f>IF(Q10&gt;$G$14,P23*(1+Q21),$G$14)</f>
        <v>0.015</v>
      </c>
      <c r="R23" s="317">
        <f>IF(R10&gt;$G$14,Q23*(1+R21),$G$14)</f>
        <v>0.015</v>
      </c>
    </row>
    <row r="24" spans="1:21">
      <c r="B24" s="311" t="s">
        <v>457</v>
      </c>
      <c r="C24" s="319" t="e">
        <f>C19</f>
        <v>#REF!</v>
      </c>
      <c r="D24" s="319" t="e">
        <f>C24*(1+D23)</f>
        <v>#REF!</v>
      </c>
      <c r="E24" s="319" t="e">
        <f>D24*(1+E23)</f>
        <v>#REF!</v>
      </c>
      <c r="F24" s="319" t="e">
        <f>E24*(1+F23)</f>
        <v>#REF!</v>
      </c>
      <c r="G24" s="319" t="e">
        <f>F24*(1+G23)</f>
        <v>#REF!</v>
      </c>
      <c r="H24" s="319" t="e">
        <f>G24*(1+H23)</f>
        <v>#REF!</v>
      </c>
      <c r="I24" s="319" t="e">
        <f>H24*(1+I23)</f>
        <v>#REF!</v>
      </c>
      <c r="J24" s="319" t="e">
        <f>I24*(1+J23)</f>
        <v>#REF!</v>
      </c>
      <c r="K24" s="319" t="e">
        <f>J24*(1+K23)</f>
        <v>#REF!</v>
      </c>
      <c r="L24" s="319" t="e">
        <f>K24*(1+L23)</f>
        <v>#REF!</v>
      </c>
      <c r="M24" s="319" t="e">
        <f>L24*(1+M23)</f>
        <v>#REF!</v>
      </c>
      <c r="N24" s="319" t="e">
        <f>M24*(1+N23)</f>
        <v>#REF!</v>
      </c>
      <c r="O24" s="319" t="e">
        <f>N24*(1+O23)</f>
        <v>#REF!</v>
      </c>
      <c r="P24" s="319" t="e">
        <f>O24*(1+P23)</f>
        <v>#REF!</v>
      </c>
      <c r="Q24" s="319" t="e">
        <f>P24*(1+Q23)</f>
        <v>#REF!</v>
      </c>
      <c r="R24" s="320" t="e">
        <f>Q24*(1+R23)</f>
        <v>#REF!</v>
      </c>
    </row>
    <row r="25" spans="1:21"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</row>
    <row r="27" spans="1:21">
      <c r="B27" s="787" t="s">
        <v>740</v>
      </c>
      <c r="C27" s="324">
        <f>C$4</f>
        <v>2021</v>
      </c>
      <c r="D27" s="307">
        <f>D$4</f>
        <v>2022</v>
      </c>
      <c r="E27" s="307">
        <f>E$4</f>
        <v>2023</v>
      </c>
      <c r="F27" s="307">
        <f>F$4</f>
        <v>2024</v>
      </c>
      <c r="G27" s="307">
        <f>G$4</f>
        <v>2025</v>
      </c>
      <c r="H27" s="307">
        <f>H$4</f>
        <v>2026</v>
      </c>
      <c r="I27" s="307">
        <f>I$4</f>
        <v>2027</v>
      </c>
      <c r="J27" s="307">
        <f>J$4</f>
        <v>2028</v>
      </c>
      <c r="K27" s="307">
        <f>K$4</f>
        <v>2029</v>
      </c>
      <c r="L27" s="307">
        <f>L$4</f>
        <v>2030</v>
      </c>
      <c r="M27" s="307">
        <f>M$4</f>
        <v>2031</v>
      </c>
      <c r="N27" s="307">
        <f>N$4</f>
        <v>2032</v>
      </c>
      <c r="O27" s="307">
        <f>O$4</f>
        <v>2033</v>
      </c>
      <c r="P27" s="307">
        <f>P$4</f>
        <v>2034</v>
      </c>
      <c r="Q27" s="307">
        <f>Q$4</f>
        <v>2035</v>
      </c>
      <c r="R27" s="325">
        <f>R$4</f>
        <v>2036</v>
      </c>
    </row>
    <row r="28" spans="1:21">
      <c r="B28" s="788"/>
      <c r="C28" s="326">
        <f>C$5</f>
        <v>5</v>
      </c>
      <c r="D28" s="308">
        <f>D$5</f>
        <v>6</v>
      </c>
      <c r="E28" s="308">
        <f>E$5</f>
        <v>7</v>
      </c>
      <c r="F28" s="308">
        <f>F$5</f>
        <v>8</v>
      </c>
      <c r="G28" s="308">
        <f>G$5</f>
        <v>9</v>
      </c>
      <c r="H28" s="308">
        <f>H$5</f>
        <v>10</v>
      </c>
      <c r="I28" s="308">
        <f>I$5</f>
        <v>11</v>
      </c>
      <c r="J28" s="308">
        <f>J$5</f>
        <v>12</v>
      </c>
      <c r="K28" s="308">
        <f>K$5</f>
        <v>13</v>
      </c>
      <c r="L28" s="308">
        <f>L$5</f>
        <v>14</v>
      </c>
      <c r="M28" s="308">
        <f>M$5</f>
        <v>15</v>
      </c>
      <c r="N28" s="308">
        <f>N$5</f>
        <v>16</v>
      </c>
      <c r="O28" s="308">
        <f>O$5</f>
        <v>17</v>
      </c>
      <c r="P28" s="308">
        <f>P$5</f>
        <v>18</v>
      </c>
      <c r="Q28" s="308">
        <f>Q$5</f>
        <v>19</v>
      </c>
      <c r="R28" s="327">
        <f>R$5</f>
        <v>20</v>
      </c>
    </row>
    <row r="29" spans="1:21">
      <c r="B29" s="309" t="s">
        <v>457</v>
      </c>
      <c r="C29" s="153" t="e">
        <f>'M. por conceptos'!G46</f>
        <v>#REF!</v>
      </c>
      <c r="D29" s="153" t="e">
        <f>'M. por conceptos'!H46</f>
        <v>#REF!</v>
      </c>
      <c r="E29" s="153" t="e">
        <f>'M. por conceptos'!I46</f>
        <v>#REF!</v>
      </c>
      <c r="F29" s="153" t="e">
        <f>'M. por conceptos'!J46</f>
        <v>#REF!</v>
      </c>
      <c r="G29" s="153" t="e">
        <f>'M. por conceptos'!K46</f>
        <v>#REF!</v>
      </c>
      <c r="H29" s="153" t="e">
        <f>'M. por conceptos'!L46</f>
        <v>#REF!</v>
      </c>
      <c r="I29" s="153" t="e">
        <f>'M. por conceptos'!M46</f>
        <v>#REF!</v>
      </c>
      <c r="J29" s="153" t="e">
        <f>'M. por conceptos'!N46</f>
        <v>#REF!</v>
      </c>
      <c r="K29" s="153" t="e">
        <f>'M. por conceptos'!O46</f>
        <v>#REF!</v>
      </c>
      <c r="L29" s="153" t="e">
        <f>'M. por conceptos'!P46</f>
        <v>#REF!</v>
      </c>
      <c r="M29" s="153" t="e">
        <f>'M. por conceptos'!Q46</f>
        <v>#REF!</v>
      </c>
      <c r="N29" s="153" t="e">
        <f>'M. por conceptos'!R46</f>
        <v>#REF!</v>
      </c>
      <c r="O29" s="153" t="e">
        <f>'M. por conceptos'!S46</f>
        <v>#REF!</v>
      </c>
      <c r="P29" s="153" t="e">
        <f>'M. por conceptos'!T46</f>
        <v>#REF!</v>
      </c>
      <c r="Q29" s="153" t="e">
        <f>'M. por conceptos'!U46</f>
        <v>#REF!</v>
      </c>
      <c r="R29" s="153" t="e">
        <f>'M. por conceptos'!V46</f>
        <v>#REF!</v>
      </c>
    </row>
    <row r="30" spans="1:21">
      <c r="B30" s="309" t="s">
        <v>735</v>
      </c>
      <c r="D30" s="22" t="e">
        <f>D29/C29-1</f>
        <v>#REF!</v>
      </c>
      <c r="E30" s="22" t="e">
        <f>E29/D29-1</f>
        <v>#REF!</v>
      </c>
      <c r="F30" s="22" t="e">
        <f>F29/E29-1</f>
        <v>#REF!</v>
      </c>
      <c r="G30" s="22" t="e">
        <f>G29/F29-1</f>
        <v>#REF!</v>
      </c>
      <c r="H30" s="22" t="e">
        <f>H29/G29-1</f>
        <v>#REF!</v>
      </c>
      <c r="I30" s="22" t="e">
        <f>I29/H29-1</f>
        <v>#REF!</v>
      </c>
      <c r="J30" s="22" t="e">
        <f>J29/I29-1</f>
        <v>#REF!</v>
      </c>
      <c r="K30" s="22" t="e">
        <f>K29/J29-1</f>
        <v>#REF!</v>
      </c>
      <c r="L30" s="22" t="e">
        <f>L29/K29-1</f>
        <v>#REF!</v>
      </c>
      <c r="M30" s="22" t="e">
        <f>M29/L29-1</f>
        <v>#REF!</v>
      </c>
      <c r="N30" s="22" t="e">
        <f>N29/M29-1</f>
        <v>#REF!</v>
      </c>
      <c r="O30" s="22" t="e">
        <f>O29/N29-1</f>
        <v>#REF!</v>
      </c>
      <c r="P30" s="22" t="e">
        <f>P29/O29-1</f>
        <v>#REF!</v>
      </c>
      <c r="Q30" s="22" t="e">
        <f>Q29/P29-1</f>
        <v>#REF!</v>
      </c>
      <c r="R30" s="310" t="e">
        <f>R29/Q29-1</f>
        <v>#REF!</v>
      </c>
    </row>
    <row r="31" spans="1:21">
      <c r="B31" s="311" t="s">
        <v>736</v>
      </c>
      <c r="C31" s="312"/>
      <c r="D31" s="312"/>
      <c r="E31" s="313" t="e">
        <f>E30/D30-1</f>
        <v>#REF!</v>
      </c>
      <c r="F31" s="313" t="e">
        <f>F30/E30-1</f>
        <v>#REF!</v>
      </c>
      <c r="G31" s="313" t="e">
        <f>G30/F30-1</f>
        <v>#REF!</v>
      </c>
      <c r="H31" s="313" t="e">
        <f>H30/G30-1</f>
        <v>#REF!</v>
      </c>
      <c r="I31" s="313" t="e">
        <f>I30/H30-1</f>
        <v>#REF!</v>
      </c>
      <c r="J31" s="313" t="e">
        <f>J30/I30-1</f>
        <v>#REF!</v>
      </c>
      <c r="K31" s="313" t="e">
        <f>K30/J30-1</f>
        <v>#REF!</v>
      </c>
      <c r="L31" s="313" t="e">
        <f>L30/K30-1</f>
        <v>#REF!</v>
      </c>
      <c r="M31" s="313" t="e">
        <f>M30/L30-1</f>
        <v>#REF!</v>
      </c>
      <c r="N31" s="313" t="e">
        <f>N30/M30-1</f>
        <v>#REF!</v>
      </c>
      <c r="O31" s="313" t="e">
        <f>O30/N30-1</f>
        <v>#REF!</v>
      </c>
      <c r="P31" s="313" t="e">
        <f>P30/O30-1</f>
        <v>#REF!</v>
      </c>
      <c r="Q31" s="313" t="e">
        <f>Q30/P30-1</f>
        <v>#REF!</v>
      </c>
      <c r="R31" s="314" t="e">
        <f>R30/Q30-1</f>
        <v>#REF!</v>
      </c>
    </row>
    <row r="33" spans="1:21">
      <c r="B33" s="315" t="s">
        <v>737</v>
      </c>
      <c r="C33" s="316"/>
      <c r="D33" s="328" t="e">
        <f>D30*(1+$D$14)</f>
        <v>#REF!</v>
      </c>
      <c r="E33" s="317">
        <f>IF(E$10&gt;$G$14,D33*(1+E31),$G$14)</f>
        <v>0.015</v>
      </c>
      <c r="F33" s="317">
        <f>IF(F$10&gt;$G$14,E33*(1+F31),$G$14)</f>
        <v>0.015</v>
      </c>
      <c r="G33" s="317">
        <f>IF(G$10&gt;$G$14,F33*(1+G31),$G$14)</f>
        <v>0.015</v>
      </c>
      <c r="H33" s="317">
        <f>IF(H$10&gt;$G$14,G33*(1+H31),$G$14)</f>
        <v>0.015</v>
      </c>
      <c r="I33" s="317">
        <f>IF(I$10&gt;$G$14,H33*(1+I31),$G$14)</f>
        <v>0.015</v>
      </c>
      <c r="J33" s="317">
        <f>IF(J$10&gt;$G$14,I33*(1+J31),$G$14)</f>
        <v>0.015</v>
      </c>
      <c r="K33" s="317">
        <f>IF(K$10&gt;$G$14,J33*(1+K31),$G$14)</f>
        <v>0.015</v>
      </c>
      <c r="L33" s="317">
        <f>IF(L$10&gt;$G$14,K33*(1+L31),$G$14)</f>
        <v>0.015</v>
      </c>
      <c r="M33" s="317">
        <f>IF(M$10&gt;$G$14,L33*(1+M31),$G$14)</f>
        <v>0.015</v>
      </c>
      <c r="N33" s="317">
        <f>IF(N$10&gt;$G$14,M33*(1+N31),$G$14)</f>
        <v>0.015</v>
      </c>
      <c r="O33" s="317">
        <f>IF(O$10&gt;$G$14,N33*(1+O31),$G$14)</f>
        <v>0.015</v>
      </c>
      <c r="P33" s="317">
        <f>IF(P$10&gt;$G$14,O33*(1+P31),$G$14)</f>
        <v>0.015</v>
      </c>
      <c r="Q33" s="317">
        <f>IF(Q$10&gt;$G$14,P33*(1+Q31),$G$14)</f>
        <v>0.015</v>
      </c>
      <c r="R33" s="317">
        <f>IF(R$10&gt;$G$14,Q33*(1+R31),$G$14)</f>
        <v>0.015</v>
      </c>
    </row>
    <row r="34" spans="1:21">
      <c r="B34" s="311" t="s">
        <v>457</v>
      </c>
      <c r="C34" s="319" t="e">
        <f>C29</f>
        <v>#REF!</v>
      </c>
      <c r="D34" s="319" t="e">
        <f>C34*(1+D33)</f>
        <v>#REF!</v>
      </c>
      <c r="E34" s="319" t="e">
        <f>D34*(1+E33)</f>
        <v>#REF!</v>
      </c>
      <c r="F34" s="319" t="e">
        <f>E34*(1+F33)</f>
        <v>#REF!</v>
      </c>
      <c r="G34" s="319" t="e">
        <f>F34*(1+G33)</f>
        <v>#REF!</v>
      </c>
      <c r="H34" s="319" t="e">
        <f>G34*(1+H33)</f>
        <v>#REF!</v>
      </c>
      <c r="I34" s="319" t="e">
        <f>H34*(1+I33)</f>
        <v>#REF!</v>
      </c>
      <c r="J34" s="319" t="e">
        <f>I34*(1+J33)</f>
        <v>#REF!</v>
      </c>
      <c r="K34" s="319" t="e">
        <f>J34*(1+K33)</f>
        <v>#REF!</v>
      </c>
      <c r="L34" s="319" t="e">
        <f>K34*(1+L33)</f>
        <v>#REF!</v>
      </c>
      <c r="M34" s="319" t="e">
        <f>L34*(1+M33)</f>
        <v>#REF!</v>
      </c>
      <c r="N34" s="319" t="e">
        <f>M34*(1+N33)</f>
        <v>#REF!</v>
      </c>
      <c r="O34" s="319" t="e">
        <f>N34*(1+O33)</f>
        <v>#REF!</v>
      </c>
      <c r="P34" s="319" t="e">
        <f>O34*(1+P33)</f>
        <v>#REF!</v>
      </c>
      <c r="Q34" s="319" t="e">
        <f>P34*(1+Q33)</f>
        <v>#REF!</v>
      </c>
      <c r="R34" s="320" t="e">
        <f>Q34*(1+R33)</f>
        <v>#REF!</v>
      </c>
    </row>
    <row r="37" spans="1:21">
      <c r="B37" s="787" t="s">
        <v>89</v>
      </c>
      <c r="C37" s="324">
        <f>C$4</f>
        <v>2021</v>
      </c>
      <c r="D37" s="307">
        <f>D$4</f>
        <v>2022</v>
      </c>
      <c r="E37" s="307">
        <f>E$4</f>
        <v>2023</v>
      </c>
      <c r="F37" s="307">
        <f>F$4</f>
        <v>2024</v>
      </c>
      <c r="G37" s="307">
        <f>G$4</f>
        <v>2025</v>
      </c>
      <c r="H37" s="307">
        <f>H$4</f>
        <v>2026</v>
      </c>
      <c r="I37" s="307">
        <f>I$4</f>
        <v>2027</v>
      </c>
      <c r="J37" s="307">
        <f>J$4</f>
        <v>2028</v>
      </c>
      <c r="K37" s="307">
        <f>K$4</f>
        <v>2029</v>
      </c>
      <c r="L37" s="307">
        <f>L$4</f>
        <v>2030</v>
      </c>
      <c r="M37" s="307">
        <f>M$4</f>
        <v>2031</v>
      </c>
      <c r="N37" s="307">
        <f>N$4</f>
        <v>2032</v>
      </c>
      <c r="O37" s="307">
        <f>O$4</f>
        <v>2033</v>
      </c>
      <c r="P37" s="307">
        <f>P$4</f>
        <v>2034</v>
      </c>
      <c r="Q37" s="307">
        <f>Q$4</f>
        <v>2035</v>
      </c>
      <c r="R37" s="325">
        <f>R$4</f>
        <v>2036</v>
      </c>
    </row>
    <row r="38" spans="1:21">
      <c r="B38" s="788"/>
      <c r="C38" s="326">
        <f>C$5</f>
        <v>5</v>
      </c>
      <c r="D38" s="308">
        <f>D$5</f>
        <v>6</v>
      </c>
      <c r="E38" s="308">
        <f>E$5</f>
        <v>7</v>
      </c>
      <c r="F38" s="308">
        <f>F$5</f>
        <v>8</v>
      </c>
      <c r="G38" s="308">
        <f>G$5</f>
        <v>9</v>
      </c>
      <c r="H38" s="308">
        <f>H$5</f>
        <v>10</v>
      </c>
      <c r="I38" s="308">
        <f>I$5</f>
        <v>11</v>
      </c>
      <c r="J38" s="308">
        <f>J$5</f>
        <v>12</v>
      </c>
      <c r="K38" s="308">
        <f>K$5</f>
        <v>13</v>
      </c>
      <c r="L38" s="308">
        <f>L$5</f>
        <v>14</v>
      </c>
      <c r="M38" s="308">
        <f>M$5</f>
        <v>15</v>
      </c>
      <c r="N38" s="308">
        <f>N$5</f>
        <v>16</v>
      </c>
      <c r="O38" s="308">
        <f>O$5</f>
        <v>17</v>
      </c>
      <c r="P38" s="308">
        <f>P$5</f>
        <v>18</v>
      </c>
      <c r="Q38" s="308">
        <f>Q$5</f>
        <v>19</v>
      </c>
      <c r="R38" s="327">
        <f>R$5</f>
        <v>20</v>
      </c>
    </row>
    <row r="39" spans="1:21">
      <c r="B39" s="309" t="s">
        <v>457</v>
      </c>
      <c r="C39" s="153" t="e">
        <f>'M. por conceptos'!G64</f>
        <v>#REF!</v>
      </c>
      <c r="D39" s="153" t="e">
        <f>'M. por conceptos'!H64</f>
        <v>#REF!</v>
      </c>
      <c r="E39" s="153" t="e">
        <f>'M. por conceptos'!I64</f>
        <v>#REF!</v>
      </c>
      <c r="F39" s="153" t="e">
        <f>'M. por conceptos'!J64</f>
        <v>#REF!</v>
      </c>
      <c r="G39" s="153" t="e">
        <f>'M. por conceptos'!K64</f>
        <v>#REF!</v>
      </c>
      <c r="H39" s="153" t="e">
        <f>'M. por conceptos'!L64</f>
        <v>#REF!</v>
      </c>
      <c r="I39" s="153" t="e">
        <f>'M. por conceptos'!M64</f>
        <v>#REF!</v>
      </c>
      <c r="J39" s="153" t="e">
        <f>'M. por conceptos'!N64</f>
        <v>#REF!</v>
      </c>
      <c r="K39" s="153" t="e">
        <f>'M. por conceptos'!O64</f>
        <v>#REF!</v>
      </c>
      <c r="L39" s="153" t="e">
        <f>'M. por conceptos'!P64</f>
        <v>#REF!</v>
      </c>
      <c r="M39" s="153" t="e">
        <f>'M. por conceptos'!Q64</f>
        <v>#REF!</v>
      </c>
      <c r="N39" s="153" t="e">
        <f>'M. por conceptos'!R64</f>
        <v>#REF!</v>
      </c>
      <c r="O39" s="153" t="e">
        <f>'M. por conceptos'!S64</f>
        <v>#REF!</v>
      </c>
      <c r="P39" s="153" t="e">
        <f>'M. por conceptos'!T64</f>
        <v>#REF!</v>
      </c>
      <c r="Q39" s="153" t="e">
        <f>'M. por conceptos'!U64</f>
        <v>#REF!</v>
      </c>
      <c r="R39" s="153" t="e">
        <f>'M. por conceptos'!V64</f>
        <v>#REF!</v>
      </c>
    </row>
    <row r="40" spans="1:21">
      <c r="B40" s="309" t="s">
        <v>735</v>
      </c>
      <c r="D40" s="22" t="e">
        <f>D39/C39-1</f>
        <v>#REF!</v>
      </c>
      <c r="E40" s="22" t="e">
        <f>E39/D39-1</f>
        <v>#REF!</v>
      </c>
      <c r="F40" s="22" t="e">
        <f>F39/E39-1</f>
        <v>#REF!</v>
      </c>
      <c r="G40" s="22" t="e">
        <f>G39/F39-1</f>
        <v>#REF!</v>
      </c>
      <c r="H40" s="22" t="e">
        <f>H39/G39-1</f>
        <v>#REF!</v>
      </c>
      <c r="I40" s="22" t="e">
        <f>I39/H39-1</f>
        <v>#REF!</v>
      </c>
      <c r="J40" s="22" t="e">
        <f>J39/I39-1</f>
        <v>#REF!</v>
      </c>
      <c r="K40" s="22" t="e">
        <f>K39/J39-1</f>
        <v>#REF!</v>
      </c>
      <c r="L40" s="22" t="e">
        <f>L39/K39-1</f>
        <v>#REF!</v>
      </c>
      <c r="M40" s="22" t="e">
        <f>M39/L39-1</f>
        <v>#REF!</v>
      </c>
      <c r="N40" s="22" t="e">
        <f>N39/M39-1</f>
        <v>#REF!</v>
      </c>
      <c r="O40" s="22" t="e">
        <f>O39/N39-1</f>
        <v>#REF!</v>
      </c>
      <c r="P40" s="22" t="e">
        <f>P39/O39-1</f>
        <v>#REF!</v>
      </c>
      <c r="Q40" s="22" t="e">
        <f>Q39/P39-1</f>
        <v>#REF!</v>
      </c>
      <c r="R40" s="310" t="e">
        <f>R39/Q39-1</f>
        <v>#REF!</v>
      </c>
    </row>
    <row r="41" spans="1:21">
      <c r="B41" s="311" t="s">
        <v>736</v>
      </c>
      <c r="C41" s="312"/>
      <c r="D41" s="312"/>
      <c r="E41" s="313" t="e">
        <f>E40/D40-1</f>
        <v>#REF!</v>
      </c>
      <c r="F41" s="313" t="e">
        <f>F40/E40-1</f>
        <v>#REF!</v>
      </c>
      <c r="G41" s="313" t="e">
        <f>G40/F40-1</f>
        <v>#REF!</v>
      </c>
      <c r="H41" s="313" t="e">
        <f>H40/G40-1</f>
        <v>#REF!</v>
      </c>
      <c r="I41" s="313" t="e">
        <f>I40/H40-1</f>
        <v>#REF!</v>
      </c>
      <c r="J41" s="313" t="e">
        <f>J40/I40-1</f>
        <v>#REF!</v>
      </c>
      <c r="K41" s="313" t="e">
        <f>K40/J40-1</f>
        <v>#REF!</v>
      </c>
      <c r="L41" s="313" t="e">
        <f>L40/K40-1</f>
        <v>#REF!</v>
      </c>
      <c r="M41" s="313" t="e">
        <f>M40/L40-1</f>
        <v>#REF!</v>
      </c>
      <c r="N41" s="313" t="e">
        <f>N40/M40-1</f>
        <v>#REF!</v>
      </c>
      <c r="O41" s="313" t="e">
        <f>O40/N40-1</f>
        <v>#REF!</v>
      </c>
      <c r="P41" s="313" t="e">
        <f>P40/O40-1</f>
        <v>#REF!</v>
      </c>
      <c r="Q41" s="313" t="e">
        <f>Q40/P40-1</f>
        <v>#REF!</v>
      </c>
      <c r="R41" s="314" t="e">
        <f>R40/Q40-1</f>
        <v>#REF!</v>
      </c>
    </row>
    <row r="43" spans="1:21">
      <c r="B43" s="315" t="s">
        <v>737</v>
      </c>
      <c r="C43" s="316"/>
      <c r="D43" s="328" t="e">
        <f>D40*(1+$D$14)</f>
        <v>#REF!</v>
      </c>
      <c r="E43" s="317">
        <f>IF(E$10&gt;$G$14,D43*(1+E41),$G$14)</f>
        <v>0.015</v>
      </c>
      <c r="F43" s="317">
        <f>IF(F$10&gt;$G$14,E43*(1+F41),$G$14)</f>
        <v>0.015</v>
      </c>
      <c r="G43" s="317">
        <f>IF(G$10&gt;$G$14,F43*(1+G41),$G$14)</f>
        <v>0.015</v>
      </c>
      <c r="H43" s="317">
        <f>IF(H$10&gt;$G$14,G43*(1+H41),$G$14)</f>
        <v>0.015</v>
      </c>
      <c r="I43" s="317">
        <f>IF(I$10&gt;$G$14,H43*(1+I41),$G$14)</f>
        <v>0.015</v>
      </c>
      <c r="J43" s="317">
        <f>IF(J$10&gt;$G$14,I43*(1+J41),$G$14)</f>
        <v>0.015</v>
      </c>
      <c r="K43" s="317">
        <f>IF(K$10&gt;$G$14,J43*(1+K41),$G$14)</f>
        <v>0.015</v>
      </c>
      <c r="L43" s="317">
        <f>IF(L$10&gt;$G$14,K43*(1+L41),$G$14)</f>
        <v>0.015</v>
      </c>
      <c r="M43" s="317">
        <f>IF(M$10&gt;$G$14,L43*(1+M41),$G$14)</f>
        <v>0.015</v>
      </c>
      <c r="N43" s="317">
        <f>IF(N$10&gt;$G$14,M43*(1+N41),$G$14)</f>
        <v>0.015</v>
      </c>
      <c r="O43" s="317">
        <f>IF(O$10&gt;$G$14,N43*(1+O41),$G$14)</f>
        <v>0.015</v>
      </c>
      <c r="P43" s="317">
        <f>IF(P$10&gt;$G$14,O43*(1+P41),$G$14)</f>
        <v>0.015</v>
      </c>
      <c r="Q43" s="317">
        <f>IF(Q$10&gt;$G$14,P43*(1+Q41),$G$14)</f>
        <v>0.015</v>
      </c>
      <c r="R43" s="317">
        <f>IF(R$10&gt;$G$14,Q43*(1+R41),$G$14)</f>
        <v>0.015</v>
      </c>
    </row>
    <row r="44" spans="1:21">
      <c r="B44" s="311" t="s">
        <v>457</v>
      </c>
      <c r="C44" s="319" t="e">
        <f>C39</f>
        <v>#REF!</v>
      </c>
      <c r="D44" s="319" t="e">
        <f>C44*(1+D43)</f>
        <v>#REF!</v>
      </c>
      <c r="E44" s="319" t="e">
        <f>D44*(1+E43)</f>
        <v>#REF!</v>
      </c>
      <c r="F44" s="319" t="e">
        <f>E44*(1+F43)</f>
        <v>#REF!</v>
      </c>
      <c r="G44" s="319" t="e">
        <f>F44*(1+G43)</f>
        <v>#REF!</v>
      </c>
      <c r="H44" s="319" t="e">
        <f>G44*(1+H43)</f>
        <v>#REF!</v>
      </c>
      <c r="I44" s="319" t="e">
        <f>H44*(1+I43)</f>
        <v>#REF!</v>
      </c>
      <c r="J44" s="319" t="e">
        <f>I44*(1+J43)</f>
        <v>#REF!</v>
      </c>
      <c r="K44" s="319" t="e">
        <f>J44*(1+K43)</f>
        <v>#REF!</v>
      </c>
      <c r="L44" s="319" t="e">
        <f>K44*(1+L43)</f>
        <v>#REF!</v>
      </c>
      <c r="M44" s="319" t="e">
        <f>L44*(1+M43)</f>
        <v>#REF!</v>
      </c>
      <c r="N44" s="319" t="e">
        <f>M44*(1+N43)</f>
        <v>#REF!</v>
      </c>
      <c r="O44" s="319" t="e">
        <f>N44*(1+O43)</f>
        <v>#REF!</v>
      </c>
      <c r="P44" s="319" t="e">
        <f>O44*(1+P43)</f>
        <v>#REF!</v>
      </c>
      <c r="Q44" s="319" t="e">
        <f>P44*(1+Q43)</f>
        <v>#REF!</v>
      </c>
      <c r="R44" s="320" t="e">
        <f>Q44*(1+R43)</f>
        <v>#REF!</v>
      </c>
    </row>
    <row r="47" spans="1:21">
      <c r="B47" s="787" t="s">
        <v>448</v>
      </c>
      <c r="C47" s="324">
        <f>C$4</f>
        <v>2021</v>
      </c>
      <c r="D47" s="307">
        <f>D$4</f>
        <v>2022</v>
      </c>
      <c r="E47" s="307">
        <f>E$4</f>
        <v>2023</v>
      </c>
      <c r="F47" s="307">
        <f>F$4</f>
        <v>2024</v>
      </c>
      <c r="G47" s="307">
        <f>G$4</f>
        <v>2025</v>
      </c>
      <c r="H47" s="307">
        <f>H$4</f>
        <v>2026</v>
      </c>
      <c r="I47" s="307">
        <f>I$4</f>
        <v>2027</v>
      </c>
      <c r="J47" s="307">
        <f>J$4</f>
        <v>2028</v>
      </c>
      <c r="K47" s="307">
        <f>K$4</f>
        <v>2029</v>
      </c>
      <c r="L47" s="307">
        <f>L$4</f>
        <v>2030</v>
      </c>
      <c r="M47" s="307">
        <f>M$4</f>
        <v>2031</v>
      </c>
      <c r="N47" s="307">
        <f>N$4</f>
        <v>2032</v>
      </c>
      <c r="O47" s="307">
        <f>O$4</f>
        <v>2033</v>
      </c>
      <c r="P47" s="307">
        <f>P$4</f>
        <v>2034</v>
      </c>
      <c r="Q47" s="307">
        <f>Q$4</f>
        <v>2035</v>
      </c>
      <c r="R47" s="325">
        <f>R$4</f>
        <v>2036</v>
      </c>
    </row>
    <row r="48" spans="1:21">
      <c r="B48" s="788"/>
      <c r="C48" s="326">
        <f>C$5</f>
        <v>5</v>
      </c>
      <c r="D48" s="308">
        <f>D$5</f>
        <v>6</v>
      </c>
      <c r="E48" s="308">
        <f>E$5</f>
        <v>7</v>
      </c>
      <c r="F48" s="308">
        <f>F$5</f>
        <v>8</v>
      </c>
      <c r="G48" s="308">
        <f>G$5</f>
        <v>9</v>
      </c>
      <c r="H48" s="308">
        <f>H$5</f>
        <v>10</v>
      </c>
      <c r="I48" s="308">
        <f>I$5</f>
        <v>11</v>
      </c>
      <c r="J48" s="308">
        <f>J$5</f>
        <v>12</v>
      </c>
      <c r="K48" s="308">
        <f>K$5</f>
        <v>13</v>
      </c>
      <c r="L48" s="308">
        <f>L$5</f>
        <v>14</v>
      </c>
      <c r="M48" s="308">
        <f>M$5</f>
        <v>15</v>
      </c>
      <c r="N48" s="308">
        <f>N$5</f>
        <v>16</v>
      </c>
      <c r="O48" s="308">
        <f>O$5</f>
        <v>17</v>
      </c>
      <c r="P48" s="308">
        <f>P$5</f>
        <v>18</v>
      </c>
      <c r="Q48" s="308">
        <f>Q$5</f>
        <v>19</v>
      </c>
      <c r="R48" s="327">
        <f>R$5</f>
        <v>20</v>
      </c>
    </row>
    <row r="49" spans="1:21">
      <c r="B49" s="309" t="s">
        <v>457</v>
      </c>
      <c r="C49" s="153" t="e">
        <f>'M. por conceptos'!G82</f>
        <v>#REF!</v>
      </c>
      <c r="D49" s="153" t="e">
        <f>'M. por conceptos'!H82</f>
        <v>#REF!</v>
      </c>
      <c r="E49" s="153" t="e">
        <f>'M. por conceptos'!I82</f>
        <v>#REF!</v>
      </c>
      <c r="F49" s="153" t="e">
        <f>'M. por conceptos'!J82</f>
        <v>#REF!</v>
      </c>
      <c r="G49" s="153" t="e">
        <f>'M. por conceptos'!K82</f>
        <v>#REF!</v>
      </c>
      <c r="H49" s="153" t="e">
        <f>'M. por conceptos'!L82</f>
        <v>#REF!</v>
      </c>
      <c r="I49" s="153" t="e">
        <f>'M. por conceptos'!M82</f>
        <v>#REF!</v>
      </c>
      <c r="J49" s="153" t="e">
        <f>'M. por conceptos'!N82</f>
        <v>#REF!</v>
      </c>
      <c r="K49" s="153" t="e">
        <f>'M. por conceptos'!O82</f>
        <v>#REF!</v>
      </c>
      <c r="L49" s="153" t="e">
        <f>'M. por conceptos'!P82</f>
        <v>#REF!</v>
      </c>
      <c r="M49" s="153" t="e">
        <f>'M. por conceptos'!Q82</f>
        <v>#REF!</v>
      </c>
      <c r="N49" s="153" t="e">
        <f>'M. por conceptos'!R82</f>
        <v>#REF!</v>
      </c>
      <c r="O49" s="153" t="e">
        <f>'M. por conceptos'!S82</f>
        <v>#REF!</v>
      </c>
      <c r="P49" s="153" t="e">
        <f>'M. por conceptos'!T82</f>
        <v>#REF!</v>
      </c>
      <c r="Q49" s="153" t="e">
        <f>'M. por conceptos'!U82</f>
        <v>#REF!</v>
      </c>
      <c r="R49" s="153" t="e">
        <f>'M. por conceptos'!V82</f>
        <v>#REF!</v>
      </c>
    </row>
    <row r="50" spans="1:21">
      <c r="B50" s="309" t="s">
        <v>735</v>
      </c>
      <c r="D50" s="22" t="e">
        <f>D49/C49-1</f>
        <v>#REF!</v>
      </c>
      <c r="E50" s="22" t="e">
        <f>E49/D49-1</f>
        <v>#REF!</v>
      </c>
      <c r="F50" s="22" t="e">
        <f>F49/E49-1</f>
        <v>#REF!</v>
      </c>
      <c r="G50" s="22" t="e">
        <f>G49/F49-1</f>
        <v>#REF!</v>
      </c>
      <c r="H50" s="22" t="e">
        <f>H49/G49-1</f>
        <v>#REF!</v>
      </c>
      <c r="I50" s="22" t="e">
        <f>I49/H49-1</f>
        <v>#REF!</v>
      </c>
      <c r="J50" s="22" t="e">
        <f>J49/I49-1</f>
        <v>#REF!</v>
      </c>
      <c r="K50" s="22" t="e">
        <f>K49/J49-1</f>
        <v>#REF!</v>
      </c>
      <c r="L50" s="22" t="e">
        <f>L49/K49-1</f>
        <v>#REF!</v>
      </c>
      <c r="M50" s="22" t="e">
        <f>M49/L49-1</f>
        <v>#REF!</v>
      </c>
      <c r="N50" s="22" t="e">
        <f>N49/M49-1</f>
        <v>#REF!</v>
      </c>
      <c r="O50" s="22" t="e">
        <f>O49/N49-1</f>
        <v>#REF!</v>
      </c>
      <c r="P50" s="22" t="e">
        <f>P49/O49-1</f>
        <v>#REF!</v>
      </c>
      <c r="Q50" s="22" t="e">
        <f>Q49/P49-1</f>
        <v>#REF!</v>
      </c>
      <c r="R50" s="310" t="e">
        <f>R49/Q49-1</f>
        <v>#REF!</v>
      </c>
    </row>
    <row r="51" spans="1:21">
      <c r="B51" s="311" t="s">
        <v>736</v>
      </c>
      <c r="C51" s="312"/>
      <c r="D51" s="312"/>
      <c r="E51" s="313" t="e">
        <f>E50/D50-1</f>
        <v>#REF!</v>
      </c>
      <c r="F51" s="313" t="e">
        <f>F50/E50-1</f>
        <v>#REF!</v>
      </c>
      <c r="G51" s="313" t="e">
        <f>G50/F50-1</f>
        <v>#REF!</v>
      </c>
      <c r="H51" s="313" t="e">
        <f>H50/G50-1</f>
        <v>#REF!</v>
      </c>
      <c r="I51" s="313" t="e">
        <f>I50/H50-1</f>
        <v>#REF!</v>
      </c>
      <c r="J51" s="313" t="e">
        <f>J50/I50-1</f>
        <v>#REF!</v>
      </c>
      <c r="K51" s="313" t="e">
        <f>K50/J50-1</f>
        <v>#REF!</v>
      </c>
      <c r="L51" s="313" t="e">
        <f>L50/K50-1</f>
        <v>#REF!</v>
      </c>
      <c r="M51" s="313" t="e">
        <f>M50/L50-1</f>
        <v>#REF!</v>
      </c>
      <c r="N51" s="313" t="e">
        <f>N50/M50-1</f>
        <v>#REF!</v>
      </c>
      <c r="O51" s="313" t="e">
        <f>O50/N50-1</f>
        <v>#REF!</v>
      </c>
      <c r="P51" s="313" t="e">
        <f>P50/O50-1</f>
        <v>#REF!</v>
      </c>
      <c r="Q51" s="313" t="e">
        <f>Q50/P50-1</f>
        <v>#REF!</v>
      </c>
      <c r="R51" s="314" t="e">
        <f>R50/Q50-1</f>
        <v>#REF!</v>
      </c>
    </row>
    <row r="53" spans="1:21">
      <c r="B53" s="315" t="s">
        <v>737</v>
      </c>
      <c r="C53" s="316"/>
      <c r="D53" s="328" t="e">
        <f>D10</f>
        <v>#REF!</v>
      </c>
      <c r="E53" s="317">
        <f>IF(E$10&gt;$G$14,D53*(1+E51),$G$14)</f>
        <v>0.015</v>
      </c>
      <c r="F53" s="317">
        <f>IF(F$10&gt;$G$14,E53*(1+F51),$G$14)</f>
        <v>0.015</v>
      </c>
      <c r="G53" s="317">
        <f>IF(G$10&gt;$G$14,F53*(1+G51),$G$14)</f>
        <v>0.015</v>
      </c>
      <c r="H53" s="317">
        <f>IF(H$10&gt;$G$14,G53*(1+H51),$G$14)</f>
        <v>0.015</v>
      </c>
      <c r="I53" s="317">
        <f>IF(I$10&gt;$G$14,H53*(1+I51),$G$14)</f>
        <v>0.015</v>
      </c>
      <c r="J53" s="317">
        <f>IF(J$10&gt;$G$14,I53*(1+J51),$G$14)</f>
        <v>0.015</v>
      </c>
      <c r="K53" s="317">
        <f>IF(K$10&gt;$G$14,J53*(1+K51),$G$14)</f>
        <v>0.015</v>
      </c>
      <c r="L53" s="317">
        <f>IF(L$10&gt;$G$14,K53*(1+L51),$G$14)</f>
        <v>0.015</v>
      </c>
      <c r="M53" s="317">
        <f>IF(M$10&gt;$G$14,L53*(1+M51),$G$14)</f>
        <v>0.015</v>
      </c>
      <c r="N53" s="317">
        <f>IF(N$10&gt;$G$14,M53*(1+N51),$G$14)</f>
        <v>0.015</v>
      </c>
      <c r="O53" s="317">
        <f>IF(O$10&gt;$G$14,N53*(1+O51),$G$14)</f>
        <v>0.015</v>
      </c>
      <c r="P53" s="317">
        <f>IF(P$10&gt;$G$14,O53*(1+P51),$G$14)</f>
        <v>0.015</v>
      </c>
      <c r="Q53" s="317">
        <f>IF(Q$10&gt;$G$14,P53*(1+Q51),$G$14)</f>
        <v>0.015</v>
      </c>
      <c r="R53" s="317">
        <f>IF(R$10&gt;$G$14,Q53*(1+R51),$G$14)</f>
        <v>0.015</v>
      </c>
    </row>
    <row r="54" spans="1:21">
      <c r="B54" s="311" t="s">
        <v>457</v>
      </c>
      <c r="C54" s="319" t="e">
        <f>C49</f>
        <v>#REF!</v>
      </c>
      <c r="D54" s="319" t="e">
        <f>C54*(1+D53)</f>
        <v>#REF!</v>
      </c>
      <c r="E54" s="319" t="e">
        <f>D54*(1+E53)</f>
        <v>#REF!</v>
      </c>
      <c r="F54" s="319" t="e">
        <f>E54*(1+F53)</f>
        <v>#REF!</v>
      </c>
      <c r="G54" s="319" t="e">
        <f>F54*(1+G53)</f>
        <v>#REF!</v>
      </c>
      <c r="H54" s="319" t="e">
        <f>G54*(1+H53)</f>
        <v>#REF!</v>
      </c>
      <c r="I54" s="319" t="e">
        <f>H54*(1+I53)</f>
        <v>#REF!</v>
      </c>
      <c r="J54" s="319" t="e">
        <f>I54*(1+J53)</f>
        <v>#REF!</v>
      </c>
      <c r="K54" s="319" t="e">
        <f>J54*(1+K53)</f>
        <v>#REF!</v>
      </c>
      <c r="L54" s="319" t="e">
        <f>K54*(1+L53)</f>
        <v>#REF!</v>
      </c>
      <c r="M54" s="319" t="e">
        <f>L54*(1+M53)</f>
        <v>#REF!</v>
      </c>
      <c r="N54" s="319" t="e">
        <f>M54*(1+N53)</f>
        <v>#REF!</v>
      </c>
      <c r="O54" s="319" t="e">
        <f>N54*(1+O53)</f>
        <v>#REF!</v>
      </c>
      <c r="P54" s="319" t="e">
        <f>O54*(1+P53)</f>
        <v>#REF!</v>
      </c>
      <c r="Q54" s="319" t="e">
        <f>P54*(1+Q53)</f>
        <v>#REF!</v>
      </c>
      <c r="R54" s="320" t="e">
        <f>Q54*(1+R53)</f>
        <v>#REF!</v>
      </c>
    </row>
    <row r="57" spans="1:21">
      <c r="B57" s="787" t="s">
        <v>449</v>
      </c>
      <c r="C57" s="324">
        <f>C$4</f>
        <v>2021</v>
      </c>
      <c r="D57" s="307">
        <f>D$4</f>
        <v>2022</v>
      </c>
      <c r="E57" s="307">
        <f>E$4</f>
        <v>2023</v>
      </c>
      <c r="F57" s="307">
        <f>F$4</f>
        <v>2024</v>
      </c>
      <c r="G57" s="307">
        <f>G$4</f>
        <v>2025</v>
      </c>
      <c r="H57" s="307">
        <f>H$4</f>
        <v>2026</v>
      </c>
      <c r="I57" s="307">
        <f>I$4</f>
        <v>2027</v>
      </c>
      <c r="J57" s="307">
        <f>J$4</f>
        <v>2028</v>
      </c>
      <c r="K57" s="307">
        <f>K$4</f>
        <v>2029</v>
      </c>
      <c r="L57" s="307">
        <f>L$4</f>
        <v>2030</v>
      </c>
      <c r="M57" s="307">
        <f>M$4</f>
        <v>2031</v>
      </c>
      <c r="N57" s="307">
        <f>N$4</f>
        <v>2032</v>
      </c>
      <c r="O57" s="307">
        <f>O$4</f>
        <v>2033</v>
      </c>
      <c r="P57" s="307">
        <f>P$4</f>
        <v>2034</v>
      </c>
      <c r="Q57" s="307">
        <f>Q$4</f>
        <v>2035</v>
      </c>
      <c r="R57" s="325">
        <f>R$4</f>
        <v>2036</v>
      </c>
    </row>
    <row r="58" spans="1:21">
      <c r="B58" s="788"/>
      <c r="C58" s="326">
        <f>C$5</f>
        <v>5</v>
      </c>
      <c r="D58" s="308">
        <f>D$5</f>
        <v>6</v>
      </c>
      <c r="E58" s="308">
        <f>E$5</f>
        <v>7</v>
      </c>
      <c r="F58" s="308">
        <f>F$5</f>
        <v>8</v>
      </c>
      <c r="G58" s="308">
        <f>G$5</f>
        <v>9</v>
      </c>
      <c r="H58" s="308">
        <f>H$5</f>
        <v>10</v>
      </c>
      <c r="I58" s="308">
        <f>I$5</f>
        <v>11</v>
      </c>
      <c r="J58" s="308">
        <f>J$5</f>
        <v>12</v>
      </c>
      <c r="K58" s="308">
        <f>K$5</f>
        <v>13</v>
      </c>
      <c r="L58" s="308">
        <f>L$5</f>
        <v>14</v>
      </c>
      <c r="M58" s="308">
        <f>M$5</f>
        <v>15</v>
      </c>
      <c r="N58" s="308">
        <f>N$5</f>
        <v>16</v>
      </c>
      <c r="O58" s="308">
        <f>O$5</f>
        <v>17</v>
      </c>
      <c r="P58" s="308">
        <f>P$5</f>
        <v>18</v>
      </c>
      <c r="Q58" s="308">
        <f>Q$5</f>
        <v>19</v>
      </c>
      <c r="R58" s="327">
        <f>R$5</f>
        <v>20</v>
      </c>
    </row>
    <row r="59" spans="1:21">
      <c r="B59" s="309" t="s">
        <v>457</v>
      </c>
      <c r="C59" s="153" t="e">
        <f>'M. por conceptos'!G100</f>
        <v>#REF!</v>
      </c>
      <c r="D59" s="153" t="e">
        <f>'M. por conceptos'!H100</f>
        <v>#REF!</v>
      </c>
      <c r="E59" s="153" t="e">
        <f>'M. por conceptos'!I100</f>
        <v>#REF!</v>
      </c>
      <c r="F59" s="153" t="e">
        <f>'M. por conceptos'!J100</f>
        <v>#REF!</v>
      </c>
      <c r="G59" s="153" t="e">
        <f>'M. por conceptos'!K100</f>
        <v>#REF!</v>
      </c>
      <c r="H59" s="153" t="e">
        <f>'M. por conceptos'!L100</f>
        <v>#REF!</v>
      </c>
      <c r="I59" s="153" t="e">
        <f>'M. por conceptos'!M100</f>
        <v>#REF!</v>
      </c>
      <c r="J59" s="153" t="e">
        <f>'M. por conceptos'!N100</f>
        <v>#REF!</v>
      </c>
      <c r="K59" s="153" t="e">
        <f>'M. por conceptos'!O100</f>
        <v>#REF!</v>
      </c>
      <c r="L59" s="153" t="e">
        <f>'M. por conceptos'!P100</f>
        <v>#REF!</v>
      </c>
      <c r="M59" s="153" t="e">
        <f>'M. por conceptos'!Q100</f>
        <v>#REF!</v>
      </c>
      <c r="N59" s="153" t="e">
        <f>'M. por conceptos'!R100</f>
        <v>#REF!</v>
      </c>
      <c r="O59" s="153" t="e">
        <f>'M. por conceptos'!S100</f>
        <v>#REF!</v>
      </c>
      <c r="P59" s="153" t="e">
        <f>'M. por conceptos'!T100</f>
        <v>#REF!</v>
      </c>
      <c r="Q59" s="153" t="e">
        <f>'M. por conceptos'!U100</f>
        <v>#REF!</v>
      </c>
      <c r="R59" s="153" t="e">
        <f>'M. por conceptos'!V100</f>
        <v>#REF!</v>
      </c>
    </row>
    <row r="60" spans="1:21">
      <c r="B60" s="309" t="s">
        <v>735</v>
      </c>
      <c r="D60" s="22" t="e">
        <f>D59/C59-1</f>
        <v>#REF!</v>
      </c>
      <c r="E60" s="22" t="e">
        <f>E59/D59-1</f>
        <v>#REF!</v>
      </c>
      <c r="F60" s="22" t="e">
        <f>F59/E59-1</f>
        <v>#REF!</v>
      </c>
      <c r="G60" s="22" t="e">
        <f>G59/F59-1</f>
        <v>#REF!</v>
      </c>
      <c r="H60" s="22" t="e">
        <f>H59/G59-1</f>
        <v>#REF!</v>
      </c>
      <c r="I60" s="22" t="e">
        <f>I59/H59-1</f>
        <v>#REF!</v>
      </c>
      <c r="J60" s="22" t="e">
        <f>J59/I59-1</f>
        <v>#REF!</v>
      </c>
      <c r="K60" s="22" t="e">
        <f>K59/J59-1</f>
        <v>#REF!</v>
      </c>
      <c r="L60" s="22" t="e">
        <f>L59/K59-1</f>
        <v>#REF!</v>
      </c>
      <c r="M60" s="22" t="e">
        <f>M59/L59-1</f>
        <v>#REF!</v>
      </c>
      <c r="N60" s="22" t="e">
        <f>N59/M59-1</f>
        <v>#REF!</v>
      </c>
      <c r="O60" s="22" t="e">
        <f>O59/N59-1</f>
        <v>#REF!</v>
      </c>
      <c r="P60" s="22" t="e">
        <f>P59/O59-1</f>
        <v>#REF!</v>
      </c>
      <c r="Q60" s="22" t="e">
        <f>Q59/P59-1</f>
        <v>#REF!</v>
      </c>
      <c r="R60" s="310" t="e">
        <f>R59/Q59-1</f>
        <v>#REF!</v>
      </c>
    </row>
    <row r="61" spans="1:21">
      <c r="B61" s="311" t="s">
        <v>736</v>
      </c>
      <c r="C61" s="312"/>
      <c r="D61" s="312"/>
      <c r="E61" s="313" t="e">
        <f>E60/D60-1</f>
        <v>#REF!</v>
      </c>
      <c r="F61" s="313" t="e">
        <f>F60/E60-1</f>
        <v>#REF!</v>
      </c>
      <c r="G61" s="313" t="e">
        <f>G60/F60-1</f>
        <v>#REF!</v>
      </c>
      <c r="H61" s="313" t="e">
        <f>H60/G60-1</f>
        <v>#REF!</v>
      </c>
      <c r="I61" s="313" t="e">
        <f>I60/H60-1</f>
        <v>#REF!</v>
      </c>
      <c r="J61" s="313" t="e">
        <f>J60/I60-1</f>
        <v>#REF!</v>
      </c>
      <c r="K61" s="313" t="e">
        <f>K60/J60-1</f>
        <v>#REF!</v>
      </c>
      <c r="L61" s="313" t="e">
        <f>L60/K60-1</f>
        <v>#REF!</v>
      </c>
      <c r="M61" s="313" t="e">
        <f>M60/L60-1</f>
        <v>#REF!</v>
      </c>
      <c r="N61" s="313" t="e">
        <f>N60/M60-1</f>
        <v>#REF!</v>
      </c>
      <c r="O61" s="313" t="e">
        <f>O60/N60-1</f>
        <v>#REF!</v>
      </c>
      <c r="P61" s="313" t="e">
        <f>P60/O60-1</f>
        <v>#REF!</v>
      </c>
      <c r="Q61" s="313" t="e">
        <f>Q60/P60-1</f>
        <v>#REF!</v>
      </c>
      <c r="R61" s="314" t="e">
        <f>R60/Q60-1</f>
        <v>#REF!</v>
      </c>
    </row>
    <row r="63" spans="1:21">
      <c r="B63" s="315" t="s">
        <v>737</v>
      </c>
      <c r="C63" s="316"/>
      <c r="D63" s="328" t="e">
        <f>D60*(1+$D$14)</f>
        <v>#REF!</v>
      </c>
      <c r="E63" s="317">
        <f>IF(E$10&gt;$G$14,D63*(1+E61),$G$14)</f>
        <v>0.015</v>
      </c>
      <c r="F63" s="317">
        <f>IF(F$10&gt;$G$14,E63*(1+F61),$G$14)</f>
        <v>0.015</v>
      </c>
      <c r="G63" s="317">
        <f>IF(G$10&gt;$G$14,F63*(1+G61),$G$14)</f>
        <v>0.015</v>
      </c>
      <c r="H63" s="317">
        <f>IF(H$10&gt;$G$14,G63*(1+H61),$G$14)</f>
        <v>0.015</v>
      </c>
      <c r="I63" s="317">
        <f>IF(I$10&gt;$G$14,H63*(1+I61),$G$14)</f>
        <v>0.015</v>
      </c>
      <c r="J63" s="317">
        <f>IF(J$10&gt;$G$14,I63*(1+J61),$G$14)</f>
        <v>0.015</v>
      </c>
      <c r="K63" s="317">
        <f>IF(K$10&gt;$G$14,J63*(1+K61),$G$14)</f>
        <v>0.015</v>
      </c>
      <c r="L63" s="317">
        <f>IF(L$10&gt;$G$14,K63*(1+L61),$G$14)</f>
        <v>0.015</v>
      </c>
      <c r="M63" s="317">
        <f>IF(M$10&gt;$G$14,L63*(1+M61),$G$14)</f>
        <v>0.015</v>
      </c>
      <c r="N63" s="317">
        <f>IF(N$10&gt;$G$14,M63*(1+N61),$G$14)</f>
        <v>0.015</v>
      </c>
      <c r="O63" s="317">
        <f>IF(O$10&gt;$G$14,N63*(1+O61),$G$14)</f>
        <v>0.015</v>
      </c>
      <c r="P63" s="317">
        <f>IF(P$10&gt;$G$14,O63*(1+P61),$G$14)</f>
        <v>0.015</v>
      </c>
      <c r="Q63" s="317">
        <f>IF(Q$10&gt;$G$14,P63*(1+Q61),$G$14)</f>
        <v>0.015</v>
      </c>
      <c r="R63" s="317">
        <f>IF(R$10&gt;$G$14,Q63*(1+R61),$G$14)</f>
        <v>0.015</v>
      </c>
    </row>
    <row r="64" spans="1:21">
      <c r="B64" s="311" t="s">
        <v>457</v>
      </c>
      <c r="C64" s="319" t="e">
        <f>C59</f>
        <v>#REF!</v>
      </c>
      <c r="D64" s="319" t="e">
        <f>C64*(1+D63)</f>
        <v>#REF!</v>
      </c>
      <c r="E64" s="319" t="e">
        <f>D64*(1+E63)</f>
        <v>#REF!</v>
      </c>
      <c r="F64" s="319" t="e">
        <f>E64*(1+F63)</f>
        <v>#REF!</v>
      </c>
      <c r="G64" s="319" t="e">
        <f>F64*(1+G63)</f>
        <v>#REF!</v>
      </c>
      <c r="H64" s="319" t="e">
        <f>G64*(1+H63)</f>
        <v>#REF!</v>
      </c>
      <c r="I64" s="319" t="e">
        <f>H64*(1+I63)</f>
        <v>#REF!</v>
      </c>
      <c r="J64" s="319" t="e">
        <f>I64*(1+J63)</f>
        <v>#REF!</v>
      </c>
      <c r="K64" s="319" t="e">
        <f>J64*(1+K63)</f>
        <v>#REF!</v>
      </c>
      <c r="L64" s="319" t="e">
        <f>K64*(1+L63)</f>
        <v>#REF!</v>
      </c>
      <c r="M64" s="319" t="e">
        <f>L64*(1+M63)</f>
        <v>#REF!</v>
      </c>
      <c r="N64" s="319" t="e">
        <f>M64*(1+N63)</f>
        <v>#REF!</v>
      </c>
      <c r="O64" s="319" t="e">
        <f>N64*(1+O63)</f>
        <v>#REF!</v>
      </c>
      <c r="P64" s="319" t="e">
        <f>O64*(1+P63)</f>
        <v>#REF!</v>
      </c>
      <c r="Q64" s="319" t="e">
        <f>P64*(1+Q63)</f>
        <v>#REF!</v>
      </c>
      <c r="R64" s="320" t="e">
        <f>Q64*(1+R63)</f>
        <v>#REF!</v>
      </c>
    </row>
    <row r="67" spans="1:21">
      <c r="B67" s="787" t="s">
        <v>92</v>
      </c>
      <c r="C67" s="324">
        <f>C$4</f>
        <v>2021</v>
      </c>
      <c r="D67" s="307">
        <f>D$4</f>
        <v>2022</v>
      </c>
      <c r="E67" s="307">
        <f>E$4</f>
        <v>2023</v>
      </c>
      <c r="F67" s="307">
        <f>F$4</f>
        <v>2024</v>
      </c>
      <c r="G67" s="307">
        <f>G$4</f>
        <v>2025</v>
      </c>
      <c r="H67" s="307">
        <f>H$4</f>
        <v>2026</v>
      </c>
      <c r="I67" s="307">
        <f>I$4</f>
        <v>2027</v>
      </c>
      <c r="J67" s="307">
        <f>J$4</f>
        <v>2028</v>
      </c>
      <c r="K67" s="307">
        <f>K$4</f>
        <v>2029</v>
      </c>
      <c r="L67" s="307">
        <f>L$4</f>
        <v>2030</v>
      </c>
      <c r="M67" s="307">
        <f>M$4</f>
        <v>2031</v>
      </c>
      <c r="N67" s="307">
        <f>N$4</f>
        <v>2032</v>
      </c>
      <c r="O67" s="307">
        <f>O$4</f>
        <v>2033</v>
      </c>
      <c r="P67" s="307">
        <f>P$4</f>
        <v>2034</v>
      </c>
      <c r="Q67" s="307">
        <f>Q$4</f>
        <v>2035</v>
      </c>
      <c r="R67" s="325">
        <f>R$4</f>
        <v>2036</v>
      </c>
    </row>
    <row r="68" spans="1:21">
      <c r="B68" s="788"/>
      <c r="C68" s="326">
        <f>C$5</f>
        <v>5</v>
      </c>
      <c r="D68" s="308">
        <f>D$5</f>
        <v>6</v>
      </c>
      <c r="E68" s="308">
        <f>E$5</f>
        <v>7</v>
      </c>
      <c r="F68" s="308">
        <f>F$5</f>
        <v>8</v>
      </c>
      <c r="G68" s="308">
        <f>G$5</f>
        <v>9</v>
      </c>
      <c r="H68" s="308">
        <f>H$5</f>
        <v>10</v>
      </c>
      <c r="I68" s="308">
        <f>I$5</f>
        <v>11</v>
      </c>
      <c r="J68" s="308">
        <f>J$5</f>
        <v>12</v>
      </c>
      <c r="K68" s="308">
        <f>K$5</f>
        <v>13</v>
      </c>
      <c r="L68" s="308">
        <f>L$5</f>
        <v>14</v>
      </c>
      <c r="M68" s="308">
        <f>M$5</f>
        <v>15</v>
      </c>
      <c r="N68" s="308">
        <f>N$5</f>
        <v>16</v>
      </c>
      <c r="O68" s="308">
        <f>O$5</f>
        <v>17</v>
      </c>
      <c r="P68" s="308">
        <f>P$5</f>
        <v>18</v>
      </c>
      <c r="Q68" s="308">
        <f>Q$5</f>
        <v>19</v>
      </c>
      <c r="R68" s="327">
        <f>R$5</f>
        <v>20</v>
      </c>
    </row>
    <row r="69" spans="1:21">
      <c r="B69" s="329"/>
      <c r="C69" s="330" t="e">
        <f>'M. por conceptos'!G120</f>
        <v>#REF!</v>
      </c>
      <c r="D69" s="330" t="e">
        <f>'M. por conceptos'!H121</f>
        <v>#REF!</v>
      </c>
      <c r="E69" s="330" t="e">
        <f>'M. por conceptos'!I121</f>
        <v>#REF!</v>
      </c>
      <c r="F69" s="330" t="e">
        <f>'M. por conceptos'!J121</f>
        <v>#REF!</v>
      </c>
      <c r="G69" s="330" t="e">
        <f>'M. por conceptos'!K121</f>
        <v>#REF!</v>
      </c>
      <c r="H69" s="330" t="e">
        <f>'M. por conceptos'!L121</f>
        <v>#REF!</v>
      </c>
      <c r="I69" s="330" t="e">
        <f>'M. por conceptos'!M121</f>
        <v>#REF!</v>
      </c>
      <c r="J69" s="330" t="e">
        <f>'M. por conceptos'!N121</f>
        <v>#REF!</v>
      </c>
      <c r="K69" s="330" t="e">
        <f>'M. por conceptos'!O121</f>
        <v>#REF!</v>
      </c>
      <c r="L69" s="330" t="e">
        <f>'M. por conceptos'!P121</f>
        <v>#REF!</v>
      </c>
      <c r="M69" s="330" t="e">
        <f>'M. por conceptos'!Q121</f>
        <v>#REF!</v>
      </c>
      <c r="N69" s="330" t="e">
        <f>'M. por conceptos'!R121</f>
        <v>#REF!</v>
      </c>
      <c r="O69" s="330" t="e">
        <f>'M. por conceptos'!S121</f>
        <v>#REF!</v>
      </c>
      <c r="P69" s="330" t="e">
        <f>'M. por conceptos'!T121</f>
        <v>#REF!</v>
      </c>
      <c r="Q69" s="330" t="e">
        <f>'M. por conceptos'!U121</f>
        <v>#REF!</v>
      </c>
      <c r="R69" s="330" t="e">
        <f>'M. por conceptos'!V121</f>
        <v>#REF!</v>
      </c>
    </row>
    <row r="70" spans="1:21">
      <c r="B70" s="331"/>
      <c r="C70" s="319" t="e">
        <f>C69*C11</f>
        <v>#REF!</v>
      </c>
      <c r="D70" s="319" t="e">
        <f>D69*D11</f>
        <v>#REF!</v>
      </c>
      <c r="E70" s="319" t="e">
        <f>E69*E11</f>
        <v>#REF!</v>
      </c>
      <c r="F70" s="319" t="e">
        <f>F69*F11</f>
        <v>#REF!</v>
      </c>
      <c r="G70" s="319" t="e">
        <f>G69*G11</f>
        <v>#REF!</v>
      </c>
      <c r="H70" s="319" t="e">
        <f>H69*H11</f>
        <v>#REF!</v>
      </c>
      <c r="I70" s="319" t="e">
        <f>I69*I11</f>
        <v>#REF!</v>
      </c>
      <c r="J70" s="319" t="e">
        <f>J69*J11</f>
        <v>#REF!</v>
      </c>
      <c r="K70" s="319" t="e">
        <f>K69*K11</f>
        <v>#REF!</v>
      </c>
      <c r="L70" s="319" t="e">
        <f>L69*L11</f>
        <v>#REF!</v>
      </c>
      <c r="M70" s="319" t="e">
        <f>M69*M11</f>
        <v>#REF!</v>
      </c>
      <c r="N70" s="319" t="e">
        <f>N69*N11</f>
        <v>#REF!</v>
      </c>
      <c r="O70" s="319" t="e">
        <f>O69*O11</f>
        <v>#REF!</v>
      </c>
      <c r="P70" s="319" t="e">
        <f>P69*P11</f>
        <v>#REF!</v>
      </c>
      <c r="Q70" s="319" t="e">
        <f>Q69*Q11</f>
        <v>#REF!</v>
      </c>
      <c r="R70" s="320" t="e">
        <f>R69*R11</f>
        <v>#REF!</v>
      </c>
    </row>
    <row r="73" spans="1:21">
      <c r="B73" s="787" t="s">
        <v>95</v>
      </c>
      <c r="C73" s="324">
        <f>C$4</f>
        <v>2021</v>
      </c>
      <c r="D73" s="307">
        <f>D$4</f>
        <v>2022</v>
      </c>
      <c r="E73" s="307">
        <f>E$4</f>
        <v>2023</v>
      </c>
      <c r="F73" s="307">
        <f>F$4</f>
        <v>2024</v>
      </c>
      <c r="G73" s="307">
        <f>G$4</f>
        <v>2025</v>
      </c>
      <c r="H73" s="307">
        <f>H$4</f>
        <v>2026</v>
      </c>
      <c r="I73" s="307">
        <f>I$4</f>
        <v>2027</v>
      </c>
      <c r="J73" s="307">
        <f>J$4</f>
        <v>2028</v>
      </c>
      <c r="K73" s="307">
        <f>K$4</f>
        <v>2029</v>
      </c>
      <c r="L73" s="307">
        <f>L$4</f>
        <v>2030</v>
      </c>
      <c r="M73" s="307">
        <f>M$4</f>
        <v>2031</v>
      </c>
      <c r="N73" s="307">
        <f>N$4</f>
        <v>2032</v>
      </c>
      <c r="O73" s="307">
        <f>O$4</f>
        <v>2033</v>
      </c>
      <c r="P73" s="307">
        <f>P$4</f>
        <v>2034</v>
      </c>
      <c r="Q73" s="307">
        <f>Q$4</f>
        <v>2035</v>
      </c>
      <c r="R73" s="325">
        <f>R$4</f>
        <v>2036</v>
      </c>
    </row>
    <row r="74" spans="1:21">
      <c r="B74" s="788"/>
      <c r="C74" s="326">
        <f>C$5</f>
        <v>5</v>
      </c>
      <c r="D74" s="308">
        <f>D$5</f>
        <v>6</v>
      </c>
      <c r="E74" s="308">
        <f>E$5</f>
        <v>7</v>
      </c>
      <c r="F74" s="308">
        <f>F$5</f>
        <v>8</v>
      </c>
      <c r="G74" s="308">
        <f>G$5</f>
        <v>9</v>
      </c>
      <c r="H74" s="308">
        <f>H$5</f>
        <v>10</v>
      </c>
      <c r="I74" s="308">
        <f>I$5</f>
        <v>11</v>
      </c>
      <c r="J74" s="308">
        <f>J$5</f>
        <v>12</v>
      </c>
      <c r="K74" s="308">
        <f>K$5</f>
        <v>13</v>
      </c>
      <c r="L74" s="308">
        <f>L$5</f>
        <v>14</v>
      </c>
      <c r="M74" s="308">
        <f>M$5</f>
        <v>15</v>
      </c>
      <c r="N74" s="308">
        <f>N$5</f>
        <v>16</v>
      </c>
      <c r="O74" s="308">
        <f>O$5</f>
        <v>17</v>
      </c>
      <c r="P74" s="308">
        <f>P$5</f>
        <v>18</v>
      </c>
      <c r="Q74" s="308">
        <f>Q$5</f>
        <v>19</v>
      </c>
      <c r="R74" s="327">
        <f>R$5</f>
        <v>20</v>
      </c>
    </row>
    <row r="75" spans="1:21">
      <c r="B75" s="329"/>
      <c r="C75" s="330" t="e">
        <f>'M. por conceptos'!G142</f>
        <v>#REF!</v>
      </c>
      <c r="D75" s="330" t="e">
        <f>'M. por conceptos'!H142</f>
        <v>#REF!</v>
      </c>
      <c r="E75" s="330" t="e">
        <f>'M. por conceptos'!I142</f>
        <v>#REF!</v>
      </c>
      <c r="F75" s="330" t="e">
        <f>'M. por conceptos'!J142</f>
        <v>#REF!</v>
      </c>
      <c r="G75" s="330" t="e">
        <f>'M. por conceptos'!K142</f>
        <v>#REF!</v>
      </c>
      <c r="H75" s="330" t="e">
        <f>'M. por conceptos'!L142</f>
        <v>#REF!</v>
      </c>
      <c r="I75" s="330" t="e">
        <f>'M. por conceptos'!M142</f>
        <v>#REF!</v>
      </c>
      <c r="J75" s="330" t="e">
        <f>'M. por conceptos'!N142</f>
        <v>#REF!</v>
      </c>
      <c r="K75" s="330" t="e">
        <f>'M. por conceptos'!O142</f>
        <v>#REF!</v>
      </c>
      <c r="L75" s="330" t="e">
        <f>'M. por conceptos'!P142</f>
        <v>#REF!</v>
      </c>
      <c r="M75" s="330" t="e">
        <f>'M. por conceptos'!Q142</f>
        <v>#REF!</v>
      </c>
      <c r="N75" s="330" t="e">
        <f>'M. por conceptos'!R142</f>
        <v>#REF!</v>
      </c>
      <c r="O75" s="330" t="e">
        <f>'M. por conceptos'!S142</f>
        <v>#REF!</v>
      </c>
      <c r="P75" s="330" t="e">
        <f>'M. por conceptos'!T142</f>
        <v>#REF!</v>
      </c>
      <c r="Q75" s="330" t="e">
        <f>'M. por conceptos'!U142</f>
        <v>#REF!</v>
      </c>
      <c r="R75" s="330" t="e">
        <f>'M. por conceptos'!V142</f>
        <v>#REF!</v>
      </c>
    </row>
    <row r="76" spans="1:21">
      <c r="B76" s="332"/>
      <c r="C76" s="363" t="e">
        <f>C75*C11</f>
        <v>#REF!</v>
      </c>
      <c r="D76" s="363" t="e">
        <f>D75*D11</f>
        <v>#REF!</v>
      </c>
      <c r="E76" s="363" t="e">
        <f>E75*E11</f>
        <v>#REF!</v>
      </c>
      <c r="F76" s="363" t="e">
        <f>F75*F11</f>
        <v>#REF!</v>
      </c>
      <c r="G76" s="363" t="e">
        <f>G75*G11</f>
        <v>#REF!</v>
      </c>
      <c r="H76" s="363" t="e">
        <f>H75*H11</f>
        <v>#REF!</v>
      </c>
      <c r="I76" s="363" t="e">
        <f>I75*I11</f>
        <v>#REF!</v>
      </c>
      <c r="J76" s="363" t="e">
        <f>J75*J11</f>
        <v>#REF!</v>
      </c>
      <c r="K76" s="363" t="e">
        <f>K75*K11</f>
        <v>#REF!</v>
      </c>
      <c r="L76" s="363" t="e">
        <f>L75*L11</f>
        <v>#REF!</v>
      </c>
      <c r="M76" s="363" t="e">
        <f>M75*M11</f>
        <v>#REF!</v>
      </c>
      <c r="N76" s="363" t="e">
        <f>N75*N11</f>
        <v>#REF!</v>
      </c>
      <c r="O76" s="363" t="e">
        <f>O75*O11</f>
        <v>#REF!</v>
      </c>
      <c r="P76" s="363" t="e">
        <f>P75*P11</f>
        <v>#REF!</v>
      </c>
      <c r="Q76" s="363" t="e">
        <f>Q75*Q11</f>
        <v>#REF!</v>
      </c>
      <c r="R76" s="378" t="e">
        <f>R75*R11</f>
        <v>#REF!</v>
      </c>
    </row>
    <row r="77" spans="1:21">
      <c r="B77" s="331"/>
      <c r="C77" s="319"/>
      <c r="D77" s="319" t="e">
        <f>D76-C76</f>
        <v>#REF!</v>
      </c>
      <c r="E77" s="319" t="e">
        <f>E76-D76</f>
        <v>#REF!</v>
      </c>
      <c r="F77" s="319" t="e">
        <f>F76-E76</f>
        <v>#REF!</v>
      </c>
      <c r="G77" s="319" t="e">
        <f>G76-F76</f>
        <v>#REF!</v>
      </c>
      <c r="H77" s="319" t="e">
        <f>H76-G76</f>
        <v>#REF!</v>
      </c>
      <c r="I77" s="319" t="e">
        <f>I76-H76</f>
        <v>#REF!</v>
      </c>
      <c r="J77" s="319" t="e">
        <f>J76-I76</f>
        <v>#REF!</v>
      </c>
      <c r="K77" s="319" t="e">
        <f>K76-J76</f>
        <v>#REF!</v>
      </c>
      <c r="L77" s="319" t="e">
        <f>L76-K76</f>
        <v>#REF!</v>
      </c>
      <c r="M77" s="319" t="e">
        <f>M76-L76</f>
        <v>#REF!</v>
      </c>
      <c r="N77" s="319" t="e">
        <f>N76-M76</f>
        <v>#REF!</v>
      </c>
      <c r="O77" s="319" t="e">
        <f>O76-N76</f>
        <v>#REF!</v>
      </c>
      <c r="P77" s="319" t="e">
        <f>P76-O76</f>
        <v>#REF!</v>
      </c>
      <c r="Q77" s="319" t="e">
        <f>Q76-P76</f>
        <v>#REF!</v>
      </c>
      <c r="R77" s="320" t="e">
        <f>R76-Q76</f>
        <v>#REF!</v>
      </c>
    </row>
    <row r="80" spans="1:21">
      <c r="D80" s="307">
        <f>D$4</f>
        <v>2022</v>
      </c>
      <c r="E80" s="307">
        <f>E$4</f>
        <v>2023</v>
      </c>
      <c r="F80" s="307">
        <f>F$4</f>
        <v>2024</v>
      </c>
      <c r="G80" s="307">
        <f>G$4</f>
        <v>2025</v>
      </c>
      <c r="H80" s="307">
        <f>H$4</f>
        <v>2026</v>
      </c>
      <c r="I80" s="307">
        <f>I$4</f>
        <v>2027</v>
      </c>
      <c r="J80" s="307">
        <f>J$4</f>
        <v>2028</v>
      </c>
      <c r="K80" s="307">
        <f>K$4</f>
        <v>2029</v>
      </c>
      <c r="L80" s="307">
        <f>L$4</f>
        <v>2030</v>
      </c>
      <c r="M80" s="307">
        <f>M$4</f>
        <v>2031</v>
      </c>
      <c r="N80" s="307">
        <f>N$4</f>
        <v>2032</v>
      </c>
      <c r="O80" s="307">
        <f>O$4</f>
        <v>2033</v>
      </c>
      <c r="P80" s="307">
        <f>P$4</f>
        <v>2034</v>
      </c>
      <c r="Q80" s="307">
        <f>Q$4</f>
        <v>2035</v>
      </c>
      <c r="R80" s="325">
        <f>R$4</f>
        <v>2036</v>
      </c>
    </row>
    <row r="81" spans="1:21">
      <c r="D81" s="308">
        <f>D$5</f>
        <v>6</v>
      </c>
      <c r="E81" s="308">
        <f>E$5</f>
        <v>7</v>
      </c>
      <c r="F81" s="308">
        <f>F$5</f>
        <v>8</v>
      </c>
      <c r="G81" s="308">
        <f>G$5</f>
        <v>9</v>
      </c>
      <c r="H81" s="308">
        <f>H$5</f>
        <v>10</v>
      </c>
      <c r="I81" s="308">
        <f>I$5</f>
        <v>11</v>
      </c>
      <c r="J81" s="308">
        <f>J$5</f>
        <v>12</v>
      </c>
      <c r="K81" s="308">
        <f>K$5</f>
        <v>13</v>
      </c>
      <c r="L81" s="308">
        <f>L$5</f>
        <v>14</v>
      </c>
      <c r="M81" s="308">
        <f>M$5</f>
        <v>15</v>
      </c>
      <c r="N81" s="308">
        <f>N$5</f>
        <v>16</v>
      </c>
      <c r="O81" s="308">
        <f>O$5</f>
        <v>17</v>
      </c>
      <c r="P81" s="308">
        <f>P$5</f>
        <v>18</v>
      </c>
      <c r="Q81" s="308">
        <f>Q$5</f>
        <v>19</v>
      </c>
      <c r="R81" s="327">
        <f>R$5</f>
        <v>20</v>
      </c>
    </row>
    <row r="82" spans="1:21">
      <c r="B82" s="329" t="s">
        <v>434</v>
      </c>
      <c r="C82" s="334"/>
      <c r="D82" s="245" t="e">
        <f>D11</f>
        <v>#REF!</v>
      </c>
      <c r="E82" s="245" t="e">
        <f>E11</f>
        <v>#REF!</v>
      </c>
      <c r="F82" s="245" t="e">
        <f>F11</f>
        <v>#REF!</v>
      </c>
      <c r="G82" s="245" t="e">
        <f>G11</f>
        <v>#REF!</v>
      </c>
      <c r="H82" s="245" t="e">
        <f>H11</f>
        <v>#REF!</v>
      </c>
      <c r="I82" s="245" t="e">
        <f>I11</f>
        <v>#REF!</v>
      </c>
      <c r="J82" s="245" t="e">
        <f>J11</f>
        <v>#REF!</v>
      </c>
      <c r="K82" s="245" t="e">
        <f>K11</f>
        <v>#REF!</v>
      </c>
      <c r="L82" s="245" t="e">
        <f>L11</f>
        <v>#REF!</v>
      </c>
      <c r="M82" s="245" t="e">
        <f>M11</f>
        <v>#REF!</v>
      </c>
      <c r="N82" s="245" t="e">
        <f>N11</f>
        <v>#REF!</v>
      </c>
      <c r="O82" s="245" t="e">
        <f>O11</f>
        <v>#REF!</v>
      </c>
      <c r="P82" s="245" t="e">
        <f>P11</f>
        <v>#REF!</v>
      </c>
      <c r="Q82" s="245" t="e">
        <f>Q11</f>
        <v>#REF!</v>
      </c>
      <c r="R82" s="245" t="e">
        <f>R11</f>
        <v>#REF!</v>
      </c>
    </row>
    <row r="83" spans="1:21">
      <c r="B83" s="332" t="s">
        <v>446</v>
      </c>
      <c r="C83" s="333"/>
      <c r="D83" s="250" t="e">
        <f>D24</f>
        <v>#REF!</v>
      </c>
      <c r="E83" s="250" t="e">
        <f>E24</f>
        <v>#REF!</v>
      </c>
      <c r="F83" s="250" t="e">
        <f>F24</f>
        <v>#REF!</v>
      </c>
      <c r="G83" s="250" t="e">
        <f>G24</f>
        <v>#REF!</v>
      </c>
      <c r="H83" s="250" t="e">
        <f>H24</f>
        <v>#REF!</v>
      </c>
      <c r="I83" s="250" t="e">
        <f>I24</f>
        <v>#REF!</v>
      </c>
      <c r="J83" s="250" t="e">
        <f>J24</f>
        <v>#REF!</v>
      </c>
      <c r="K83" s="250" t="e">
        <f>K24</f>
        <v>#REF!</v>
      </c>
      <c r="L83" s="250" t="e">
        <f>L24</f>
        <v>#REF!</v>
      </c>
      <c r="M83" s="250" t="e">
        <f>M24</f>
        <v>#REF!</v>
      </c>
      <c r="N83" s="250" t="e">
        <f>N24</f>
        <v>#REF!</v>
      </c>
      <c r="O83" s="250" t="e">
        <f>O24</f>
        <v>#REF!</v>
      </c>
      <c r="P83" s="250" t="e">
        <f>P24</f>
        <v>#REF!</v>
      </c>
      <c r="Q83" s="250" t="e">
        <f>Q24</f>
        <v>#REF!</v>
      </c>
      <c r="R83" s="250" t="e">
        <f>R24</f>
        <v>#REF!</v>
      </c>
    </row>
    <row r="84" spans="1:21">
      <c r="B84" s="335" t="s">
        <v>461</v>
      </c>
      <c r="C84" s="336"/>
      <c r="D84" s="255" t="e">
        <f>D82-D83</f>
        <v>#REF!</v>
      </c>
      <c r="E84" s="255" t="e">
        <f>E82-E83</f>
        <v>#REF!</v>
      </c>
      <c r="F84" s="255" t="e">
        <f>F82-F83</f>
        <v>#REF!</v>
      </c>
      <c r="G84" s="255" t="e">
        <f>G82-G83</f>
        <v>#REF!</v>
      </c>
      <c r="H84" s="255" t="e">
        <f>H82-H83</f>
        <v>#REF!</v>
      </c>
      <c r="I84" s="255" t="e">
        <f>I82-I83</f>
        <v>#REF!</v>
      </c>
      <c r="J84" s="255" t="e">
        <f>J82-J83</f>
        <v>#REF!</v>
      </c>
      <c r="K84" s="255" t="e">
        <f>K82-K83</f>
        <v>#REF!</v>
      </c>
      <c r="L84" s="255" t="e">
        <f>L82-L83</f>
        <v>#REF!</v>
      </c>
      <c r="M84" s="255" t="e">
        <f>M82-M83</f>
        <v>#REF!</v>
      </c>
      <c r="N84" s="255" t="e">
        <f>N82-N83</f>
        <v>#REF!</v>
      </c>
      <c r="O84" s="255" t="e">
        <f>O82-O83</f>
        <v>#REF!</v>
      </c>
      <c r="P84" s="255" t="e">
        <f>P82-P83</f>
        <v>#REF!</v>
      </c>
      <c r="Q84" s="255" t="e">
        <f>Q82-Q83</f>
        <v>#REF!</v>
      </c>
      <c r="R84" s="257" t="e">
        <f>R82-R83</f>
        <v>#REF!</v>
      </c>
    </row>
    <row r="85" spans="1:21">
      <c r="B85" s="337" t="s">
        <v>49</v>
      </c>
      <c r="C85" s="333"/>
      <c r="D85" s="250">
        <f>IFERROR(D34,0)</f>
        <v>0</v>
      </c>
      <c r="E85" s="250">
        <f>IFERROR(E34,0)</f>
        <v>0</v>
      </c>
      <c r="F85" s="250">
        <f>IFERROR(F34,0)</f>
        <v>0</v>
      </c>
      <c r="G85" s="250">
        <f>IFERROR(G34,0)</f>
        <v>0</v>
      </c>
      <c r="H85" s="250">
        <f>IFERROR(H34,0)</f>
        <v>0</v>
      </c>
      <c r="I85" s="250">
        <f>IFERROR(I34,0)</f>
        <v>0</v>
      </c>
      <c r="J85" s="250">
        <f>IFERROR(J34,0)</f>
        <v>0</v>
      </c>
      <c r="K85" s="250">
        <f>IFERROR(K34,0)</f>
        <v>0</v>
      </c>
      <c r="L85" s="250">
        <f>IFERROR(L34,0)</f>
        <v>0</v>
      </c>
      <c r="M85" s="250">
        <f>IFERROR(M34,0)</f>
        <v>0</v>
      </c>
      <c r="N85" s="250">
        <f>IFERROR(N34,0)</f>
        <v>0</v>
      </c>
      <c r="O85" s="250">
        <f>IFERROR(O34,0)</f>
        <v>0</v>
      </c>
      <c r="P85" s="250">
        <f>IFERROR(P34,0)</f>
        <v>0</v>
      </c>
      <c r="Q85" s="250">
        <f>IFERROR(Q34,0)</f>
        <v>0</v>
      </c>
      <c r="R85" s="250">
        <f>IFERROR(R34,0)</f>
        <v>0</v>
      </c>
    </row>
    <row r="86" spans="1:21">
      <c r="B86" s="337" t="s">
        <v>51</v>
      </c>
      <c r="C86" s="333"/>
      <c r="D86" s="250" t="e">
        <f>D44</f>
        <v>#REF!</v>
      </c>
      <c r="E86" s="250" t="e">
        <f>E44</f>
        <v>#REF!</v>
      </c>
      <c r="F86" s="250" t="e">
        <f>F44</f>
        <v>#REF!</v>
      </c>
      <c r="G86" s="250" t="e">
        <f>G44</f>
        <v>#REF!</v>
      </c>
      <c r="H86" s="250" t="e">
        <f>H44</f>
        <v>#REF!</v>
      </c>
      <c r="I86" s="250" t="e">
        <f>I44</f>
        <v>#REF!</v>
      </c>
      <c r="J86" s="250" t="e">
        <f>J44</f>
        <v>#REF!</v>
      </c>
      <c r="K86" s="250" t="e">
        <f>K44</f>
        <v>#REF!</v>
      </c>
      <c r="L86" s="250" t="e">
        <f>L44</f>
        <v>#REF!</v>
      </c>
      <c r="M86" s="250" t="e">
        <f>M44</f>
        <v>#REF!</v>
      </c>
      <c r="N86" s="250" t="e">
        <f>N44</f>
        <v>#REF!</v>
      </c>
      <c r="O86" s="250" t="e">
        <f>O44</f>
        <v>#REF!</v>
      </c>
      <c r="P86" s="250" t="e">
        <f>P44</f>
        <v>#REF!</v>
      </c>
      <c r="Q86" s="250" t="e">
        <f>Q44</f>
        <v>#REF!</v>
      </c>
      <c r="R86" s="250" t="e">
        <f>R44</f>
        <v>#REF!</v>
      </c>
    </row>
    <row r="87" spans="1:21">
      <c r="B87" s="337" t="s">
        <v>462</v>
      </c>
      <c r="C87" s="333"/>
      <c r="D87" s="250" t="e">
        <f>D54</f>
        <v>#REF!</v>
      </c>
      <c r="E87" s="250" t="e">
        <f>E54</f>
        <v>#REF!</v>
      </c>
      <c r="F87" s="250" t="e">
        <f>F54</f>
        <v>#REF!</v>
      </c>
      <c r="G87" s="250" t="e">
        <f>G54</f>
        <v>#REF!</v>
      </c>
      <c r="H87" s="250" t="e">
        <f>H54</f>
        <v>#REF!</v>
      </c>
      <c r="I87" s="250" t="e">
        <f>I54</f>
        <v>#REF!</v>
      </c>
      <c r="J87" s="250" t="e">
        <f>J54</f>
        <v>#REF!</v>
      </c>
      <c r="K87" s="250" t="e">
        <f>K54</f>
        <v>#REF!</v>
      </c>
      <c r="L87" s="250" t="e">
        <f>L54</f>
        <v>#REF!</v>
      </c>
      <c r="M87" s="250" t="e">
        <f>M54</f>
        <v>#REF!</v>
      </c>
      <c r="N87" s="250" t="e">
        <f>N54</f>
        <v>#REF!</v>
      </c>
      <c r="O87" s="250" t="e">
        <f>O54</f>
        <v>#REF!</v>
      </c>
      <c r="P87" s="250" t="e">
        <f>P54</f>
        <v>#REF!</v>
      </c>
      <c r="Q87" s="250" t="e">
        <f>Q54</f>
        <v>#REF!</v>
      </c>
      <c r="R87" s="250" t="e">
        <f>R54</f>
        <v>#REF!</v>
      </c>
    </row>
    <row r="88" spans="1:21">
      <c r="B88" s="335" t="s">
        <v>463</v>
      </c>
      <c r="C88" s="336"/>
      <c r="D88" s="255" t="e">
        <f>D84-D85-D86+D87</f>
        <v>#REF!</v>
      </c>
      <c r="E88" s="255" t="e">
        <f>E84-E85-E86+E87</f>
        <v>#REF!</v>
      </c>
      <c r="F88" s="255" t="e">
        <f>F84-F85-F86+F87</f>
        <v>#REF!</v>
      </c>
      <c r="G88" s="255" t="e">
        <f>G84-G85-G86+G87</f>
        <v>#REF!</v>
      </c>
      <c r="H88" s="255" t="e">
        <f>H84-H85-H86+H87</f>
        <v>#REF!</v>
      </c>
      <c r="I88" s="255" t="e">
        <f>I84-I85-I86+I87</f>
        <v>#REF!</v>
      </c>
      <c r="J88" s="255" t="e">
        <f>J84-J85-J86+J87</f>
        <v>#REF!</v>
      </c>
      <c r="K88" s="255" t="e">
        <f>K84-K85-K86+K87</f>
        <v>#REF!</v>
      </c>
      <c r="L88" s="255" t="e">
        <f>L84-L85-L86+L87</f>
        <v>#REF!</v>
      </c>
      <c r="M88" s="255" t="e">
        <f>M84-M85-M86+M87</f>
        <v>#REF!</v>
      </c>
      <c r="N88" s="255" t="e">
        <f>N84-N85-N86+N87</f>
        <v>#REF!</v>
      </c>
      <c r="O88" s="255" t="e">
        <f>O84-O85-O86+O87</f>
        <v>#REF!</v>
      </c>
      <c r="P88" s="255" t="e">
        <f>P84-P85-P86+P87</f>
        <v>#REF!</v>
      </c>
      <c r="Q88" s="255" t="e">
        <f>Q84-Q85-Q86+Q87</f>
        <v>#REF!</v>
      </c>
      <c r="R88" s="257" t="e">
        <f>R84-R85-R86+R87</f>
        <v>#REF!</v>
      </c>
    </row>
    <row r="89" spans="1:21">
      <c r="B89" s="332" t="s">
        <v>464</v>
      </c>
      <c r="C89" s="333"/>
      <c r="D89" s="250" t="e">
        <f>29.5%*D88</f>
        <v>#REF!</v>
      </c>
      <c r="E89" s="250" t="e">
        <f>29.5%*E88</f>
        <v>#REF!</v>
      </c>
      <c r="F89" s="250" t="e">
        <f>29.5%*F88</f>
        <v>#REF!</v>
      </c>
      <c r="G89" s="250" t="e">
        <f>29.5%*G88</f>
        <v>#REF!</v>
      </c>
      <c r="H89" s="250" t="e">
        <f>29.5%*H88</f>
        <v>#REF!</v>
      </c>
      <c r="I89" s="250" t="e">
        <f>29.5%*I88</f>
        <v>#REF!</v>
      </c>
      <c r="J89" s="250" t="e">
        <f>29.5%*J88</f>
        <v>#REF!</v>
      </c>
      <c r="K89" s="250" t="e">
        <f>29.5%*K88</f>
        <v>#REF!</v>
      </c>
      <c r="L89" s="250" t="e">
        <f>29.5%*L88</f>
        <v>#REF!</v>
      </c>
      <c r="M89" s="250" t="e">
        <f>29.5%*M88</f>
        <v>#REF!</v>
      </c>
      <c r="N89" s="250" t="e">
        <f>29.5%*N88</f>
        <v>#REF!</v>
      </c>
      <c r="O89" s="250" t="e">
        <f>29.5%*O88</f>
        <v>#REF!</v>
      </c>
      <c r="P89" s="250" t="e">
        <f>29.5%*P88</f>
        <v>#REF!</v>
      </c>
      <c r="Q89" s="250" t="e">
        <f>29.5%*Q88</f>
        <v>#REF!</v>
      </c>
      <c r="R89" s="252" t="e">
        <f>29.5%*R88</f>
        <v>#REF!</v>
      </c>
    </row>
    <row r="90" spans="1:21">
      <c r="B90" s="332" t="s">
        <v>465</v>
      </c>
      <c r="C90" s="333"/>
      <c r="D90" s="250" t="e">
        <f>Sensibilidad!D64</f>
        <v>#REF!</v>
      </c>
      <c r="E90" s="250" t="e">
        <f>Sensibilidad!E64</f>
        <v>#REF!</v>
      </c>
      <c r="F90" s="250" t="e">
        <f>Sensibilidad!F64</f>
        <v>#REF!</v>
      </c>
      <c r="G90" s="250" t="e">
        <f>Sensibilidad!G64</f>
        <v>#REF!</v>
      </c>
      <c r="H90" s="250" t="e">
        <f>Sensibilidad!H64</f>
        <v>#REF!</v>
      </c>
      <c r="I90" s="250" t="e">
        <f>Sensibilidad!I64</f>
        <v>#REF!</v>
      </c>
      <c r="J90" s="250" t="e">
        <f>Sensibilidad!J64</f>
        <v>#REF!</v>
      </c>
      <c r="K90" s="250" t="e">
        <f>Sensibilidad!K64</f>
        <v>#REF!</v>
      </c>
      <c r="L90" s="250" t="e">
        <f>Sensibilidad!L64</f>
        <v>#REF!</v>
      </c>
      <c r="M90" s="250" t="e">
        <f>Sensibilidad!M64</f>
        <v>#REF!</v>
      </c>
      <c r="N90" s="250" t="e">
        <f>Sensibilidad!N64</f>
        <v>#REF!</v>
      </c>
      <c r="O90" s="250" t="e">
        <f>Sensibilidad!O64</f>
        <v>#REF!</v>
      </c>
      <c r="P90" s="250" t="e">
        <f>Sensibilidad!P64</f>
        <v>#REF!</v>
      </c>
      <c r="Q90" s="250" t="e">
        <f>Sensibilidad!Q64</f>
        <v>#REF!</v>
      </c>
      <c r="R90" s="250" t="e">
        <f>Sensibilidad!R64</f>
        <v>#REF!</v>
      </c>
    </row>
    <row r="91" spans="1:21">
      <c r="B91" s="335" t="s">
        <v>466</v>
      </c>
      <c r="C91" s="336"/>
      <c r="D91" s="255" t="e">
        <f>D88-D89+D90</f>
        <v>#REF!</v>
      </c>
      <c r="E91" s="255" t="e">
        <f>E88-E89+E90</f>
        <v>#REF!</v>
      </c>
      <c r="F91" s="255" t="e">
        <f>F88-F89+F90</f>
        <v>#REF!</v>
      </c>
      <c r="G91" s="255" t="e">
        <f>G88-G89+G90</f>
        <v>#REF!</v>
      </c>
      <c r="H91" s="255" t="e">
        <f>H88-H89+H90</f>
        <v>#REF!</v>
      </c>
      <c r="I91" s="255" t="e">
        <f>I88-I89+I90</f>
        <v>#REF!</v>
      </c>
      <c r="J91" s="255" t="e">
        <f>J88-J89+J90</f>
        <v>#REF!</v>
      </c>
      <c r="K91" s="255" t="e">
        <f>K88-K89+K90</f>
        <v>#REF!</v>
      </c>
      <c r="L91" s="255" t="e">
        <f>L88-L89+L90</f>
        <v>#REF!</v>
      </c>
      <c r="M91" s="255" t="e">
        <f>M88-M89+M90</f>
        <v>#REF!</v>
      </c>
      <c r="N91" s="255" t="e">
        <f>N88-N89+N90</f>
        <v>#REF!</v>
      </c>
      <c r="O91" s="255" t="e">
        <f>O88-O89+O90</f>
        <v>#REF!</v>
      </c>
      <c r="P91" s="255" t="e">
        <f>P88-P89+P90</f>
        <v>#REF!</v>
      </c>
      <c r="Q91" s="255" t="e">
        <f>Q88-Q89+Q90</f>
        <v>#REF!</v>
      </c>
      <c r="R91" s="257" t="e">
        <f>R88-R89+R90</f>
        <v>#REF!</v>
      </c>
    </row>
    <row r="92" spans="1:21">
      <c r="B92" s="332" t="s">
        <v>92</v>
      </c>
      <c r="C92" s="333"/>
      <c r="D92" s="250" t="e">
        <f>-D70</f>
        <v>#REF!</v>
      </c>
      <c r="E92" s="250" t="e">
        <f>-E70</f>
        <v>#REF!</v>
      </c>
      <c r="F92" s="250" t="e">
        <f>-F70</f>
        <v>#REF!</v>
      </c>
      <c r="G92" s="250" t="e">
        <f>-G70</f>
        <v>#REF!</v>
      </c>
      <c r="H92" s="250" t="e">
        <f>-H70</f>
        <v>#REF!</v>
      </c>
      <c r="I92" s="250" t="e">
        <f>-I70</f>
        <v>#REF!</v>
      </c>
      <c r="J92" s="250" t="e">
        <f>-J70</f>
        <v>#REF!</v>
      </c>
      <c r="K92" s="250" t="e">
        <f>-K70</f>
        <v>#REF!</v>
      </c>
      <c r="L92" s="250" t="e">
        <f>-L70</f>
        <v>#REF!</v>
      </c>
      <c r="M92" s="250" t="e">
        <f>-M70</f>
        <v>#REF!</v>
      </c>
      <c r="N92" s="250" t="e">
        <f>-N70</f>
        <v>#REF!</v>
      </c>
      <c r="O92" s="250" t="e">
        <f>-O70</f>
        <v>#REF!</v>
      </c>
      <c r="P92" s="250" t="e">
        <f>-P70</f>
        <v>#REF!</v>
      </c>
      <c r="Q92" s="250" t="e">
        <f>-Q70</f>
        <v>#REF!</v>
      </c>
      <c r="R92" s="250" t="e">
        <f>-R70</f>
        <v>#REF!</v>
      </c>
    </row>
    <row r="93" spans="1:21">
      <c r="B93" s="332" t="s">
        <v>467</v>
      </c>
      <c r="C93" s="333"/>
      <c r="D93" s="250" t="e">
        <f>-D77</f>
        <v>#REF!</v>
      </c>
      <c r="E93" s="250" t="e">
        <f>-E77</f>
        <v>#REF!</v>
      </c>
      <c r="F93" s="250" t="e">
        <f>-F77</f>
        <v>#REF!</v>
      </c>
      <c r="G93" s="250" t="e">
        <f>-G77</f>
        <v>#REF!</v>
      </c>
      <c r="H93" s="250" t="e">
        <f>-H77</f>
        <v>#REF!</v>
      </c>
      <c r="I93" s="250" t="e">
        <f>-I77</f>
        <v>#REF!</v>
      </c>
      <c r="J93" s="250" t="e">
        <f>-J77</f>
        <v>#REF!</v>
      </c>
      <c r="K93" s="250" t="e">
        <f>-K77</f>
        <v>#REF!</v>
      </c>
      <c r="L93" s="250" t="e">
        <f>-L77</f>
        <v>#REF!</v>
      </c>
      <c r="M93" s="250" t="e">
        <f>-M77</f>
        <v>#REF!</v>
      </c>
      <c r="N93" s="250" t="e">
        <f>-N77</f>
        <v>#REF!</v>
      </c>
      <c r="O93" s="250" t="e">
        <f>-O77</f>
        <v>#REF!</v>
      </c>
      <c r="P93" s="250" t="e">
        <f>-P77</f>
        <v>#REF!</v>
      </c>
      <c r="Q93" s="250" t="e">
        <f>-Q77</f>
        <v>#REF!</v>
      </c>
      <c r="R93" s="250" t="e">
        <f>-R77</f>
        <v>#REF!</v>
      </c>
    </row>
    <row r="94" spans="1:21">
      <c r="B94" s="335" t="s">
        <v>468</v>
      </c>
      <c r="C94" s="336"/>
      <c r="D94" s="255" t="e">
        <f>SUM(D91:D93)</f>
        <v>#REF!</v>
      </c>
      <c r="E94" s="255" t="e">
        <f>SUM(E91:E93)</f>
        <v>#REF!</v>
      </c>
      <c r="F94" s="255" t="e">
        <f>SUM(F91:F93)</f>
        <v>#REF!</v>
      </c>
      <c r="G94" s="255" t="e">
        <f>SUM(G91:G93)</f>
        <v>#REF!</v>
      </c>
      <c r="H94" s="255" t="e">
        <f>SUM(H91:H93)</f>
        <v>#REF!</v>
      </c>
      <c r="I94" s="255" t="e">
        <f>SUM(I91:I93)</f>
        <v>#REF!</v>
      </c>
      <c r="J94" s="255" t="e">
        <f>SUM(J91:J93)</f>
        <v>#REF!</v>
      </c>
      <c r="K94" s="255" t="e">
        <f>SUM(K91:K93)</f>
        <v>#REF!</v>
      </c>
      <c r="L94" s="255" t="e">
        <f>SUM(L91:L93)</f>
        <v>#REF!</v>
      </c>
      <c r="M94" s="255" t="e">
        <f>SUM(M91:M93)</f>
        <v>#REF!</v>
      </c>
      <c r="N94" s="255" t="e">
        <f>SUM(N91:N93)</f>
        <v>#REF!</v>
      </c>
      <c r="O94" s="255" t="e">
        <f>SUM(O91:O93)</f>
        <v>#REF!</v>
      </c>
      <c r="P94" s="255" t="e">
        <f>SUM(P91:P93)</f>
        <v>#REF!</v>
      </c>
      <c r="Q94" s="255" t="e">
        <f>SUM(Q91:Q93)</f>
        <v>#REF!</v>
      </c>
      <c r="R94" s="257" t="e">
        <f>SUM(R91:R93)</f>
        <v>#REF!</v>
      </c>
    </row>
    <row r="95" spans="1:21">
      <c r="B95" s="338" t="s">
        <v>469</v>
      </c>
      <c r="C95" s="333"/>
      <c r="D95" s="190"/>
      <c r="E95" s="190"/>
      <c r="F95" s="190"/>
      <c r="G95" s="190"/>
      <c r="H95" s="190"/>
      <c r="I95" s="190"/>
      <c r="J95" s="190"/>
      <c r="K95" s="190"/>
      <c r="L95" s="264"/>
      <c r="M95" s="190"/>
      <c r="N95" s="190"/>
      <c r="O95" s="190"/>
      <c r="P95" s="190"/>
      <c r="R95" s="427" t="e">
        <f>R94*(1+G14)/($M$100-G14)</f>
        <v>#REF!</v>
      </c>
    </row>
    <row r="96" spans="1:21">
      <c r="B96" s="339" t="s">
        <v>470</v>
      </c>
      <c r="C96" s="340"/>
      <c r="D96" s="201" t="e">
        <f>D94</f>
        <v>#REF!</v>
      </c>
      <c r="E96" s="201" t="e">
        <f>E94</f>
        <v>#REF!</v>
      </c>
      <c r="F96" s="201" t="e">
        <f>F94</f>
        <v>#REF!</v>
      </c>
      <c r="G96" s="201" t="e">
        <f>G94</f>
        <v>#REF!</v>
      </c>
      <c r="H96" s="201" t="e">
        <f>H94</f>
        <v>#REF!</v>
      </c>
      <c r="I96" s="201" t="e">
        <f>I94</f>
        <v>#REF!</v>
      </c>
      <c r="J96" s="201" t="e">
        <f>J94</f>
        <v>#REF!</v>
      </c>
      <c r="K96" s="201" t="e">
        <f>K94</f>
        <v>#REF!</v>
      </c>
      <c r="L96" s="201" t="e">
        <f>L94</f>
        <v>#REF!</v>
      </c>
      <c r="M96" s="201" t="e">
        <f>M94</f>
        <v>#REF!</v>
      </c>
      <c r="N96" s="201" t="e">
        <f>N94</f>
        <v>#REF!</v>
      </c>
      <c r="O96" s="201" t="e">
        <f>O94</f>
        <v>#REF!</v>
      </c>
      <c r="P96" s="201" t="e">
        <f>P94</f>
        <v>#REF!</v>
      </c>
      <c r="Q96" s="201" t="e">
        <f>Q94</f>
        <v>#REF!</v>
      </c>
      <c r="R96" s="202" t="e">
        <f>R94+R95</f>
        <v>#REF!</v>
      </c>
    </row>
    <row r="98" spans="1:21"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P98" s="265"/>
    </row>
    <row r="99" spans="1:21">
      <c r="H99" s="270" t="s">
        <v>472</v>
      </c>
      <c r="I99" s="271" t="s">
        <v>473</v>
      </c>
      <c r="J99" s="272" t="s">
        <v>474</v>
      </c>
      <c r="L99" s="222"/>
      <c r="M99" s="222"/>
      <c r="P99" s="265"/>
    </row>
    <row r="100" spans="1:21">
      <c r="E100" s="181" t="s">
        <v>475</v>
      </c>
      <c r="F100" s="225"/>
      <c r="G100" s="225"/>
      <c r="H100" s="428">
        <f>NPV(M100,D96:R96)</f>
        <v>0</v>
      </c>
      <c r="I100" s="219"/>
      <c r="J100" s="191"/>
      <c r="L100" s="437" t="s">
        <v>204</v>
      </c>
      <c r="M100" s="408">
        <f>WACC!I44</f>
        <v>0.091</v>
      </c>
    </row>
    <row r="101" spans="1:21">
      <c r="E101" s="186" t="s">
        <v>476</v>
      </c>
      <c r="F101" s="190"/>
      <c r="G101" s="190"/>
      <c r="H101" s="430">
        <f>'EE.FF Económicos'!$H$24</f>
        <v>5437375</v>
      </c>
      <c r="I101" s="219"/>
      <c r="J101" s="191"/>
    </row>
    <row r="102" spans="1:21">
      <c r="E102" s="273" t="s">
        <v>80</v>
      </c>
      <c r="F102" s="274"/>
      <c r="G102" s="274"/>
      <c r="H102" s="438">
        <f>H100-H101</f>
        <v>-5437375</v>
      </c>
      <c r="I102" s="374"/>
      <c r="J102" s="375"/>
    </row>
    <row r="103" spans="1:21">
      <c r="E103" s="277" t="s">
        <v>477</v>
      </c>
      <c r="F103" s="278"/>
      <c r="G103" s="278"/>
      <c r="H103" s="279">
        <f>H102/'Plantilla Usuario'!C5</f>
        <v>-6.4181162315901</v>
      </c>
      <c r="I103" s="376">
        <v>6.05</v>
      </c>
      <c r="J103" s="377">
        <v>10.1</v>
      </c>
    </row>
    <row r="104" spans="1:21">
      <c r="E104" s="190"/>
      <c r="F104" s="190"/>
      <c r="G104" s="190"/>
      <c r="H104" s="397"/>
      <c r="I104" s="398"/>
      <c r="J104" s="398"/>
    </row>
    <row r="105" spans="1:21">
      <c r="E105" s="190"/>
      <c r="F105" s="190"/>
      <c r="G105" s="190"/>
      <c r="H105" s="397"/>
      <c r="I105" s="398"/>
      <c r="J105" s="398"/>
    </row>
    <row r="108" spans="1:21" s="306" customFormat="1">
      <c r="A108" s="305" t="s">
        <v>741</v>
      </c>
    </row>
    <row r="110" spans="1:21">
      <c r="B110" s="789" t="s">
        <v>731</v>
      </c>
      <c r="C110" s="324">
        <f>C$4</f>
        <v>2021</v>
      </c>
      <c r="D110" s="307">
        <f>D$4</f>
        <v>2022</v>
      </c>
      <c r="E110" s="307">
        <f>E$4</f>
        <v>2023</v>
      </c>
      <c r="F110" s="307">
        <f>F$4</f>
        <v>2024</v>
      </c>
      <c r="G110" s="307">
        <f>G$4</f>
        <v>2025</v>
      </c>
      <c r="H110" s="307">
        <f>H$4</f>
        <v>2026</v>
      </c>
      <c r="I110" s="307">
        <f>I$4</f>
        <v>2027</v>
      </c>
      <c r="J110" s="307">
        <f>J$4</f>
        <v>2028</v>
      </c>
      <c r="K110" s="307">
        <f>K$4</f>
        <v>2029</v>
      </c>
      <c r="L110" s="307">
        <f>L$4</f>
        <v>2030</v>
      </c>
      <c r="M110" s="307">
        <f>M$4</f>
        <v>2031</v>
      </c>
      <c r="N110" s="307">
        <f>N$4</f>
        <v>2032</v>
      </c>
      <c r="O110" s="307">
        <f>O$4</f>
        <v>2033</v>
      </c>
      <c r="P110" s="307">
        <f>P$4</f>
        <v>2034</v>
      </c>
      <c r="Q110" s="307">
        <f>Q$4</f>
        <v>2035</v>
      </c>
      <c r="R110" s="325">
        <f>R$4</f>
        <v>2036</v>
      </c>
    </row>
    <row r="111" spans="1:21">
      <c r="B111" s="790"/>
      <c r="C111" s="326">
        <f>C$5</f>
        <v>5</v>
      </c>
      <c r="D111" s="308">
        <f>D$5</f>
        <v>6</v>
      </c>
      <c r="E111" s="308">
        <f>E$5</f>
        <v>7</v>
      </c>
      <c r="F111" s="308">
        <f>F$5</f>
        <v>8</v>
      </c>
      <c r="G111" s="308">
        <f>G$5</f>
        <v>9</v>
      </c>
      <c r="H111" s="308">
        <f>H$5</f>
        <v>10</v>
      </c>
      <c r="I111" s="308">
        <f>I$5</f>
        <v>11</v>
      </c>
      <c r="J111" s="308">
        <f>J$5</f>
        <v>12</v>
      </c>
      <c r="K111" s="308">
        <f>K$5</f>
        <v>13</v>
      </c>
      <c r="L111" s="308">
        <f>L$5</f>
        <v>14</v>
      </c>
      <c r="M111" s="308">
        <f>M$5</f>
        <v>15</v>
      </c>
      <c r="N111" s="308">
        <f>N$5</f>
        <v>16</v>
      </c>
      <c r="O111" s="308">
        <f>O$5</f>
        <v>17</v>
      </c>
      <c r="P111" s="308">
        <f>P$5</f>
        <v>18</v>
      </c>
      <c r="Q111" s="308">
        <f>Q$5</f>
        <v>19</v>
      </c>
      <c r="R111" s="327">
        <f>R$5</f>
        <v>20</v>
      </c>
    </row>
    <row r="112" spans="1:21">
      <c r="B112" s="309" t="s">
        <v>457</v>
      </c>
      <c r="C112" s="153" t="e">
        <f>'M. Integrado'!G11</f>
        <v>#REF!</v>
      </c>
      <c r="D112" s="153" t="e">
        <f>'M. Integrado'!H11</f>
        <v>#REF!</v>
      </c>
      <c r="E112" s="153" t="e">
        <f>'M. Integrado'!I11</f>
        <v>#REF!</v>
      </c>
      <c r="F112" s="153" t="e">
        <f>'M. Integrado'!J11</f>
        <v>#REF!</v>
      </c>
      <c r="G112" s="153" t="e">
        <f>'M. Integrado'!K11</f>
        <v>#REF!</v>
      </c>
      <c r="H112" s="153" t="e">
        <f>'M. Integrado'!L11</f>
        <v>#REF!</v>
      </c>
      <c r="I112" s="153" t="e">
        <f>'M. Integrado'!M11</f>
        <v>#REF!</v>
      </c>
      <c r="J112" s="153" t="e">
        <f>'M. Integrado'!N11</f>
        <v>#REF!</v>
      </c>
      <c r="K112" s="153" t="e">
        <f>'M. Integrado'!O11</f>
        <v>#REF!</v>
      </c>
      <c r="L112" s="153" t="e">
        <f>'M. Integrado'!P11</f>
        <v>#REF!</v>
      </c>
      <c r="M112" s="153" t="e">
        <f>'M. Integrado'!Q11</f>
        <v>#REF!</v>
      </c>
      <c r="N112" s="153" t="e">
        <f>'M. Integrado'!R11</f>
        <v>#REF!</v>
      </c>
      <c r="O112" s="153" t="e">
        <f>'M. Integrado'!S11</f>
        <v>#REF!</v>
      </c>
      <c r="P112" s="153" t="e">
        <f>'M. Integrado'!T11</f>
        <v>#REF!</v>
      </c>
      <c r="Q112" s="153" t="e">
        <f>'M. Integrado'!U11</f>
        <v>#REF!</v>
      </c>
      <c r="R112" s="153" t="e">
        <f>'M. Integrado'!V11</f>
        <v>#REF!</v>
      </c>
    </row>
    <row r="113" spans="1:21">
      <c r="B113" s="309" t="s">
        <v>735</v>
      </c>
      <c r="D113" s="22" t="e">
        <f>D112/C112-1</f>
        <v>#REF!</v>
      </c>
      <c r="E113" s="22" t="e">
        <f>E112/D112-1</f>
        <v>#REF!</v>
      </c>
      <c r="F113" s="22" t="e">
        <f>F112/E112-1</f>
        <v>#REF!</v>
      </c>
      <c r="G113" s="22" t="e">
        <f>G112/F112-1</f>
        <v>#REF!</v>
      </c>
      <c r="H113" s="22" t="e">
        <f>H112/G112-1</f>
        <v>#REF!</v>
      </c>
      <c r="I113" s="22" t="e">
        <f>I112/H112-1</f>
        <v>#REF!</v>
      </c>
      <c r="J113" s="22" t="e">
        <f>J112/I112-1</f>
        <v>#REF!</v>
      </c>
      <c r="K113" s="22" t="e">
        <f>K112/J112-1</f>
        <v>#REF!</v>
      </c>
      <c r="L113" s="22" t="e">
        <f>L112/K112-1</f>
        <v>#REF!</v>
      </c>
      <c r="M113" s="22" t="e">
        <f>M112/L112-1</f>
        <v>#REF!</v>
      </c>
      <c r="N113" s="22" t="e">
        <f>N112/M112-1</f>
        <v>#REF!</v>
      </c>
      <c r="O113" s="22" t="e">
        <f>O112/N112-1</f>
        <v>#REF!</v>
      </c>
      <c r="P113" s="22" t="e">
        <f>P112/O112-1</f>
        <v>#REF!</v>
      </c>
      <c r="Q113" s="22" t="e">
        <f>Q112/P112-1</f>
        <v>#REF!</v>
      </c>
      <c r="R113" s="310" t="e">
        <f>R112/Q112-1</f>
        <v>#REF!</v>
      </c>
    </row>
    <row r="114" spans="1:21">
      <c r="B114" s="311" t="s">
        <v>736</v>
      </c>
      <c r="C114" s="312"/>
      <c r="D114" s="312"/>
      <c r="E114" s="313" t="e">
        <f>E113/D113-1</f>
        <v>#REF!</v>
      </c>
      <c r="F114" s="313" t="e">
        <f>F113/E113-1</f>
        <v>#REF!</v>
      </c>
      <c r="G114" s="313" t="e">
        <f>G113/F113-1</f>
        <v>#REF!</v>
      </c>
      <c r="H114" s="313" t="e">
        <f>H113/G113-1</f>
        <v>#REF!</v>
      </c>
      <c r="I114" s="313" t="e">
        <f>I113/H113-1</f>
        <v>#REF!</v>
      </c>
      <c r="J114" s="313" t="e">
        <f>J113/I113-1</f>
        <v>#REF!</v>
      </c>
      <c r="K114" s="313" t="e">
        <f>K113/J113-1</f>
        <v>#REF!</v>
      </c>
      <c r="L114" s="313" t="e">
        <f>L113/K113-1</f>
        <v>#REF!</v>
      </c>
      <c r="M114" s="313" t="e">
        <f>M113/L113-1</f>
        <v>#REF!</v>
      </c>
      <c r="N114" s="313" t="e">
        <f>N113/M113-1</f>
        <v>#REF!</v>
      </c>
      <c r="O114" s="313" t="e">
        <f>O113/N113-1</f>
        <v>#REF!</v>
      </c>
      <c r="P114" s="313" t="e">
        <f>P113/O113-1</f>
        <v>#REF!</v>
      </c>
      <c r="Q114" s="313" t="e">
        <f>Q113/P113-1</f>
        <v>#REF!</v>
      </c>
      <c r="R114" s="314" t="e">
        <f>R113/Q113-1</f>
        <v>#REF!</v>
      </c>
    </row>
    <row r="116" spans="1:21">
      <c r="B116" s="315" t="s">
        <v>737</v>
      </c>
      <c r="C116" s="316"/>
      <c r="D116" s="328" t="e">
        <f>D113*(1+$D$14)</f>
        <v>#REF!</v>
      </c>
      <c r="E116" s="317" t="e">
        <f>D116*(1+E114)</f>
        <v>#REF!</v>
      </c>
      <c r="F116" s="317" t="e">
        <f>E116*(1+F114)</f>
        <v>#REF!</v>
      </c>
      <c r="G116" s="317" t="e">
        <f>F116*(1+G114)</f>
        <v>#REF!</v>
      </c>
      <c r="H116" s="317" t="e">
        <f>G116*(1+H114)</f>
        <v>#REF!</v>
      </c>
      <c r="I116" s="317" t="e">
        <f>H116*(1+I114)</f>
        <v>#REF!</v>
      </c>
      <c r="J116" s="317" t="e">
        <f>I116*(1+J114)</f>
        <v>#REF!</v>
      </c>
      <c r="K116" s="317" t="e">
        <f>J116*(1+K114)</f>
        <v>#REF!</v>
      </c>
      <c r="L116" s="317" t="e">
        <f>K116*(1+L114)</f>
        <v>#REF!</v>
      </c>
      <c r="M116" s="317" t="e">
        <f>L116*(1+M114)</f>
        <v>#REF!</v>
      </c>
      <c r="N116" s="317" t="e">
        <f>M116*(1+N114)</f>
        <v>#REF!</v>
      </c>
      <c r="O116" s="317" t="e">
        <f>N116*(1+O114)</f>
        <v>#REF!</v>
      </c>
      <c r="P116" s="317" t="e">
        <f>O116*(1+P114)</f>
        <v>#REF!</v>
      </c>
      <c r="Q116" s="317" t="e">
        <f>P116*(1+Q114)</f>
        <v>#REF!</v>
      </c>
      <c r="R116" s="318" t="e">
        <f>Q116*(1+R114)</f>
        <v>#REF!</v>
      </c>
    </row>
    <row r="117" spans="1:21">
      <c r="B117" s="311" t="s">
        <v>457</v>
      </c>
      <c r="C117" s="319" t="e">
        <f>C112</f>
        <v>#REF!</v>
      </c>
      <c r="D117" s="319" t="e">
        <f>C117*(1+D116)</f>
        <v>#REF!</v>
      </c>
      <c r="E117" s="319" t="e">
        <f>D117*(1+E116)</f>
        <v>#REF!</v>
      </c>
      <c r="F117" s="319" t="e">
        <f>E117*(1+F116)</f>
        <v>#REF!</v>
      </c>
      <c r="G117" s="319" t="e">
        <f>F117*(1+G116)</f>
        <v>#REF!</v>
      </c>
      <c r="H117" s="319" t="e">
        <f>G117*(1+H116)</f>
        <v>#REF!</v>
      </c>
      <c r="I117" s="319" t="e">
        <f>H117*(1+I116)</f>
        <v>#REF!</v>
      </c>
      <c r="J117" s="319" t="e">
        <f>I117*(1+J116)</f>
        <v>#REF!</v>
      </c>
      <c r="K117" s="319" t="e">
        <f>J117*(1+K116)</f>
        <v>#REF!</v>
      </c>
      <c r="L117" s="319" t="e">
        <f>K117*(1+L116)</f>
        <v>#REF!</v>
      </c>
      <c r="M117" s="319" t="e">
        <f>L117*(1+M116)</f>
        <v>#REF!</v>
      </c>
      <c r="N117" s="319" t="e">
        <f>M117*(1+N116)</f>
        <v>#REF!</v>
      </c>
      <c r="O117" s="319" t="e">
        <f>N117*(1+O116)</f>
        <v>#REF!</v>
      </c>
      <c r="P117" s="319" t="e">
        <f>O117*(1+P116)</f>
        <v>#REF!</v>
      </c>
      <c r="Q117" s="319" t="e">
        <f>P117*(1+Q116)</f>
        <v>#REF!</v>
      </c>
      <c r="R117" s="320" t="e">
        <f>Q117*(1+R116)</f>
        <v>#REF!</v>
      </c>
    </row>
    <row r="120" spans="1:21">
      <c r="B120" s="341" t="s">
        <v>92</v>
      </c>
      <c r="C120" s="316"/>
      <c r="D120" s="342" t="e">
        <f>D92</f>
        <v>#REF!</v>
      </c>
      <c r="E120" s="342" t="e">
        <f>E92</f>
        <v>#REF!</v>
      </c>
      <c r="F120" s="342" t="e">
        <f>F92</f>
        <v>#REF!</v>
      </c>
      <c r="G120" s="342" t="e">
        <f>G92</f>
        <v>#REF!</v>
      </c>
      <c r="H120" s="342" t="e">
        <f>H92</f>
        <v>#REF!</v>
      </c>
      <c r="I120" s="342" t="e">
        <f>I92</f>
        <v>#REF!</v>
      </c>
      <c r="J120" s="342" t="e">
        <f>J92</f>
        <v>#REF!</v>
      </c>
      <c r="K120" s="342" t="e">
        <f>K92</f>
        <v>#REF!</v>
      </c>
      <c r="L120" s="342" t="e">
        <f>L92</f>
        <v>#REF!</v>
      </c>
      <c r="M120" s="342" t="e">
        <f>M92</f>
        <v>#REF!</v>
      </c>
      <c r="N120" s="342" t="e">
        <f>N92</f>
        <v>#REF!</v>
      </c>
      <c r="O120" s="342" t="e">
        <f>O92</f>
        <v>#REF!</v>
      </c>
      <c r="P120" s="342" t="e">
        <f>P92</f>
        <v>#REF!</v>
      </c>
      <c r="Q120" s="342" t="e">
        <f>Q92</f>
        <v>#REF!</v>
      </c>
      <c r="R120" s="343" t="e">
        <f>R92</f>
        <v>#REF!</v>
      </c>
    </row>
    <row r="121" spans="1:21">
      <c r="B121" s="344" t="s">
        <v>467</v>
      </c>
      <c r="D121" s="300" t="e">
        <f>D93</f>
        <v>#REF!</v>
      </c>
      <c r="E121" s="300" t="e">
        <f>E93</f>
        <v>#REF!</v>
      </c>
      <c r="F121" s="300" t="e">
        <f>F93</f>
        <v>#REF!</v>
      </c>
      <c r="G121" s="300" t="e">
        <f>G93</f>
        <v>#REF!</v>
      </c>
      <c r="H121" s="300" t="e">
        <f>H93</f>
        <v>#REF!</v>
      </c>
      <c r="I121" s="300" t="e">
        <f>I93</f>
        <v>#REF!</v>
      </c>
      <c r="J121" s="300" t="e">
        <f>J93</f>
        <v>#REF!</v>
      </c>
      <c r="K121" s="300" t="e">
        <f>K93</f>
        <v>#REF!</v>
      </c>
      <c r="L121" s="300" t="e">
        <f>L93</f>
        <v>#REF!</v>
      </c>
      <c r="M121" s="300" t="e">
        <f>M93</f>
        <v>#REF!</v>
      </c>
      <c r="N121" s="300" t="e">
        <f>N93</f>
        <v>#REF!</v>
      </c>
      <c r="O121" s="300" t="e">
        <f>O93</f>
        <v>#REF!</v>
      </c>
      <c r="P121" s="300" t="e">
        <f>P93</f>
        <v>#REF!</v>
      </c>
      <c r="Q121" s="300" t="e">
        <f>Q93</f>
        <v>#REF!</v>
      </c>
      <c r="R121" s="345" t="e">
        <f>R93</f>
        <v>#REF!</v>
      </c>
    </row>
    <row r="122" spans="1:21">
      <c r="B122" s="335" t="s">
        <v>468</v>
      </c>
      <c r="C122" s="261"/>
      <c r="D122" s="255" t="e">
        <f>D117+D120+D121</f>
        <v>#REF!</v>
      </c>
      <c r="E122" s="255" t="e">
        <f>E117+E120+E121</f>
        <v>#REF!</v>
      </c>
      <c r="F122" s="255" t="e">
        <f>F117+F120+F121</f>
        <v>#REF!</v>
      </c>
      <c r="G122" s="255" t="e">
        <f>G117+G120+G121</f>
        <v>#REF!</v>
      </c>
      <c r="H122" s="255" t="e">
        <f>H117+H120+H121</f>
        <v>#REF!</v>
      </c>
      <c r="I122" s="255" t="e">
        <f>I117+I120+I121</f>
        <v>#REF!</v>
      </c>
      <c r="J122" s="255" t="e">
        <f>J117+J120+J121</f>
        <v>#REF!</v>
      </c>
      <c r="K122" s="255" t="e">
        <f>K117+K120+K121</f>
        <v>#REF!</v>
      </c>
      <c r="L122" s="255" t="e">
        <f>L117+L120+L121</f>
        <v>#REF!</v>
      </c>
      <c r="M122" s="255" t="e">
        <f>M117+M120+M121</f>
        <v>#REF!</v>
      </c>
      <c r="N122" s="255" t="e">
        <f>N117+N120+N121</f>
        <v>#REF!</v>
      </c>
      <c r="O122" s="255" t="e">
        <f>O117+O120+O121</f>
        <v>#REF!</v>
      </c>
      <c r="P122" s="255" t="e">
        <f>P117+P120+P121</f>
        <v>#REF!</v>
      </c>
      <c r="Q122" s="255" t="e">
        <f>Q117+Q120+Q121</f>
        <v>#REF!</v>
      </c>
      <c r="R122" s="346" t="e">
        <f>R117+R120+R121</f>
        <v>#REF!</v>
      </c>
    </row>
    <row r="123" spans="1:21">
      <c r="B123" s="344" t="s">
        <v>469</v>
      </c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427" t="e">
        <f>R122*(1+G14)/($M$100-G14)</f>
        <v>#REF!</v>
      </c>
    </row>
    <row r="124" spans="1:21">
      <c r="B124" s="339" t="s">
        <v>732</v>
      </c>
      <c r="C124" s="347"/>
      <c r="D124" s="348" t="e">
        <f>D122</f>
        <v>#REF!</v>
      </c>
      <c r="E124" s="348" t="e">
        <f>E122</f>
        <v>#REF!</v>
      </c>
      <c r="F124" s="348" t="e">
        <f>F122</f>
        <v>#REF!</v>
      </c>
      <c r="G124" s="348" t="e">
        <f>G122</f>
        <v>#REF!</v>
      </c>
      <c r="H124" s="348" t="e">
        <f>H122</f>
        <v>#REF!</v>
      </c>
      <c r="I124" s="348" t="e">
        <f>I122</f>
        <v>#REF!</v>
      </c>
      <c r="J124" s="348" t="e">
        <f>J122</f>
        <v>#REF!</v>
      </c>
      <c r="K124" s="348" t="e">
        <f>K122</f>
        <v>#REF!</v>
      </c>
      <c r="L124" s="348" t="e">
        <f>L122</f>
        <v>#REF!</v>
      </c>
      <c r="M124" s="348" t="e">
        <f>M122</f>
        <v>#REF!</v>
      </c>
      <c r="N124" s="348" t="e">
        <f>N122</f>
        <v>#REF!</v>
      </c>
      <c r="O124" s="348" t="e">
        <f>O122</f>
        <v>#REF!</v>
      </c>
      <c r="P124" s="348" t="e">
        <f>P122</f>
        <v>#REF!</v>
      </c>
      <c r="Q124" s="348" t="e">
        <f>Q122</f>
        <v>#REF!</v>
      </c>
      <c r="R124" s="349" t="e">
        <f>R122+R123</f>
        <v>#REF!</v>
      </c>
    </row>
    <row r="127" spans="1:21" s="190" customFormat="1"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P127" s="350"/>
    </row>
    <row r="129" spans="1:21">
      <c r="H129" s="302" t="s">
        <v>472</v>
      </c>
      <c r="I129" s="303" t="s">
        <v>473</v>
      </c>
      <c r="J129" s="303" t="s">
        <v>474</v>
      </c>
    </row>
    <row r="130" spans="1:21">
      <c r="E130" s="181" t="s">
        <v>475</v>
      </c>
      <c r="F130" s="225"/>
      <c r="G130" s="225"/>
      <c r="H130" s="430">
        <f>NPV(M100,D124:R124)</f>
        <v>0</v>
      </c>
      <c r="I130" s="248"/>
      <c r="J130" s="248"/>
    </row>
    <row r="131" spans="1:21">
      <c r="E131" s="186" t="s">
        <v>476</v>
      </c>
      <c r="F131" s="190"/>
      <c r="G131" s="190"/>
      <c r="H131" s="439">
        <f>H101</f>
        <v>5437375</v>
      </c>
      <c r="I131" s="248"/>
      <c r="J131" s="248"/>
    </row>
    <row r="132" spans="1:21">
      <c r="E132" s="273" t="s">
        <v>80</v>
      </c>
      <c r="F132" s="274"/>
      <c r="G132" s="274"/>
      <c r="H132" s="430">
        <f>H130-H131</f>
        <v>-5437375</v>
      </c>
      <c r="I132" s="248"/>
      <c r="J132" s="248"/>
    </row>
    <row r="133" spans="1:21">
      <c r="E133" s="277" t="s">
        <v>477</v>
      </c>
      <c r="F133" s="278"/>
      <c r="G133" s="278"/>
      <c r="H133" s="304">
        <f>H132/'Plantilla Usuario'!C5</f>
        <v>-6.4181162315901</v>
      </c>
      <c r="I133" s="304">
        <v>6.05</v>
      </c>
      <c r="J133" s="304">
        <v>10.1</v>
      </c>
    </row>
  </sheetData>
  <mergeCells>
    <mergeCell ref="B67:B68"/>
    <mergeCell ref="B73:B74"/>
    <mergeCell ref="B110:B111"/>
    <mergeCell ref="B4:B5"/>
    <mergeCell ref="B17:B18"/>
    <mergeCell ref="B27:B28"/>
    <mergeCell ref="B37:B38"/>
    <mergeCell ref="B47:B48"/>
    <mergeCell ref="B57:B5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5"/>
  <sheetViews>
    <sheetView tabSelected="0" workbookViewId="0" showGridLines="true" showRowColHeaders="1">
      <selection activeCell="E195" sqref="E195"/>
    </sheetView>
  </sheetViews>
  <sheetFormatPr defaultRowHeight="14.4" outlineLevelRow="0" outlineLevelCol="0"/>
  <cols>
    <col min="1" max="1" width="46.33203125" customWidth="true" style="556"/>
    <col min="3" max="3" width="14.44140625" customWidth="true" style="0"/>
    <col min="4" max="4" width="20.33203125" customWidth="true" style="556"/>
    <col min="5" max="5" width="14.44140625" customWidth="true" style="556"/>
  </cols>
  <sheetData>
    <row r="1" spans="1:5">
      <c r="A1" s="554" t="s">
        <v>742</v>
      </c>
      <c r="B1" s="549" t="s">
        <v>743</v>
      </c>
      <c r="C1" s="550" t="s">
        <v>744</v>
      </c>
      <c r="D1" s="554" t="s">
        <v>745</v>
      </c>
      <c r="E1" s="554" t="s">
        <v>746</v>
      </c>
    </row>
    <row r="2" spans="1:5">
      <c r="A2" s="555" t="s">
        <v>747</v>
      </c>
      <c r="B2" s="549" t="s">
        <v>748</v>
      </c>
      <c r="C2" s="550">
        <v>1196979979</v>
      </c>
      <c r="D2" s="557">
        <v>502731591.18</v>
      </c>
      <c r="E2" s="558">
        <f>D2/C2</f>
        <v>0.42</v>
      </c>
    </row>
    <row r="3" spans="1:5">
      <c r="A3" s="555" t="s">
        <v>749</v>
      </c>
      <c r="B3" s="549" t="s">
        <v>750</v>
      </c>
      <c r="C3" s="550">
        <v>847191731</v>
      </c>
      <c r="D3" s="557">
        <v>5972701703.55</v>
      </c>
      <c r="E3" s="558">
        <f>D3/C3</f>
        <v>7.05</v>
      </c>
    </row>
    <row r="4" spans="1:5">
      <c r="A4" s="555" t="s">
        <v>751</v>
      </c>
      <c r="B4" s="549" t="s">
        <v>752</v>
      </c>
      <c r="C4" s="550">
        <v>554677</v>
      </c>
      <c r="D4" s="557">
        <v>55467700</v>
      </c>
      <c r="E4" s="558">
        <f>D4/C4</f>
        <v>100</v>
      </c>
    </row>
    <row r="5" spans="1:5">
      <c r="A5" s="555" t="s">
        <v>753</v>
      </c>
      <c r="B5" s="549" t="s">
        <v>754</v>
      </c>
      <c r="C5" s="550">
        <v>68835948</v>
      </c>
      <c r="D5" s="557">
        <v>28911098.16</v>
      </c>
      <c r="E5" s="558">
        <f>D5/C5</f>
        <v>0.42</v>
      </c>
    </row>
    <row r="6" spans="1:5">
      <c r="A6" s="555" t="s">
        <v>755</v>
      </c>
      <c r="B6" s="549" t="s">
        <v>756</v>
      </c>
      <c r="C6" s="550">
        <v>41826232</v>
      </c>
      <c r="D6" s="557">
        <v>41826232</v>
      </c>
      <c r="E6" s="558">
        <f>D6/C6</f>
        <v>1</v>
      </c>
    </row>
    <row r="7" spans="1:5">
      <c r="A7" s="555" t="s">
        <v>757</v>
      </c>
      <c r="B7" s="549" t="s">
        <v>758</v>
      </c>
      <c r="C7" s="550">
        <v>33270968</v>
      </c>
      <c r="D7" s="557">
        <v>349345164</v>
      </c>
      <c r="E7" s="558">
        <f>D7/C7</f>
        <v>10.5</v>
      </c>
    </row>
    <row r="8" spans="1:5">
      <c r="A8" s="555" t="s">
        <v>759</v>
      </c>
      <c r="B8" s="549" t="s">
        <v>760</v>
      </c>
      <c r="C8" s="550">
        <v>20882274</v>
      </c>
      <c r="D8" s="557">
        <v>6473504.94</v>
      </c>
      <c r="E8" s="558">
        <f>D8/C8</f>
        <v>0.31</v>
      </c>
    </row>
    <row r="9" spans="1:5">
      <c r="A9" s="555" t="s">
        <v>761</v>
      </c>
      <c r="B9" s="549" t="s">
        <v>762</v>
      </c>
      <c r="C9" s="550">
        <v>11563369</v>
      </c>
      <c r="D9" s="557">
        <v>213922326.5</v>
      </c>
      <c r="E9" s="558">
        <f>D9/C9</f>
        <v>18.5</v>
      </c>
    </row>
    <row r="10" spans="1:5">
      <c r="A10" s="555" t="s">
        <v>763</v>
      </c>
      <c r="B10" s="549" t="s">
        <v>764</v>
      </c>
      <c r="C10" s="550">
        <v>102895336</v>
      </c>
      <c r="D10" s="557">
        <v>102895336</v>
      </c>
      <c r="E10" s="558">
        <f>D10/C10</f>
        <v>1</v>
      </c>
    </row>
    <row r="11" spans="1:5">
      <c r="A11" s="555" t="s">
        <v>765</v>
      </c>
      <c r="B11" s="549" t="s">
        <v>766</v>
      </c>
      <c r="C11" s="550">
        <v>28452786</v>
      </c>
      <c r="D11" s="557">
        <v>213395895</v>
      </c>
      <c r="E11" s="558">
        <f>D11/C11</f>
        <v>7.5</v>
      </c>
    </row>
    <row r="12" spans="1:5">
      <c r="A12" s="555" t="s">
        <v>767</v>
      </c>
      <c r="B12" s="549" t="s">
        <v>768</v>
      </c>
      <c r="C12" s="550">
        <v>66475362</v>
      </c>
      <c r="D12" s="557">
        <v>458679997.8</v>
      </c>
      <c r="E12" s="558">
        <f>D12/C12</f>
        <v>6.9</v>
      </c>
    </row>
    <row r="13" spans="1:5">
      <c r="A13" s="555" t="s">
        <v>769</v>
      </c>
      <c r="B13" s="549" t="s">
        <v>770</v>
      </c>
      <c r="C13" s="550">
        <v>237958555</v>
      </c>
      <c r="D13" s="557">
        <v>178468916.25</v>
      </c>
      <c r="E13" s="558">
        <f>D13/C13</f>
        <v>0.75</v>
      </c>
    </row>
    <row r="14" spans="1:5">
      <c r="A14" s="555" t="s">
        <v>771</v>
      </c>
      <c r="B14" s="549" t="s">
        <v>772</v>
      </c>
      <c r="C14" s="550">
        <v>343791248</v>
      </c>
      <c r="D14" s="557">
        <v>343791248</v>
      </c>
      <c r="E14" s="558">
        <f>D14/C14</f>
        <v>1</v>
      </c>
    </row>
    <row r="15" spans="1:5">
      <c r="A15" s="555" t="s">
        <v>773</v>
      </c>
      <c r="B15" s="549" t="s">
        <v>774</v>
      </c>
      <c r="C15" s="550">
        <v>688295822</v>
      </c>
      <c r="D15" s="557">
        <v>139035756.04</v>
      </c>
      <c r="E15" s="558">
        <f>D15/C15</f>
        <v>0.20199999999419</v>
      </c>
    </row>
    <row r="16" spans="1:5">
      <c r="A16" s="555" t="s">
        <v>775</v>
      </c>
      <c r="B16" s="549" t="s">
        <v>776</v>
      </c>
      <c r="C16" s="550">
        <v>75828588</v>
      </c>
      <c r="D16" s="557">
        <v>31089721.08</v>
      </c>
      <c r="E16" s="558">
        <f>D16/C16</f>
        <v>0.41</v>
      </c>
    </row>
    <row r="17" spans="1:5">
      <c r="A17" s="555" t="s">
        <v>777</v>
      </c>
      <c r="B17" s="549" t="s">
        <v>778</v>
      </c>
      <c r="C17" s="550">
        <v>145632143</v>
      </c>
      <c r="D17" s="557">
        <v>2038850</v>
      </c>
      <c r="E17" s="558">
        <f>D17/C17</f>
        <v>0.013999999986267</v>
      </c>
    </row>
    <row r="18" spans="1:5">
      <c r="A18" s="555" t="s">
        <v>779</v>
      </c>
      <c r="B18" s="549" t="s">
        <v>780</v>
      </c>
      <c r="C18" s="550">
        <v>403406088</v>
      </c>
      <c r="D18" s="557">
        <v>229941470.16</v>
      </c>
      <c r="E18" s="558">
        <f>D18/C18</f>
        <v>0.57</v>
      </c>
    </row>
    <row r="19" spans="1:5">
      <c r="A19" s="555" t="s">
        <v>781</v>
      </c>
      <c r="B19" s="549" t="s">
        <v>782</v>
      </c>
      <c r="C19" s="550">
        <v>259003254</v>
      </c>
      <c r="D19" s="557">
        <v>375554718.3</v>
      </c>
      <c r="E19" s="558">
        <f>D19/C19</f>
        <v>1.45</v>
      </c>
    </row>
    <row r="20" spans="1:5">
      <c r="A20" s="555" t="s">
        <v>783</v>
      </c>
      <c r="B20" s="549" t="s">
        <v>784</v>
      </c>
      <c r="C20" s="550">
        <v>72139727</v>
      </c>
      <c r="D20" s="557">
        <v>72139727</v>
      </c>
      <c r="E20" s="558">
        <f>D20/C20</f>
        <v>1</v>
      </c>
    </row>
    <row r="21" spans="1:5">
      <c r="A21" s="555" t="s">
        <v>785</v>
      </c>
      <c r="B21" s="549" t="s">
        <v>786</v>
      </c>
      <c r="C21" s="550">
        <v>12907627</v>
      </c>
      <c r="D21" s="557">
        <v>12907627</v>
      </c>
      <c r="E21" s="558">
        <f>D21/C21</f>
        <v>1</v>
      </c>
    </row>
    <row r="22" spans="1:5">
      <c r="A22" s="555" t="s">
        <v>787</v>
      </c>
      <c r="B22" s="549" t="s">
        <v>788</v>
      </c>
      <c r="C22" s="550">
        <v>8147210701</v>
      </c>
      <c r="D22" s="557">
        <v>12465232372.53</v>
      </c>
      <c r="E22" s="558">
        <f>D22/C22</f>
        <v>1.53</v>
      </c>
    </row>
    <row r="23" spans="1:5">
      <c r="A23" s="555" t="s">
        <v>789</v>
      </c>
      <c r="B23" s="549" t="s">
        <v>790</v>
      </c>
      <c r="C23" s="550">
        <v>231910000</v>
      </c>
      <c r="D23" s="557">
        <v>498606500</v>
      </c>
      <c r="E23" s="558">
        <f>D23/C23</f>
        <v>2.15</v>
      </c>
    </row>
    <row r="24" spans="1:5">
      <c r="A24" s="555" t="s">
        <v>791</v>
      </c>
      <c r="B24" s="549" t="s">
        <v>792</v>
      </c>
      <c r="C24" s="550">
        <v>362692970</v>
      </c>
      <c r="D24" s="557">
        <v>362692970</v>
      </c>
      <c r="E24" s="558">
        <f>D24/C24</f>
        <v>1</v>
      </c>
    </row>
    <row r="25" spans="1:5">
      <c r="A25" s="555" t="s">
        <v>793</v>
      </c>
      <c r="B25" s="549" t="s">
        <v>794</v>
      </c>
      <c r="C25" s="550">
        <v>12176364760</v>
      </c>
      <c r="D25" s="557">
        <v>33728530385.2</v>
      </c>
      <c r="E25" s="558">
        <f>D25/C25</f>
        <v>2.77</v>
      </c>
    </row>
    <row r="26" spans="1:5">
      <c r="A26" s="555" t="s">
        <v>795</v>
      </c>
      <c r="B26" s="549" t="s">
        <v>796</v>
      </c>
      <c r="C26" s="550">
        <v>807926584</v>
      </c>
      <c r="D26" s="557">
        <v>807926584</v>
      </c>
      <c r="E26" s="558">
        <f>D26/C26</f>
        <v>1</v>
      </c>
    </row>
    <row r="27" spans="1:5">
      <c r="A27" s="555" t="s">
        <v>797</v>
      </c>
      <c r="B27" s="549" t="s">
        <v>798</v>
      </c>
      <c r="C27" s="550">
        <v>628850316</v>
      </c>
      <c r="D27" s="557">
        <v>628850316</v>
      </c>
      <c r="E27" s="558">
        <f>D27/C27</f>
        <v>1</v>
      </c>
    </row>
    <row r="28" spans="1:5">
      <c r="A28" s="555" t="s">
        <v>799</v>
      </c>
      <c r="B28" s="549" t="s">
        <v>800</v>
      </c>
      <c r="C28" s="550">
        <v>44516893</v>
      </c>
      <c r="D28" s="557">
        <v>1335506790</v>
      </c>
      <c r="E28" s="558">
        <f>D28/C28</f>
        <v>30</v>
      </c>
    </row>
    <row r="29" spans="1:5">
      <c r="A29" s="555" t="s">
        <v>801</v>
      </c>
      <c r="B29" s="549" t="s">
        <v>802</v>
      </c>
      <c r="C29" s="550">
        <v>5910626850</v>
      </c>
      <c r="D29" s="557">
        <v>10993765941</v>
      </c>
      <c r="E29" s="558">
        <f>D29/C29</f>
        <v>1.86</v>
      </c>
    </row>
    <row r="30" spans="1:5">
      <c r="A30" s="555" t="s">
        <v>803</v>
      </c>
      <c r="B30" s="549" t="s">
        <v>804</v>
      </c>
      <c r="C30" s="550">
        <v>1097093881</v>
      </c>
      <c r="D30" s="557">
        <v>548546940.5</v>
      </c>
      <c r="E30" s="558">
        <f>D30/C30</f>
        <v>0.5</v>
      </c>
    </row>
    <row r="31" spans="1:5">
      <c r="A31" s="555" t="s">
        <v>805</v>
      </c>
      <c r="B31" s="549" t="s">
        <v>806</v>
      </c>
      <c r="C31" s="550">
        <v>413057695</v>
      </c>
      <c r="D31" s="557">
        <v>413057695</v>
      </c>
      <c r="E31" s="558">
        <f>D31/C31</f>
        <v>1</v>
      </c>
    </row>
    <row r="32" spans="1:5">
      <c r="A32" s="555" t="s">
        <v>807</v>
      </c>
      <c r="B32" s="549" t="s">
        <v>808</v>
      </c>
      <c r="C32" s="550">
        <v>682506938</v>
      </c>
      <c r="D32" s="557">
        <v>682506938</v>
      </c>
      <c r="E32" s="558">
        <f>D32/C32</f>
        <v>1</v>
      </c>
    </row>
    <row r="33" spans="1:5">
      <c r="A33" s="555" t="s">
        <v>809</v>
      </c>
      <c r="B33" s="549" t="s">
        <v>810</v>
      </c>
      <c r="C33" s="550">
        <v>265200064</v>
      </c>
      <c r="D33" s="557">
        <v>265200064</v>
      </c>
      <c r="E33" s="558">
        <f>D33/C33</f>
        <v>1</v>
      </c>
    </row>
    <row r="34" spans="1:5">
      <c r="A34" s="555" t="s">
        <v>811</v>
      </c>
      <c r="B34" s="549" t="s">
        <v>812</v>
      </c>
      <c r="C34" s="550">
        <v>897140</v>
      </c>
      <c r="D34" s="557">
        <v>12649674</v>
      </c>
      <c r="E34" s="558">
        <f>D34/C34</f>
        <v>14.1</v>
      </c>
    </row>
    <row r="35" spans="1:5">
      <c r="A35" s="555" t="s">
        <v>813</v>
      </c>
      <c r="B35" s="549" t="s">
        <v>814</v>
      </c>
      <c r="C35" s="550">
        <v>171365386</v>
      </c>
      <c r="D35" s="557">
        <v>61691538.96</v>
      </c>
      <c r="E35" s="558">
        <f>D35/C35</f>
        <v>0.36</v>
      </c>
    </row>
    <row r="36" spans="1:5">
      <c r="A36" s="555" t="s">
        <v>815</v>
      </c>
      <c r="B36" s="549" t="s">
        <v>816</v>
      </c>
      <c r="C36" s="550">
        <v>248771812</v>
      </c>
      <c r="D36" s="557">
        <v>248771812</v>
      </c>
      <c r="E36" s="558">
        <f>D36/C36</f>
        <v>1</v>
      </c>
    </row>
    <row r="37" spans="1:5">
      <c r="A37" s="555" t="s">
        <v>817</v>
      </c>
      <c r="B37" s="549" t="s">
        <v>818</v>
      </c>
      <c r="C37" s="550">
        <v>13010000</v>
      </c>
      <c r="D37" s="557">
        <v>13010000</v>
      </c>
      <c r="E37" s="558">
        <f>D37/C37</f>
        <v>1</v>
      </c>
    </row>
    <row r="38" spans="1:5">
      <c r="A38" s="555" t="s">
        <v>819</v>
      </c>
      <c r="B38" s="549" t="s">
        <v>820</v>
      </c>
      <c r="C38" s="550">
        <v>729419204</v>
      </c>
      <c r="D38" s="557">
        <v>729419204</v>
      </c>
      <c r="E38" s="558">
        <f>D38/C38</f>
        <v>1</v>
      </c>
    </row>
    <row r="39" spans="1:5">
      <c r="A39" s="555" t="s">
        <v>821</v>
      </c>
      <c r="B39" s="549" t="s">
        <v>822</v>
      </c>
      <c r="C39" s="550">
        <v>73816896</v>
      </c>
      <c r="D39" s="557">
        <v>97438302.72</v>
      </c>
      <c r="E39" s="558">
        <f>D39/C39</f>
        <v>1.32</v>
      </c>
    </row>
    <row r="40" spans="1:5">
      <c r="A40" s="555" t="s">
        <v>823</v>
      </c>
      <c r="B40" s="549" t="s">
        <v>824</v>
      </c>
      <c r="C40" s="550">
        <v>20675896</v>
      </c>
      <c r="D40" s="557">
        <v>1095822488</v>
      </c>
      <c r="E40" s="558">
        <f>D40/C40</f>
        <v>53</v>
      </c>
    </row>
    <row r="41" spans="1:5">
      <c r="A41" s="555" t="s">
        <v>825</v>
      </c>
      <c r="B41" s="549" t="s">
        <v>826</v>
      </c>
      <c r="C41" s="550">
        <v>84234550</v>
      </c>
      <c r="D41" s="557">
        <v>825498590</v>
      </c>
      <c r="E41" s="558">
        <f>D41/C41</f>
        <v>9.8</v>
      </c>
    </row>
    <row r="42" spans="1:5">
      <c r="A42" s="555" t="s">
        <v>827</v>
      </c>
      <c r="B42" s="549" t="s">
        <v>828</v>
      </c>
      <c r="C42" s="550">
        <v>80435489</v>
      </c>
      <c r="D42" s="557">
        <v>80435489</v>
      </c>
      <c r="E42" s="558">
        <f>D42/C42</f>
        <v>1</v>
      </c>
    </row>
    <row r="43" spans="1:5">
      <c r="A43" s="555" t="s">
        <v>829</v>
      </c>
      <c r="B43" s="549" t="s">
        <v>830</v>
      </c>
      <c r="C43" s="550">
        <v>29950385</v>
      </c>
      <c r="D43" s="557">
        <v>110816424.5</v>
      </c>
      <c r="E43" s="558">
        <f>D43/C43</f>
        <v>3.7</v>
      </c>
    </row>
    <row r="44" spans="1:5">
      <c r="A44" s="555" t="s">
        <v>831</v>
      </c>
      <c r="B44" s="549" t="s">
        <v>832</v>
      </c>
      <c r="C44" s="550">
        <v>423868449</v>
      </c>
      <c r="D44" s="557">
        <v>1627654844.16</v>
      </c>
      <c r="E44" s="558">
        <f>D44/C44</f>
        <v>3.84</v>
      </c>
    </row>
    <row r="45" spans="1:5">
      <c r="A45" s="555" t="s">
        <v>833</v>
      </c>
      <c r="B45" s="549" t="s">
        <v>834</v>
      </c>
      <c r="C45" s="550">
        <v>2342501</v>
      </c>
      <c r="D45" s="557">
        <v>7027503</v>
      </c>
      <c r="E45" s="558">
        <f>D45/C45</f>
        <v>3</v>
      </c>
    </row>
    <row r="46" spans="1:5">
      <c r="A46" s="555" t="s">
        <v>835</v>
      </c>
      <c r="B46" s="549" t="s">
        <v>836</v>
      </c>
      <c r="C46" s="550">
        <v>84406241</v>
      </c>
      <c r="D46" s="557">
        <v>3198996533.9</v>
      </c>
      <c r="E46" s="558">
        <f>D46/C46</f>
        <v>37.9</v>
      </c>
    </row>
    <row r="47" spans="1:5">
      <c r="A47" s="555" t="s">
        <v>837</v>
      </c>
      <c r="B47" s="549" t="s">
        <v>838</v>
      </c>
      <c r="C47" s="550">
        <v>6800000</v>
      </c>
      <c r="D47" s="557">
        <v>69360000</v>
      </c>
      <c r="E47" s="558">
        <f>D47/C47</f>
        <v>10.2</v>
      </c>
    </row>
    <row r="48" spans="1:5">
      <c r="A48" s="555" t="s">
        <v>839</v>
      </c>
      <c r="B48" s="549" t="s">
        <v>840</v>
      </c>
      <c r="C48" s="550">
        <v>72401132</v>
      </c>
      <c r="D48" s="557">
        <v>166275932.94</v>
      </c>
      <c r="E48" s="558">
        <f>D48/C48</f>
        <v>2.2965929999548</v>
      </c>
    </row>
    <row r="49" spans="1:5">
      <c r="A49" s="555" t="s">
        <v>841</v>
      </c>
      <c r="B49" s="549" t="s">
        <v>842</v>
      </c>
      <c r="C49" s="550">
        <v>443174687</v>
      </c>
      <c r="D49" s="557">
        <v>443174687</v>
      </c>
      <c r="E49" s="558">
        <f>D49/C49</f>
        <v>1</v>
      </c>
    </row>
    <row r="50" spans="1:5">
      <c r="A50" s="555" t="s">
        <v>843</v>
      </c>
      <c r="B50" s="549" t="s">
        <v>844</v>
      </c>
      <c r="C50" s="550">
        <v>31141042</v>
      </c>
      <c r="D50" s="557">
        <v>818386583.76</v>
      </c>
      <c r="E50" s="558">
        <f>D50/C50</f>
        <v>26.28</v>
      </c>
    </row>
    <row r="51" spans="1:5">
      <c r="A51" s="555" t="s">
        <v>845</v>
      </c>
      <c r="B51" s="549" t="s">
        <v>846</v>
      </c>
      <c r="C51" s="550">
        <v>24229804</v>
      </c>
      <c r="D51" s="557">
        <v>646208872.68</v>
      </c>
      <c r="E51" s="558">
        <f>D51/C51</f>
        <v>26.67</v>
      </c>
    </row>
    <row r="52" spans="1:5">
      <c r="A52" s="555" t="s">
        <v>847</v>
      </c>
      <c r="B52" s="549" t="s">
        <v>848</v>
      </c>
      <c r="C52" s="550">
        <v>274889924</v>
      </c>
      <c r="D52" s="557">
        <v>7279085187.52</v>
      </c>
      <c r="E52" s="558">
        <f>D52/C52</f>
        <v>26.48</v>
      </c>
    </row>
    <row r="53" spans="1:5">
      <c r="A53" s="555" t="s">
        <v>849</v>
      </c>
      <c r="B53" s="549" t="s">
        <v>850</v>
      </c>
      <c r="C53" s="550">
        <v>600000000</v>
      </c>
      <c r="D53" s="557">
        <v>4710000000</v>
      </c>
      <c r="E53" s="558">
        <f>D53/C53</f>
        <v>7.85</v>
      </c>
    </row>
    <row r="54" spans="1:5">
      <c r="A54" s="555" t="s">
        <v>851</v>
      </c>
      <c r="B54" s="549" t="s">
        <v>852</v>
      </c>
      <c r="C54" s="550">
        <v>119347801</v>
      </c>
      <c r="D54" s="557">
        <v>89510850.75</v>
      </c>
      <c r="E54" s="558">
        <f>D54/C54</f>
        <v>0.75</v>
      </c>
    </row>
    <row r="55" spans="1:5">
      <c r="A55" s="555" t="s">
        <v>853</v>
      </c>
      <c r="B55" s="549" t="s">
        <v>854</v>
      </c>
      <c r="C55" s="550">
        <v>664671</v>
      </c>
      <c r="D55" s="557">
        <v>109006044</v>
      </c>
      <c r="E55" s="558">
        <f>D55/C55</f>
        <v>164</v>
      </c>
    </row>
    <row r="56" spans="1:5">
      <c r="A56" s="555" t="s">
        <v>855</v>
      </c>
      <c r="B56" s="549" t="s">
        <v>856</v>
      </c>
      <c r="C56" s="550">
        <v>86026412</v>
      </c>
      <c r="D56" s="557">
        <v>26668187.72</v>
      </c>
      <c r="E56" s="558">
        <f>D56/C56</f>
        <v>0.31</v>
      </c>
    </row>
    <row r="57" spans="1:5">
      <c r="A57" s="555" t="s">
        <v>857</v>
      </c>
      <c r="B57" s="549" t="s">
        <v>858</v>
      </c>
      <c r="C57" s="550">
        <v>25914091</v>
      </c>
      <c r="D57" s="557">
        <v>81629386.65</v>
      </c>
      <c r="E57" s="558">
        <f>D57/C57</f>
        <v>3.15</v>
      </c>
    </row>
    <row r="58" spans="1:5">
      <c r="A58" s="555" t="s">
        <v>859</v>
      </c>
      <c r="B58" s="549" t="s">
        <v>860</v>
      </c>
      <c r="C58" s="550">
        <v>2030381</v>
      </c>
      <c r="D58" s="557">
        <v>2030381</v>
      </c>
      <c r="E58" s="558">
        <f>D58/C58</f>
        <v>1</v>
      </c>
    </row>
    <row r="59" spans="1:5">
      <c r="A59" s="555" t="s">
        <v>861</v>
      </c>
      <c r="B59" s="549" t="s">
        <v>862</v>
      </c>
      <c r="C59" s="550">
        <v>890858308</v>
      </c>
      <c r="D59" s="557">
        <v>1692630785.2</v>
      </c>
      <c r="E59" s="558">
        <f>D59/C59</f>
        <v>1.9</v>
      </c>
    </row>
    <row r="60" spans="1:5">
      <c r="A60" s="555" t="s">
        <v>863</v>
      </c>
      <c r="B60" s="549" t="s">
        <v>864</v>
      </c>
      <c r="C60" s="550">
        <v>22776389</v>
      </c>
      <c r="D60" s="557">
        <v>136658334</v>
      </c>
      <c r="E60" s="558">
        <f>D60/C60</f>
        <v>6</v>
      </c>
    </row>
    <row r="61" spans="1:5">
      <c r="A61" s="555" t="s">
        <v>865</v>
      </c>
      <c r="B61" s="549" t="s">
        <v>866</v>
      </c>
      <c r="C61" s="550">
        <v>572639700</v>
      </c>
      <c r="D61" s="557">
        <v>572639700</v>
      </c>
      <c r="E61" s="558">
        <f>D61/C61</f>
        <v>1</v>
      </c>
    </row>
    <row r="62" spans="1:5">
      <c r="A62" s="555" t="s">
        <v>867</v>
      </c>
      <c r="B62" s="549" t="s">
        <v>868</v>
      </c>
      <c r="C62" s="550">
        <v>65586202</v>
      </c>
      <c r="D62" s="557">
        <v>65586202</v>
      </c>
      <c r="E62" s="558">
        <f>D62/C62</f>
        <v>1</v>
      </c>
    </row>
    <row r="63" spans="1:5">
      <c r="A63" s="555" t="s">
        <v>869</v>
      </c>
      <c r="B63" s="549" t="s">
        <v>870</v>
      </c>
      <c r="C63" s="550">
        <v>133526667</v>
      </c>
      <c r="D63" s="557">
        <v>333816667.5</v>
      </c>
      <c r="E63" s="558">
        <f>D63/C63</f>
        <v>2.5</v>
      </c>
    </row>
    <row r="64" spans="1:5">
      <c r="A64" s="555" t="s">
        <v>871</v>
      </c>
      <c r="B64" s="549" t="s">
        <v>872</v>
      </c>
      <c r="C64" s="550">
        <v>94382317</v>
      </c>
      <c r="D64" s="557">
        <v>14657573830.1</v>
      </c>
      <c r="E64" s="558">
        <f>D64/C64</f>
        <v>155.3</v>
      </c>
    </row>
    <row r="65" spans="1:5">
      <c r="A65" s="555" t="s">
        <v>873</v>
      </c>
      <c r="B65" s="549" t="s">
        <v>874</v>
      </c>
      <c r="C65" s="550">
        <v>83931586</v>
      </c>
      <c r="D65" s="557">
        <v>528768991.8</v>
      </c>
      <c r="E65" s="558">
        <f>D65/C65</f>
        <v>6.3</v>
      </c>
    </row>
    <row r="66" spans="1:5">
      <c r="A66" s="555" t="s">
        <v>875</v>
      </c>
      <c r="B66" s="549" t="s">
        <v>876</v>
      </c>
      <c r="C66" s="550">
        <v>163194418</v>
      </c>
      <c r="D66" s="557">
        <v>114236092.6</v>
      </c>
      <c r="E66" s="558">
        <f>D66/C66</f>
        <v>0.7</v>
      </c>
    </row>
    <row r="67" spans="1:5">
      <c r="A67" s="555" t="s">
        <v>877</v>
      </c>
      <c r="B67" s="549" t="s">
        <v>878</v>
      </c>
      <c r="C67" s="550">
        <v>106855061</v>
      </c>
      <c r="D67" s="557">
        <v>106855061</v>
      </c>
      <c r="E67" s="558">
        <f>D67/C67</f>
        <v>1</v>
      </c>
    </row>
    <row r="68" spans="1:5">
      <c r="A68" s="555" t="s">
        <v>879</v>
      </c>
      <c r="B68" s="549" t="s">
        <v>880</v>
      </c>
      <c r="C68" s="550">
        <v>454516911</v>
      </c>
      <c r="D68" s="557">
        <v>313616668.59</v>
      </c>
      <c r="E68" s="558">
        <f>D68/C68</f>
        <v>0.69</v>
      </c>
    </row>
    <row r="69" spans="1:5">
      <c r="A69" s="555" t="s">
        <v>881</v>
      </c>
      <c r="B69" s="549" t="s">
        <v>882</v>
      </c>
      <c r="C69" s="550">
        <v>67512260</v>
      </c>
      <c r="D69" s="557">
        <v>67512260</v>
      </c>
      <c r="E69" s="558">
        <f>D69/C69</f>
        <v>1</v>
      </c>
    </row>
    <row r="70" spans="1:5">
      <c r="A70" s="555" t="s">
        <v>883</v>
      </c>
      <c r="B70" s="549" t="s">
        <v>884</v>
      </c>
      <c r="C70" s="550">
        <v>170269928</v>
      </c>
      <c r="D70" s="557">
        <v>44383581.05</v>
      </c>
      <c r="E70" s="558">
        <f>D70/C70</f>
        <v>0.26066599998797</v>
      </c>
    </row>
    <row r="71" spans="1:5">
      <c r="A71" s="555" t="s">
        <v>885</v>
      </c>
      <c r="B71" s="549" t="s">
        <v>886</v>
      </c>
      <c r="C71" s="550">
        <v>11474673</v>
      </c>
      <c r="D71" s="557">
        <v>11474673</v>
      </c>
      <c r="E71" s="558">
        <f>D71/C71</f>
        <v>1</v>
      </c>
    </row>
    <row r="72" spans="1:5">
      <c r="A72" s="555" t="s">
        <v>887</v>
      </c>
      <c r="B72" s="549" t="s">
        <v>888</v>
      </c>
      <c r="C72" s="550">
        <v>11761594</v>
      </c>
      <c r="D72" s="557">
        <v>8115499.86</v>
      </c>
      <c r="E72" s="558">
        <f>D72/C72</f>
        <v>0.69</v>
      </c>
    </row>
    <row r="73" spans="1:5">
      <c r="A73" s="555" t="s">
        <v>889</v>
      </c>
      <c r="B73" s="549" t="s">
        <v>890</v>
      </c>
      <c r="C73" s="550">
        <v>87203360</v>
      </c>
      <c r="D73" s="557">
        <v>12208470.4</v>
      </c>
      <c r="E73" s="558">
        <f>D73/C73</f>
        <v>0.14</v>
      </c>
    </row>
    <row r="74" spans="1:5">
      <c r="A74" s="555" t="s">
        <v>891</v>
      </c>
      <c r="B74" s="549" t="s">
        <v>892</v>
      </c>
      <c r="C74" s="550">
        <v>35604066</v>
      </c>
      <c r="D74" s="557">
        <v>55186302.3</v>
      </c>
      <c r="E74" s="558">
        <f>D74/C74</f>
        <v>1.55</v>
      </c>
    </row>
    <row r="75" spans="1:5">
      <c r="A75" s="555" t="s">
        <v>893</v>
      </c>
      <c r="B75" s="549" t="s">
        <v>894</v>
      </c>
      <c r="C75" s="550">
        <v>227462392</v>
      </c>
      <c r="D75" s="557">
        <v>79611837.2</v>
      </c>
      <c r="E75" s="558">
        <f>D75/C75</f>
        <v>0.35</v>
      </c>
    </row>
    <row r="76" spans="1:5">
      <c r="A76" s="555" t="s">
        <v>895</v>
      </c>
      <c r="B76" s="549" t="s">
        <v>896</v>
      </c>
      <c r="C76" s="550">
        <v>177742</v>
      </c>
      <c r="D76" s="557">
        <v>888710</v>
      </c>
      <c r="E76" s="558">
        <f>D76/C76</f>
        <v>5</v>
      </c>
    </row>
    <row r="77" spans="1:5">
      <c r="A77" s="555" t="s">
        <v>897</v>
      </c>
      <c r="B77" s="549" t="s">
        <v>898</v>
      </c>
      <c r="C77" s="550">
        <v>40027048</v>
      </c>
      <c r="D77" s="557">
        <v>40027048</v>
      </c>
      <c r="E77" s="558">
        <f>D77/C77</f>
        <v>1</v>
      </c>
    </row>
    <row r="78" spans="1:5">
      <c r="A78" s="555" t="s">
        <v>899</v>
      </c>
      <c r="B78" s="549" t="s">
        <v>900</v>
      </c>
      <c r="C78" s="550">
        <v>2559318</v>
      </c>
      <c r="D78" s="557">
        <v>2559318</v>
      </c>
      <c r="E78" s="558">
        <f>D78/C78</f>
        <v>1</v>
      </c>
    </row>
    <row r="79" spans="1:5">
      <c r="A79" s="555" t="s">
        <v>901</v>
      </c>
      <c r="B79" s="549" t="s">
        <v>902</v>
      </c>
      <c r="C79" s="550">
        <v>4808524</v>
      </c>
      <c r="D79" s="557">
        <v>2500432.48</v>
      </c>
      <c r="E79" s="558">
        <f>D79/C79</f>
        <v>0.52</v>
      </c>
    </row>
    <row r="80" spans="1:5">
      <c r="A80" s="555" t="s">
        <v>903</v>
      </c>
      <c r="B80" s="549" t="s">
        <v>904</v>
      </c>
      <c r="C80" s="550">
        <v>3412127</v>
      </c>
      <c r="D80" s="557">
        <v>32688176.66</v>
      </c>
      <c r="E80" s="558">
        <f>D80/C80</f>
        <v>9.58</v>
      </c>
    </row>
    <row r="81" spans="1:5">
      <c r="A81" s="555" t="s">
        <v>905</v>
      </c>
      <c r="B81" s="549" t="s">
        <v>906</v>
      </c>
      <c r="C81" s="550">
        <v>315110369</v>
      </c>
      <c r="D81" s="557">
        <v>94848221.07</v>
      </c>
      <c r="E81" s="558">
        <f>D81/C81</f>
        <v>0.30100000000317</v>
      </c>
    </row>
    <row r="82" spans="1:5">
      <c r="A82" s="555" t="s">
        <v>907</v>
      </c>
      <c r="B82" s="549" t="s">
        <v>908</v>
      </c>
      <c r="C82" s="550">
        <v>33822845</v>
      </c>
      <c r="D82" s="557">
        <v>27396504.45</v>
      </c>
      <c r="E82" s="558">
        <f>D82/C82</f>
        <v>0.81</v>
      </c>
    </row>
    <row r="83" spans="1:5">
      <c r="A83" s="555" t="s">
        <v>909</v>
      </c>
      <c r="B83" s="549" t="s">
        <v>910</v>
      </c>
      <c r="C83" s="550">
        <v>4369972</v>
      </c>
      <c r="D83" s="557">
        <v>13109916</v>
      </c>
      <c r="E83" s="558">
        <f>D83/C83</f>
        <v>3</v>
      </c>
    </row>
    <row r="84" spans="1:5">
      <c r="A84" s="555" t="s">
        <v>911</v>
      </c>
      <c r="B84" s="549" t="s">
        <v>912</v>
      </c>
      <c r="C84" s="550">
        <v>31929661</v>
      </c>
      <c r="D84" s="557">
        <v>31929661</v>
      </c>
      <c r="E84" s="558">
        <f>D84/C84</f>
        <v>1</v>
      </c>
    </row>
    <row r="85" spans="1:5">
      <c r="A85" s="555" t="s">
        <v>913</v>
      </c>
      <c r="B85" s="549" t="s">
        <v>914</v>
      </c>
      <c r="C85" s="550">
        <v>13276415</v>
      </c>
      <c r="D85" s="557">
        <v>13276415</v>
      </c>
      <c r="E85" s="558">
        <f>D85/C85</f>
        <v>1</v>
      </c>
    </row>
    <row r="86" spans="1:5">
      <c r="A86" s="555" t="s">
        <v>915</v>
      </c>
      <c r="B86" s="549" t="s">
        <v>916</v>
      </c>
      <c r="C86" s="550">
        <v>35794872</v>
      </c>
      <c r="D86" s="557">
        <v>30425641.2</v>
      </c>
      <c r="E86" s="558">
        <f>D86/C86</f>
        <v>0.85</v>
      </c>
    </row>
    <row r="87" spans="1:5">
      <c r="A87" s="555" t="s">
        <v>917</v>
      </c>
      <c r="B87" s="549" t="s">
        <v>918</v>
      </c>
      <c r="C87" s="550">
        <v>216264562</v>
      </c>
      <c r="D87" s="557">
        <v>216264562</v>
      </c>
      <c r="E87" s="558">
        <f>D87/C87</f>
        <v>1</v>
      </c>
    </row>
    <row r="88" spans="1:5">
      <c r="A88" s="555" t="s">
        <v>919</v>
      </c>
      <c r="B88" s="549" t="s">
        <v>920</v>
      </c>
      <c r="C88" s="550">
        <v>13396725</v>
      </c>
      <c r="D88" s="557">
        <v>13396725</v>
      </c>
      <c r="E88" s="558">
        <f>D88/C88</f>
        <v>1</v>
      </c>
    </row>
    <row r="89" spans="1:5">
      <c r="A89" s="555" t="s">
        <v>921</v>
      </c>
      <c r="B89" s="549" t="s">
        <v>922</v>
      </c>
      <c r="C89" s="550">
        <v>700000000</v>
      </c>
      <c r="D89" s="557">
        <v>875000000</v>
      </c>
      <c r="E89" s="558">
        <f>D89/C89</f>
        <v>1.25</v>
      </c>
    </row>
    <row r="90" spans="1:5">
      <c r="A90" s="555" t="s">
        <v>923</v>
      </c>
      <c r="B90" s="549" t="s">
        <v>924</v>
      </c>
      <c r="C90" s="550">
        <v>3033046862</v>
      </c>
      <c r="D90" s="557">
        <v>10251698393.56</v>
      </c>
      <c r="E90" s="558">
        <f>D90/C90</f>
        <v>3.38</v>
      </c>
    </row>
    <row r="91" spans="1:5">
      <c r="A91" s="555" t="s">
        <v>925</v>
      </c>
      <c r="B91" s="549" t="s">
        <v>926</v>
      </c>
      <c r="C91" s="550">
        <v>1747842348</v>
      </c>
      <c r="D91" s="557">
        <v>6938934121.56</v>
      </c>
      <c r="E91" s="558">
        <f>D91/C91</f>
        <v>3.97</v>
      </c>
    </row>
    <row r="92" spans="1:5">
      <c r="A92" s="555" t="s">
        <v>927</v>
      </c>
      <c r="B92" s="549" t="s">
        <v>928</v>
      </c>
      <c r="C92" s="550">
        <v>29593037</v>
      </c>
      <c r="D92" s="557">
        <v>469641497.19</v>
      </c>
      <c r="E92" s="558">
        <f>D92/C92</f>
        <v>15.87</v>
      </c>
    </row>
    <row r="93" spans="1:5">
      <c r="A93" s="555" t="s">
        <v>929</v>
      </c>
      <c r="B93" s="549" t="s">
        <v>930</v>
      </c>
      <c r="C93" s="550">
        <v>219815102</v>
      </c>
      <c r="D93" s="557">
        <v>22421140.4</v>
      </c>
      <c r="E93" s="558">
        <f>D93/C93</f>
        <v>0.1019999999818</v>
      </c>
    </row>
    <row r="94" spans="1:5">
      <c r="A94" s="555" t="s">
        <v>931</v>
      </c>
      <c r="B94" s="549" t="s">
        <v>932</v>
      </c>
      <c r="C94" s="550">
        <v>601370011</v>
      </c>
      <c r="D94" s="557">
        <v>2868534952.47</v>
      </c>
      <c r="E94" s="558">
        <f>D94/C94</f>
        <v>4.77</v>
      </c>
    </row>
    <row r="95" spans="1:5">
      <c r="A95" s="555" t="s">
        <v>933</v>
      </c>
      <c r="B95" s="549" t="s">
        <v>934</v>
      </c>
      <c r="C95" s="550">
        <v>218364751</v>
      </c>
      <c r="D95" s="557">
        <v>218364751</v>
      </c>
      <c r="E95" s="558">
        <f>D95/C95</f>
        <v>1</v>
      </c>
    </row>
    <row r="96" spans="1:5">
      <c r="A96" s="555" t="s">
        <v>935</v>
      </c>
      <c r="B96" s="549" t="s">
        <v>936</v>
      </c>
      <c r="C96" s="550">
        <v>22680289</v>
      </c>
      <c r="D96" s="557">
        <v>10206130.05</v>
      </c>
      <c r="E96" s="558">
        <f>D96/C96</f>
        <v>0.45</v>
      </c>
    </row>
    <row r="97" spans="1:5">
      <c r="A97" s="555" t="s">
        <v>937</v>
      </c>
      <c r="B97" s="549" t="s">
        <v>938</v>
      </c>
      <c r="C97" s="550">
        <v>5177620</v>
      </c>
      <c r="D97" s="557">
        <v>8387744.4</v>
      </c>
      <c r="E97" s="558">
        <f>D97/C97</f>
        <v>1.62</v>
      </c>
    </row>
    <row r="98" spans="1:5">
      <c r="A98" s="555" t="s">
        <v>939</v>
      </c>
      <c r="B98" s="549" t="s">
        <v>940</v>
      </c>
      <c r="C98" s="550">
        <v>5156056091</v>
      </c>
      <c r="D98" s="557">
        <v>2428502418.86</v>
      </c>
      <c r="E98" s="558">
        <f>D98/C98</f>
        <v>0.47099999999981</v>
      </c>
    </row>
    <row r="99" spans="1:5">
      <c r="A99" s="555" t="s">
        <v>941</v>
      </c>
      <c r="B99" s="549" t="s">
        <v>942</v>
      </c>
      <c r="C99" s="550">
        <v>946063288</v>
      </c>
      <c r="D99" s="557">
        <v>2223248726.8</v>
      </c>
      <c r="E99" s="558">
        <f>D99/C99</f>
        <v>2.35</v>
      </c>
    </row>
    <row r="100" spans="1:5">
      <c r="A100" s="555" t="s">
        <v>943</v>
      </c>
      <c r="B100" s="549" t="s">
        <v>944</v>
      </c>
      <c r="C100" s="550">
        <v>11751082</v>
      </c>
      <c r="D100" s="557">
        <v>5816785.59</v>
      </c>
      <c r="E100" s="558">
        <f>D100/C100</f>
        <v>0.495</v>
      </c>
    </row>
    <row r="101" spans="1:5">
      <c r="A101" s="555" t="s">
        <v>945</v>
      </c>
      <c r="B101" s="549" t="s">
        <v>946</v>
      </c>
      <c r="C101" s="550">
        <v>5259927</v>
      </c>
      <c r="D101" s="557">
        <v>337073069.64</v>
      </c>
      <c r="E101" s="558">
        <f>D101/C101</f>
        <v>64.083221999089</v>
      </c>
    </row>
    <row r="102" spans="1:5">
      <c r="A102" s="555" t="s">
        <v>947</v>
      </c>
      <c r="B102" s="549" t="s">
        <v>948</v>
      </c>
      <c r="C102" s="550">
        <v>166119790</v>
      </c>
      <c r="D102" s="557">
        <v>332239580</v>
      </c>
      <c r="E102" s="558">
        <f>D102/C102</f>
        <v>2</v>
      </c>
    </row>
    <row r="103" spans="1:5">
      <c r="A103" s="555" t="s">
        <v>949</v>
      </c>
      <c r="B103" s="549" t="s">
        <v>950</v>
      </c>
      <c r="C103" s="550">
        <v>264442528</v>
      </c>
      <c r="D103" s="557">
        <v>264442528</v>
      </c>
      <c r="E103" s="558">
        <f>D103/C103</f>
        <v>1</v>
      </c>
    </row>
    <row r="104" spans="1:5">
      <c r="A104" s="555" t="s">
        <v>951</v>
      </c>
      <c r="B104" s="549" t="s">
        <v>952</v>
      </c>
      <c r="C104" s="550">
        <v>293625301</v>
      </c>
      <c r="D104" s="557">
        <v>293625301</v>
      </c>
      <c r="E104" s="558">
        <f>D104/C104</f>
        <v>1</v>
      </c>
    </row>
    <row r="105" spans="1:5">
      <c r="A105" s="555" t="s">
        <v>953</v>
      </c>
      <c r="B105" s="549" t="s">
        <v>954</v>
      </c>
      <c r="C105" s="550">
        <v>3248206</v>
      </c>
      <c r="D105" s="557">
        <v>49047910.6</v>
      </c>
      <c r="E105" s="558">
        <f>D105/C105</f>
        <v>15.1</v>
      </c>
    </row>
    <row r="106" spans="1:5">
      <c r="A106" s="555" t="s">
        <v>955</v>
      </c>
      <c r="B106" s="549" t="s">
        <v>956</v>
      </c>
      <c r="C106" s="550">
        <v>67105568</v>
      </c>
      <c r="D106" s="557">
        <v>67105568</v>
      </c>
      <c r="E106" s="558">
        <f>D106/C106</f>
        <v>1</v>
      </c>
    </row>
    <row r="107" spans="1:5">
      <c r="A107" s="555" t="s">
        <v>957</v>
      </c>
      <c r="B107" s="549" t="s">
        <v>958</v>
      </c>
      <c r="C107" s="550">
        <v>92926346</v>
      </c>
      <c r="D107" s="557">
        <v>92926346</v>
      </c>
      <c r="E107" s="558">
        <f>D107/C107</f>
        <v>1</v>
      </c>
    </row>
    <row r="108" spans="1:5">
      <c r="A108" s="555" t="s">
        <v>959</v>
      </c>
      <c r="B108" s="549" t="s">
        <v>960</v>
      </c>
      <c r="C108" s="550">
        <v>8633813</v>
      </c>
      <c r="D108" s="557">
        <v>8633813</v>
      </c>
      <c r="E108" s="558">
        <f>D108/C108</f>
        <v>1</v>
      </c>
    </row>
    <row r="109" spans="1:5">
      <c r="A109" s="555" t="s">
        <v>961</v>
      </c>
      <c r="B109" s="549" t="s">
        <v>962</v>
      </c>
      <c r="C109" s="550">
        <v>8991158</v>
      </c>
      <c r="D109" s="557">
        <v>6833280.08</v>
      </c>
      <c r="E109" s="558">
        <f>D109/C109</f>
        <v>0.76</v>
      </c>
    </row>
    <row r="110" spans="1:5">
      <c r="A110" s="555" t="s">
        <v>963</v>
      </c>
      <c r="B110" s="549" t="s">
        <v>964</v>
      </c>
      <c r="C110" s="550">
        <v>31049829</v>
      </c>
      <c r="D110" s="557">
        <v>131961773.25</v>
      </c>
      <c r="E110" s="558">
        <f>D110/C110</f>
        <v>4.25</v>
      </c>
    </row>
    <row r="111" spans="1:5">
      <c r="A111" s="555" t="s">
        <v>965</v>
      </c>
      <c r="B111" s="549" t="s">
        <v>966</v>
      </c>
      <c r="C111" s="550">
        <v>148604735</v>
      </c>
      <c r="D111" s="557">
        <v>102537267.15</v>
      </c>
      <c r="E111" s="558">
        <f>D111/C111</f>
        <v>0.69</v>
      </c>
    </row>
    <row r="112" spans="1:5">
      <c r="A112" s="555" t="s">
        <v>967</v>
      </c>
      <c r="B112" s="549" t="s">
        <v>968</v>
      </c>
      <c r="C112" s="550">
        <v>173659481</v>
      </c>
      <c r="D112" s="557">
        <v>477563572.75</v>
      </c>
      <c r="E112" s="558">
        <f>D112/C112</f>
        <v>2.75</v>
      </c>
    </row>
    <row r="113" spans="1:5">
      <c r="A113" s="555" t="s">
        <v>969</v>
      </c>
      <c r="B113" s="549" t="s">
        <v>970</v>
      </c>
      <c r="C113" s="550">
        <v>87250000</v>
      </c>
      <c r="D113" s="557">
        <v>707597500</v>
      </c>
      <c r="E113" s="558">
        <f>D113/C113</f>
        <v>8.11</v>
      </c>
    </row>
    <row r="114" spans="1:5">
      <c r="A114" s="555" t="s">
        <v>971</v>
      </c>
      <c r="B114" s="549" t="s">
        <v>972</v>
      </c>
      <c r="C114" s="550">
        <v>21602650</v>
      </c>
      <c r="D114" s="557">
        <v>7560927.5</v>
      </c>
      <c r="E114" s="558">
        <f>D114/C114</f>
        <v>0.35</v>
      </c>
    </row>
    <row r="115" spans="1:5">
      <c r="A115" s="555" t="s">
        <v>973</v>
      </c>
      <c r="B115" s="549" t="s">
        <v>974</v>
      </c>
      <c r="C115" s="550">
        <v>364780200</v>
      </c>
      <c r="D115" s="557">
        <v>364780200</v>
      </c>
      <c r="E115" s="558">
        <f>D115/C115</f>
        <v>1</v>
      </c>
    </row>
    <row r="116" spans="1:5">
      <c r="A116" s="555" t="s">
        <v>975</v>
      </c>
      <c r="B116" s="549" t="s">
        <v>976</v>
      </c>
      <c r="C116" s="550">
        <v>26758904</v>
      </c>
      <c r="D116" s="557">
        <v>26758904</v>
      </c>
      <c r="E116" s="558">
        <f>D116/C116</f>
        <v>1</v>
      </c>
    </row>
    <row r="117" spans="1:5">
      <c r="A117" s="555" t="s">
        <v>977</v>
      </c>
      <c r="B117" s="549" t="s">
        <v>978</v>
      </c>
      <c r="C117" s="550">
        <v>4868936</v>
      </c>
      <c r="D117" s="557">
        <v>16359624.96</v>
      </c>
      <c r="E117" s="558">
        <f>D117/C117</f>
        <v>3.36</v>
      </c>
    </row>
    <row r="118" spans="1:5">
      <c r="A118" s="555" t="s">
        <v>979</v>
      </c>
      <c r="B118" s="549" t="s">
        <v>980</v>
      </c>
      <c r="C118" s="550">
        <v>56844491</v>
      </c>
      <c r="D118" s="557">
        <v>2273779.64</v>
      </c>
      <c r="E118" s="558">
        <f>D118/C118</f>
        <v>0.04</v>
      </c>
    </row>
    <row r="119" spans="1:5">
      <c r="A119" s="555" t="s">
        <v>981</v>
      </c>
      <c r="B119" s="549" t="s">
        <v>982</v>
      </c>
      <c r="C119" s="550">
        <v>13365837</v>
      </c>
      <c r="D119" s="557">
        <v>4116677.8</v>
      </c>
      <c r="E119" s="558">
        <f>D119/C119</f>
        <v>0.30800000029927</v>
      </c>
    </row>
    <row r="120" spans="1:5">
      <c r="A120" s="555" t="s">
        <v>983</v>
      </c>
      <c r="B120" s="549" t="s">
        <v>984</v>
      </c>
      <c r="C120" s="550">
        <v>9023540</v>
      </c>
      <c r="D120" s="557">
        <v>9023540</v>
      </c>
      <c r="E120" s="558">
        <f>D120/C120</f>
        <v>1</v>
      </c>
    </row>
    <row r="121" spans="1:5">
      <c r="A121" s="555" t="s">
        <v>985</v>
      </c>
      <c r="B121" s="549" t="s">
        <v>986</v>
      </c>
      <c r="C121" s="550">
        <v>93291575</v>
      </c>
      <c r="D121" s="557">
        <v>261216410</v>
      </c>
      <c r="E121" s="558">
        <f>D121/C121</f>
        <v>2.8</v>
      </c>
    </row>
    <row r="122" spans="1:5">
      <c r="A122" s="555" t="s">
        <v>987</v>
      </c>
      <c r="B122" s="549" t="s">
        <v>988</v>
      </c>
      <c r="C122" s="550">
        <v>108746887</v>
      </c>
      <c r="D122" s="557">
        <v>3697394158</v>
      </c>
      <c r="E122" s="558">
        <f>D122/C122</f>
        <v>34</v>
      </c>
    </row>
    <row r="123" spans="1:5">
      <c r="A123" s="555" t="s">
        <v>989</v>
      </c>
      <c r="B123" s="549" t="s">
        <v>990</v>
      </c>
      <c r="C123" s="550">
        <v>36812276</v>
      </c>
      <c r="D123" s="557">
        <v>36812276</v>
      </c>
      <c r="E123" s="558">
        <f>D123/C123</f>
        <v>1</v>
      </c>
    </row>
    <row r="124" spans="1:5">
      <c r="A124" s="555" t="s">
        <v>991</v>
      </c>
      <c r="B124" s="549" t="s">
        <v>992</v>
      </c>
      <c r="C124" s="550">
        <v>115447705</v>
      </c>
      <c r="D124" s="557">
        <v>2868875469.25</v>
      </c>
      <c r="E124" s="558">
        <f>D124/C124</f>
        <v>24.85</v>
      </c>
    </row>
    <row r="125" spans="1:5">
      <c r="A125" s="555" t="s">
        <v>993</v>
      </c>
      <c r="B125" s="549" t="s">
        <v>994</v>
      </c>
      <c r="C125" s="550">
        <v>134117024</v>
      </c>
      <c r="D125" s="557">
        <v>1609404288</v>
      </c>
      <c r="E125" s="558">
        <f>D125/C125</f>
        <v>12</v>
      </c>
    </row>
    <row r="126" spans="1:5">
      <c r="A126" s="555" t="s">
        <v>995</v>
      </c>
      <c r="B126" s="549" t="s">
        <v>996</v>
      </c>
      <c r="C126" s="550">
        <v>958281630</v>
      </c>
      <c r="D126" s="557">
        <v>958281630</v>
      </c>
      <c r="E126" s="558">
        <f>D126/C126</f>
        <v>1</v>
      </c>
    </row>
    <row r="127" spans="1:5">
      <c r="A127" s="555" t="s">
        <v>997</v>
      </c>
      <c r="B127" s="549" t="s">
        <v>998</v>
      </c>
      <c r="C127" s="550">
        <v>29348932466</v>
      </c>
      <c r="D127" s="557">
        <v>4079501612.77</v>
      </c>
      <c r="E127" s="558">
        <f>D127/C127</f>
        <v>0.13899999999986</v>
      </c>
    </row>
    <row r="128" spans="1:5">
      <c r="A128" s="555" t="s">
        <v>999</v>
      </c>
      <c r="B128" s="549" t="s">
        <v>1000</v>
      </c>
      <c r="C128" s="550">
        <v>577245314</v>
      </c>
      <c r="D128" s="557">
        <v>865867971</v>
      </c>
      <c r="E128" s="558">
        <f>D128/C128</f>
        <v>1.5</v>
      </c>
    </row>
    <row r="129" spans="1:5">
      <c r="A129" s="555" t="s">
        <v>1001</v>
      </c>
      <c r="B129" s="549" t="s">
        <v>1002</v>
      </c>
      <c r="C129" s="550">
        <v>1290678</v>
      </c>
      <c r="D129" s="557">
        <v>1290678</v>
      </c>
      <c r="E129" s="558">
        <f>D129/C129</f>
        <v>1</v>
      </c>
    </row>
    <row r="130" spans="1:5">
      <c r="A130" s="555" t="s">
        <v>1003</v>
      </c>
      <c r="B130" s="549" t="s">
        <v>1004</v>
      </c>
      <c r="C130" s="550">
        <v>21722635</v>
      </c>
      <c r="D130" s="557">
        <v>7950484.41</v>
      </c>
      <c r="E130" s="558">
        <f>D130/C130</f>
        <v>0.366</v>
      </c>
    </row>
    <row r="131" spans="1:5">
      <c r="A131" s="555" t="s">
        <v>1005</v>
      </c>
      <c r="B131" s="549" t="s">
        <v>1006</v>
      </c>
      <c r="C131" s="550">
        <v>83400000</v>
      </c>
      <c r="D131" s="557">
        <v>83400000</v>
      </c>
      <c r="E131" s="558">
        <f>D131/C131</f>
        <v>1</v>
      </c>
    </row>
    <row r="132" spans="1:5">
      <c r="A132" s="555" t="s">
        <v>1007</v>
      </c>
      <c r="B132" s="549" t="s">
        <v>1008</v>
      </c>
      <c r="C132" s="551">
        <v>542026600</v>
      </c>
      <c r="D132" s="557">
        <v>336056492</v>
      </c>
      <c r="E132" s="558">
        <f>D132/C132</f>
        <v>0.62</v>
      </c>
    </row>
    <row r="133" spans="1:5">
      <c r="A133" s="555" t="s">
        <v>1009</v>
      </c>
      <c r="B133" s="549" t="s">
        <v>1010</v>
      </c>
      <c r="C133" s="551">
        <v>540387788</v>
      </c>
      <c r="D133" s="557">
        <v>540387788</v>
      </c>
      <c r="E133" s="558">
        <f>D133/C133</f>
        <v>1</v>
      </c>
    </row>
    <row r="134" spans="1:5">
      <c r="A134" s="555" t="s">
        <v>1011</v>
      </c>
      <c r="B134" s="549" t="s">
        <v>1012</v>
      </c>
      <c r="C134" s="551">
        <v>9425879</v>
      </c>
      <c r="D134" s="557">
        <v>9425879</v>
      </c>
      <c r="E134" s="558">
        <f>D134/C134</f>
        <v>1</v>
      </c>
    </row>
    <row r="135" spans="1:5">
      <c r="A135" s="555" t="s">
        <v>1013</v>
      </c>
      <c r="B135" s="549" t="s">
        <v>1014</v>
      </c>
      <c r="C135" s="551">
        <v>39117107</v>
      </c>
      <c r="D135" s="557">
        <v>250740655.87</v>
      </c>
      <c r="E135" s="558">
        <f>D135/C135</f>
        <v>6.41</v>
      </c>
    </row>
    <row r="136" spans="1:5">
      <c r="A136" s="555" t="s">
        <v>1015</v>
      </c>
      <c r="B136" s="549" t="s">
        <v>1016</v>
      </c>
      <c r="C136" s="551">
        <v>23580000</v>
      </c>
      <c r="D136" s="557">
        <v>23580000</v>
      </c>
      <c r="E136" s="558">
        <f>D136/C136</f>
        <v>1</v>
      </c>
    </row>
    <row r="137" spans="1:5">
      <c r="A137" s="555" t="s">
        <v>1017</v>
      </c>
      <c r="B137" s="549" t="s">
        <v>1018</v>
      </c>
      <c r="C137" s="551">
        <v>2284122</v>
      </c>
      <c r="D137" s="557">
        <v>3243453.24</v>
      </c>
      <c r="E137" s="558">
        <f>D137/C137</f>
        <v>1.42</v>
      </c>
    </row>
    <row r="138" spans="1:5">
      <c r="A138" s="555" t="s">
        <v>1019</v>
      </c>
      <c r="B138" s="549" t="s">
        <v>1020</v>
      </c>
      <c r="C138" s="551">
        <v>253753798</v>
      </c>
      <c r="D138" s="557">
        <v>253753798</v>
      </c>
      <c r="E138" s="558">
        <f>D138/C138</f>
        <v>1</v>
      </c>
    </row>
    <row r="139" spans="1:5">
      <c r="A139" s="555" t="s">
        <v>1021</v>
      </c>
      <c r="B139" s="549" t="s">
        <v>1022</v>
      </c>
      <c r="C139" s="551">
        <v>486951371</v>
      </c>
      <c r="D139" s="557">
        <v>7596441387.6</v>
      </c>
      <c r="E139" s="558">
        <f>D139/C139</f>
        <v>15.6</v>
      </c>
    </row>
    <row r="140" spans="1:5">
      <c r="A140" s="555" t="s">
        <v>1023</v>
      </c>
      <c r="B140" s="549" t="s">
        <v>1024</v>
      </c>
      <c r="C140" s="551">
        <v>9603364</v>
      </c>
      <c r="D140" s="557">
        <v>8931128.52</v>
      </c>
      <c r="E140" s="558">
        <f>D140/C140</f>
        <v>0.93</v>
      </c>
    </row>
    <row r="141" spans="1:5">
      <c r="A141" s="555" t="s">
        <v>1025</v>
      </c>
      <c r="B141" s="549" t="s">
        <v>1026</v>
      </c>
      <c r="C141" s="551">
        <v>501949792</v>
      </c>
      <c r="D141" s="557">
        <v>5536506205.76</v>
      </c>
      <c r="E141" s="558">
        <f>D141/C141</f>
        <v>11.03</v>
      </c>
    </row>
    <row r="142" spans="1:5">
      <c r="A142" s="555" t="s">
        <v>1027</v>
      </c>
      <c r="B142" s="549" t="s">
        <v>1028</v>
      </c>
      <c r="C142" s="551">
        <v>1840606313</v>
      </c>
      <c r="D142" s="557">
        <v>3681212626</v>
      </c>
      <c r="E142" s="558">
        <f>D142/C142</f>
        <v>2</v>
      </c>
    </row>
    <row r="143" spans="1:5">
      <c r="A143" s="555" t="s">
        <v>1029</v>
      </c>
      <c r="B143" s="549" t="s">
        <v>1030</v>
      </c>
      <c r="C143" s="551">
        <v>3272805</v>
      </c>
      <c r="D143" s="557">
        <v>20978680.05</v>
      </c>
      <c r="E143" s="558">
        <f>D143/C143</f>
        <v>6.41</v>
      </c>
    </row>
    <row r="144" spans="1:5">
      <c r="A144" s="555" t="s">
        <v>1031</v>
      </c>
      <c r="B144" s="549" t="s">
        <v>1032</v>
      </c>
      <c r="C144" s="551">
        <v>47794177</v>
      </c>
      <c r="D144" s="557">
        <v>4779417.7</v>
      </c>
      <c r="E144" s="558">
        <f>D144/C144</f>
        <v>0.1</v>
      </c>
    </row>
    <row r="145" spans="1:5">
      <c r="A145" s="555" t="s">
        <v>1033</v>
      </c>
      <c r="B145" s="549" t="s">
        <v>1034</v>
      </c>
      <c r="C145" s="551">
        <v>231135028</v>
      </c>
      <c r="D145" s="557">
        <v>8320861.01</v>
      </c>
      <c r="E145" s="558">
        <f>D145/C145</f>
        <v>0.036000000008653</v>
      </c>
    </row>
    <row r="146" spans="1:5">
      <c r="A146" s="555" t="s">
        <v>1035</v>
      </c>
      <c r="B146" s="549" t="s">
        <v>1036</v>
      </c>
      <c r="C146" s="551">
        <v>961000840</v>
      </c>
      <c r="D146" s="557">
        <v>3680633217.2</v>
      </c>
      <c r="E146" s="558">
        <f>D146/C146</f>
        <v>3.83</v>
      </c>
    </row>
    <row r="147" spans="1:5">
      <c r="A147" s="555" t="s">
        <v>1037</v>
      </c>
      <c r="B147" s="549" t="s">
        <v>1038</v>
      </c>
      <c r="C147" s="551">
        <v>156747</v>
      </c>
      <c r="D147" s="557">
        <v>156747000</v>
      </c>
      <c r="E147" s="558">
        <f>D147/C147</f>
        <v>1000</v>
      </c>
    </row>
    <row r="148" spans="1:5">
      <c r="A148" s="555" t="s">
        <v>1039</v>
      </c>
      <c r="B148" s="549" t="s">
        <v>1040</v>
      </c>
      <c r="C148" s="551">
        <v>79759610</v>
      </c>
      <c r="D148" s="557">
        <v>79759610</v>
      </c>
      <c r="E148" s="558">
        <f>D148/C148</f>
        <v>1</v>
      </c>
    </row>
    <row r="149" spans="1:5">
      <c r="A149" s="555" t="s">
        <v>1041</v>
      </c>
      <c r="B149" s="549" t="s">
        <v>1042</v>
      </c>
      <c r="C149" s="551">
        <v>520914220</v>
      </c>
      <c r="D149" s="557">
        <v>52091422</v>
      </c>
      <c r="E149" s="558">
        <f>D149/C149</f>
        <v>0.1</v>
      </c>
    </row>
    <row r="150" spans="1:5">
      <c r="A150" s="555" t="s">
        <v>1043</v>
      </c>
      <c r="B150" s="549" t="s">
        <v>1044</v>
      </c>
      <c r="C150" s="551">
        <v>1257754353</v>
      </c>
      <c r="D150" s="557">
        <v>1999829421.27</v>
      </c>
      <c r="E150" s="558">
        <f>D150/C150</f>
        <v>1.59</v>
      </c>
    </row>
    <row r="151" spans="1:5">
      <c r="A151" s="555" t="s">
        <v>1045</v>
      </c>
      <c r="B151" s="549" t="s">
        <v>1046</v>
      </c>
      <c r="C151" s="551">
        <v>136091500</v>
      </c>
      <c r="D151" s="557">
        <v>136091500</v>
      </c>
      <c r="E151" s="558">
        <f>D151/C151</f>
        <v>1</v>
      </c>
    </row>
    <row r="152" spans="1:5">
      <c r="A152" s="555" t="s">
        <v>1047</v>
      </c>
      <c r="B152" s="549" t="s">
        <v>1048</v>
      </c>
      <c r="C152" s="551">
        <v>120531675</v>
      </c>
      <c r="D152" s="557">
        <v>3696706472.25</v>
      </c>
      <c r="E152" s="558">
        <f>D152/C152</f>
        <v>30.67</v>
      </c>
    </row>
    <row r="153" spans="1:5">
      <c r="A153" s="555" t="s">
        <v>1049</v>
      </c>
      <c r="B153" s="549" t="s">
        <v>1050</v>
      </c>
      <c r="C153" s="551">
        <v>264375058</v>
      </c>
      <c r="D153" s="557">
        <v>25644380.63</v>
      </c>
      <c r="E153" s="558">
        <f>D153/C153</f>
        <v>0.09700000001513</v>
      </c>
    </row>
    <row r="154" spans="1:5">
      <c r="A154" s="555" t="s">
        <v>1051</v>
      </c>
      <c r="B154" s="549" t="s">
        <v>1052</v>
      </c>
      <c r="C154" s="551">
        <v>661427867</v>
      </c>
      <c r="D154" s="557">
        <v>31748537.62</v>
      </c>
      <c r="E154" s="558">
        <f>D154/C154</f>
        <v>0.048000000006048</v>
      </c>
    </row>
    <row r="155" spans="1:5">
      <c r="A155" s="555" t="s">
        <v>1053</v>
      </c>
      <c r="B155" s="549" t="s">
        <v>1054</v>
      </c>
      <c r="C155" s="551">
        <v>2585963</v>
      </c>
      <c r="D155" s="557">
        <v>25859630</v>
      </c>
      <c r="E155" s="558">
        <f>D155/C155</f>
        <v>10</v>
      </c>
    </row>
    <row r="156" spans="1:5">
      <c r="A156" s="555" t="s">
        <v>1055</v>
      </c>
      <c r="B156" s="549" t="s">
        <v>1056</v>
      </c>
      <c r="C156" s="551">
        <v>17454224</v>
      </c>
      <c r="D156" s="557">
        <v>66151508.96</v>
      </c>
      <c r="E156" s="558">
        <f>D156/C156</f>
        <v>3.79</v>
      </c>
    </row>
    <row r="157" spans="1:5">
      <c r="A157" s="555" t="s">
        <v>1057</v>
      </c>
      <c r="B157" s="549" t="s">
        <v>1058</v>
      </c>
      <c r="C157" s="551">
        <v>295536144</v>
      </c>
      <c r="D157" s="557">
        <v>561518673.6</v>
      </c>
      <c r="E157" s="558">
        <f>D157/C157</f>
        <v>1.9</v>
      </c>
    </row>
    <row r="158" spans="1:5">
      <c r="A158" s="555" t="s">
        <v>1059</v>
      </c>
      <c r="B158" s="549" t="s">
        <v>1060</v>
      </c>
      <c r="C158" s="551">
        <v>1914433600</v>
      </c>
      <c r="D158" s="557">
        <v>1914433600</v>
      </c>
      <c r="E158" s="558">
        <f>D158/C158</f>
        <v>1</v>
      </c>
    </row>
    <row r="159" spans="1:5">
      <c r="A159" s="555" t="s">
        <v>1061</v>
      </c>
      <c r="B159" s="549" t="s">
        <v>1062</v>
      </c>
      <c r="C159" s="551">
        <v>636077828</v>
      </c>
      <c r="D159" s="557">
        <v>12085478.73</v>
      </c>
      <c r="E159" s="558">
        <f>D159/C159</f>
        <v>0.018999999996856</v>
      </c>
    </row>
    <row r="160" spans="1:5">
      <c r="A160" s="555" t="s">
        <v>1063</v>
      </c>
      <c r="B160" s="549" t="s">
        <v>1064</v>
      </c>
      <c r="C160" s="551">
        <v>96242</v>
      </c>
      <c r="D160" s="557">
        <v>96242000</v>
      </c>
      <c r="E160" s="558">
        <f>D160/C160</f>
        <v>1000</v>
      </c>
    </row>
    <row r="161" spans="1:5">
      <c r="A161" s="555" t="s">
        <v>1065</v>
      </c>
      <c r="B161" s="549" t="s">
        <v>1066</v>
      </c>
      <c r="C161" s="551">
        <v>19290724</v>
      </c>
      <c r="D161" s="557">
        <v>19290724</v>
      </c>
      <c r="E161" s="558">
        <f>D161/C161</f>
        <v>1</v>
      </c>
    </row>
    <row r="162" spans="1:5">
      <c r="A162" s="555" t="s">
        <v>1067</v>
      </c>
      <c r="B162" s="549" t="s">
        <v>1068</v>
      </c>
      <c r="C162" s="551">
        <v>255256326</v>
      </c>
      <c r="D162" s="557">
        <v>255256326</v>
      </c>
      <c r="E162" s="558">
        <f>D162/C162</f>
        <v>1</v>
      </c>
    </row>
    <row r="163" spans="1:5">
      <c r="A163" s="555" t="s">
        <v>1069</v>
      </c>
      <c r="B163" s="549" t="s">
        <v>1070</v>
      </c>
      <c r="C163" s="551">
        <v>76591960</v>
      </c>
      <c r="D163" s="557">
        <v>43657417.2</v>
      </c>
      <c r="E163" s="558">
        <f>D163/C163</f>
        <v>0.57</v>
      </c>
    </row>
    <row r="164" spans="1:5">
      <c r="A164" s="555" t="s">
        <v>1071</v>
      </c>
      <c r="B164" s="549" t="s">
        <v>1072</v>
      </c>
      <c r="C164" s="551">
        <v>7195924</v>
      </c>
      <c r="D164" s="557">
        <v>71959.24</v>
      </c>
      <c r="E164" s="558">
        <f>D164/C164</f>
        <v>0.01</v>
      </c>
    </row>
    <row r="165" spans="1:5">
      <c r="A165" s="555" t="s">
        <v>1073</v>
      </c>
      <c r="B165" s="549" t="s">
        <v>1074</v>
      </c>
      <c r="C165" s="551">
        <v>42372474</v>
      </c>
      <c r="D165" s="557">
        <v>423724.74</v>
      </c>
      <c r="E165" s="558">
        <f>D165/C165</f>
        <v>0.01</v>
      </c>
    </row>
    <row r="166" spans="1:5">
      <c r="A166" s="555" t="s">
        <v>1075</v>
      </c>
      <c r="B166" s="549" t="s">
        <v>1076</v>
      </c>
      <c r="C166" s="551">
        <v>35838618</v>
      </c>
      <c r="D166" s="557">
        <v>35838618</v>
      </c>
      <c r="E166" s="558">
        <f>D166/C166</f>
        <v>1</v>
      </c>
    </row>
    <row r="167" spans="1:5">
      <c r="A167" s="555" t="s">
        <v>1077</v>
      </c>
      <c r="B167" s="549" t="s">
        <v>1078</v>
      </c>
      <c r="C167" s="551">
        <v>124508818</v>
      </c>
      <c r="D167" s="557">
        <v>115793200.74</v>
      </c>
      <c r="E167" s="558">
        <f>D167/C167</f>
        <v>0.93</v>
      </c>
    </row>
    <row r="168" spans="1:5">
      <c r="A168" s="555" t="s">
        <v>1079</v>
      </c>
      <c r="B168" s="549" t="s">
        <v>1080</v>
      </c>
      <c r="C168" s="551">
        <v>1784000000</v>
      </c>
      <c r="D168" s="557">
        <v>1338000000</v>
      </c>
      <c r="E168" s="558">
        <f>D168/C168</f>
        <v>0.75</v>
      </c>
    </row>
    <row r="169" spans="1:5">
      <c r="A169" s="555" t="s">
        <v>1081</v>
      </c>
      <c r="B169" s="549" t="s">
        <v>1082</v>
      </c>
      <c r="C169" s="551">
        <v>258753108</v>
      </c>
      <c r="D169" s="557">
        <v>119026429.68</v>
      </c>
      <c r="E169" s="558">
        <f>D169/C169</f>
        <v>0.46</v>
      </c>
    </row>
    <row r="170" spans="1:5">
      <c r="A170" s="555" t="s">
        <v>1083</v>
      </c>
      <c r="B170" s="549" t="s">
        <v>1084</v>
      </c>
      <c r="C170" s="551">
        <v>156709425</v>
      </c>
      <c r="D170" s="557">
        <v>1405683542.25</v>
      </c>
      <c r="E170" s="558">
        <f>D170/C170</f>
        <v>8.97</v>
      </c>
    </row>
    <row r="171" spans="1:5">
      <c r="A171" s="555" t="s">
        <v>1085</v>
      </c>
      <c r="B171" s="549" t="s">
        <v>1086</v>
      </c>
      <c r="C171" s="551">
        <v>822677853</v>
      </c>
      <c r="D171" s="557">
        <v>13763400480.69</v>
      </c>
      <c r="E171" s="558">
        <f>D171/C171</f>
        <v>16.73</v>
      </c>
    </row>
    <row r="172" spans="1:5">
      <c r="A172" s="555" t="s">
        <v>1087</v>
      </c>
      <c r="B172" s="549" t="s">
        <v>1088</v>
      </c>
      <c r="C172" s="551">
        <v>22336978</v>
      </c>
      <c r="D172" s="557">
        <v>22336978</v>
      </c>
      <c r="E172" s="558">
        <f>D172/C172</f>
        <v>1</v>
      </c>
    </row>
    <row r="173" spans="1:5">
      <c r="A173" s="555" t="s">
        <v>1089</v>
      </c>
      <c r="B173" s="549" t="s">
        <v>1090</v>
      </c>
      <c r="C173" s="551">
        <v>530128</v>
      </c>
      <c r="D173" s="557">
        <v>530128000</v>
      </c>
      <c r="E173" s="558">
        <f>D173/C173</f>
        <v>1000</v>
      </c>
    </row>
    <row r="174" spans="1:5">
      <c r="A174" s="555" t="s">
        <v>1091</v>
      </c>
      <c r="B174" s="549" t="s">
        <v>1092</v>
      </c>
      <c r="C174" s="551">
        <v>94041778</v>
      </c>
      <c r="D174" s="557">
        <v>29246992.96</v>
      </c>
      <c r="E174" s="558">
        <f>D174/C174</f>
        <v>0.31100000002127</v>
      </c>
    </row>
    <row r="175" spans="1:5">
      <c r="A175" s="555" t="s">
        <v>1093</v>
      </c>
      <c r="B175" s="549" t="s">
        <v>1094</v>
      </c>
      <c r="C175" s="551">
        <v>446050471</v>
      </c>
      <c r="D175" s="557">
        <v>13029134257.91</v>
      </c>
      <c r="E175" s="558">
        <f>D175/C175</f>
        <v>29.21</v>
      </c>
    </row>
    <row r="176" spans="1:5">
      <c r="A176" s="555" t="s">
        <v>1095</v>
      </c>
      <c r="B176" s="549" t="s">
        <v>1096</v>
      </c>
      <c r="C176" s="551">
        <v>217469860</v>
      </c>
      <c r="D176" s="557">
        <v>63066259.4</v>
      </c>
      <c r="E176" s="558">
        <f>D176/C176</f>
        <v>0.29</v>
      </c>
    </row>
    <row r="177" spans="1:5">
      <c r="A177" s="555" t="s">
        <v>1097</v>
      </c>
      <c r="B177" s="549" t="s">
        <v>1098</v>
      </c>
      <c r="C177" s="551">
        <v>2139218</v>
      </c>
      <c r="D177" s="557">
        <v>2139218</v>
      </c>
      <c r="E177" s="558">
        <f>D177/C177</f>
        <v>1</v>
      </c>
    </row>
    <row r="178" spans="1:5">
      <c r="A178" s="555" t="s">
        <v>1099</v>
      </c>
      <c r="B178" s="549" t="s">
        <v>1100</v>
      </c>
      <c r="C178" s="551">
        <v>29995325</v>
      </c>
      <c r="D178" s="557">
        <v>76686208.75</v>
      </c>
      <c r="E178" s="558">
        <f>D178/C178</f>
        <v>2.556605362669</v>
      </c>
    </row>
    <row r="179" spans="1:5">
      <c r="A179" s="555" t="s">
        <v>1101</v>
      </c>
      <c r="B179" s="549" t="s">
        <v>1102</v>
      </c>
      <c r="C179" s="551">
        <v>350056012</v>
      </c>
      <c r="D179" s="557">
        <v>10466674758.8</v>
      </c>
      <c r="E179" s="558">
        <f>D179/C179</f>
        <v>29.9</v>
      </c>
    </row>
    <row r="180" spans="1:5">
      <c r="A180" s="555" t="s">
        <v>1103</v>
      </c>
      <c r="B180" s="549" t="s">
        <v>1104</v>
      </c>
      <c r="C180" s="551">
        <v>31890365</v>
      </c>
      <c r="D180" s="557">
        <v>478355475</v>
      </c>
      <c r="E180" s="558">
        <f>D180/C180</f>
        <v>15</v>
      </c>
    </row>
    <row r="181" spans="1:5">
      <c r="A181" s="555" t="s">
        <v>1105</v>
      </c>
      <c r="B181" s="549" t="s">
        <v>1106</v>
      </c>
      <c r="C181" s="551">
        <v>155971426</v>
      </c>
      <c r="D181" s="557">
        <v>889037128.2</v>
      </c>
      <c r="E181" s="558">
        <f>D181/C181</f>
        <v>5.7</v>
      </c>
    </row>
    <row r="182" spans="1:5">
      <c r="A182" s="555" t="s">
        <v>1107</v>
      </c>
      <c r="B182" s="549" t="s">
        <v>1108</v>
      </c>
      <c r="C182" s="551">
        <v>1086</v>
      </c>
      <c r="D182" s="557">
        <v>10860000</v>
      </c>
      <c r="E182" s="558">
        <f>D182/C182</f>
        <v>10000</v>
      </c>
    </row>
    <row r="183" spans="1:5">
      <c r="A183" s="555" t="s">
        <v>1109</v>
      </c>
      <c r="B183" s="549" t="s">
        <v>1110</v>
      </c>
      <c r="C183" s="551">
        <v>884596086</v>
      </c>
      <c r="D183" s="557">
        <v>74306071224</v>
      </c>
      <c r="E183" s="558">
        <f>D183/C183</f>
        <v>84</v>
      </c>
    </row>
    <row r="184" spans="1:5">
      <c r="A184" s="555" t="s">
        <v>1111</v>
      </c>
      <c r="B184" s="549" t="s">
        <v>1112</v>
      </c>
      <c r="C184" s="551">
        <v>54209936</v>
      </c>
      <c r="D184" s="557">
        <v>3472146400.8</v>
      </c>
      <c r="E184" s="558">
        <f>D184/C184</f>
        <v>64.05</v>
      </c>
    </row>
    <row r="185" spans="1:5">
      <c r="A185" s="555" t="s">
        <v>1113</v>
      </c>
      <c r="B185" s="549" t="s">
        <v>1114</v>
      </c>
      <c r="C185" s="551">
        <v>63087848</v>
      </c>
      <c r="D185" s="557">
        <v>63087848</v>
      </c>
      <c r="E185" s="558">
        <f>D185/C185</f>
        <v>1</v>
      </c>
    </row>
    <row r="186" spans="1:5">
      <c r="A186" s="555" t="s">
        <v>1115</v>
      </c>
      <c r="B186" s="549" t="s">
        <v>1116</v>
      </c>
      <c r="C186" s="551">
        <v>4187546306</v>
      </c>
      <c r="D186" s="557">
        <v>1926271300.76</v>
      </c>
      <c r="E186" s="558">
        <f>D186/C186</f>
        <v>0.46</v>
      </c>
    </row>
    <row r="187" spans="1:5">
      <c r="A187" s="555" t="s">
        <v>1117</v>
      </c>
      <c r="B187" s="549" t="s">
        <v>1118</v>
      </c>
      <c r="C187" s="551">
        <v>32123547</v>
      </c>
      <c r="D187" s="557">
        <v>32123547</v>
      </c>
      <c r="E187" s="558">
        <f>D187/C187</f>
        <v>1</v>
      </c>
    </row>
    <row r="188" spans="1:5">
      <c r="A188" s="555" t="s">
        <v>1119</v>
      </c>
      <c r="B188" s="549" t="s">
        <v>1120</v>
      </c>
      <c r="C188" s="551">
        <v>391303927</v>
      </c>
      <c r="D188" s="557">
        <v>66521667.59</v>
      </c>
      <c r="E188" s="558">
        <f>D188/C188</f>
        <v>0.17</v>
      </c>
    </row>
    <row r="189" spans="1:5">
      <c r="A189" s="555" t="s">
        <v>1121</v>
      </c>
      <c r="B189" s="549" t="s">
        <v>1122</v>
      </c>
      <c r="C189" s="551">
        <v>668287</v>
      </c>
      <c r="D189" s="557">
        <v>66828700</v>
      </c>
      <c r="E189" s="558">
        <f>D189/C189</f>
        <v>100</v>
      </c>
    </row>
    <row r="190" spans="1:5">
      <c r="A190" s="555" t="s">
        <v>1123</v>
      </c>
      <c r="B190" s="549" t="s">
        <v>1124</v>
      </c>
      <c r="C190" s="551">
        <v>174600000</v>
      </c>
      <c r="D190" s="557">
        <v>174600000</v>
      </c>
      <c r="E190" s="558">
        <f>D190/C190</f>
        <v>1</v>
      </c>
    </row>
    <row r="191" spans="1:5">
      <c r="A191" s="555" t="s">
        <v>1125</v>
      </c>
      <c r="B191" s="549" t="s">
        <v>1126</v>
      </c>
      <c r="C191" s="551">
        <v>1818127611</v>
      </c>
      <c r="D191" s="557">
        <v>2999910558.15</v>
      </c>
      <c r="E191" s="558">
        <f>D191/C191</f>
        <v>1.65</v>
      </c>
    </row>
    <row r="192" spans="1:5">
      <c r="A192" s="555" t="s">
        <v>1127</v>
      </c>
      <c r="B192" s="549" t="s">
        <v>1128</v>
      </c>
      <c r="C192" s="551">
        <v>319894</v>
      </c>
      <c r="D192" s="557">
        <v>71976150</v>
      </c>
      <c r="E192" s="558">
        <f>D192/C192</f>
        <v>225</v>
      </c>
    </row>
    <row r="193" spans="1:5">
      <c r="A193" s="555" t="s">
        <v>1129</v>
      </c>
      <c r="B193" s="549" t="s">
        <v>1130</v>
      </c>
      <c r="C193" s="551">
        <v>122337761</v>
      </c>
      <c r="D193" s="557">
        <v>116220872.95</v>
      </c>
      <c r="E193" s="558">
        <f>D193/C193</f>
        <v>0.95</v>
      </c>
    </row>
    <row r="194" spans="1:5">
      <c r="A194" s="555" t="s">
        <v>1131</v>
      </c>
      <c r="B194" s="549" t="s">
        <v>1132</v>
      </c>
      <c r="C194" s="551">
        <v>1633414552</v>
      </c>
      <c r="D194" s="557">
        <v>1992765753.44</v>
      </c>
      <c r="E194" s="558">
        <f>D194/C194</f>
        <v>1.22</v>
      </c>
    </row>
    <row r="195" spans="1:5">
      <c r="A195" s="555" t="s">
        <v>1133</v>
      </c>
      <c r="B195" s="549" t="s">
        <v>1134</v>
      </c>
      <c r="C195" s="551">
        <v>5250000</v>
      </c>
      <c r="D195" s="557">
        <v>5250000</v>
      </c>
      <c r="E195" s="558">
        <f>D195/C195</f>
        <v>1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Plantilla Usuario</vt:lpstr>
      <vt:lpstr>WACC</vt:lpstr>
      <vt:lpstr>Damondaran Industries</vt:lpstr>
      <vt:lpstr>M. por conceptos</vt:lpstr>
      <vt:lpstr>EE.FF Económicos</vt:lpstr>
      <vt:lpstr>Devaluación</vt:lpstr>
      <vt:lpstr>Rf Ajustado</vt:lpstr>
      <vt:lpstr>Rf Base de datos</vt:lpstr>
      <vt:lpstr>Embi</vt:lpstr>
      <vt:lpstr>Koa-Boa</vt:lpstr>
      <vt:lpstr>Prima de mercado</vt:lpstr>
      <vt:lpstr>IR</vt:lpstr>
      <vt:lpstr>Flujos</vt:lpstr>
      <vt:lpstr>Tablas</vt:lpstr>
      <vt:lpstr>M. Integrado</vt:lpstr>
      <vt:lpstr>Hoja1</vt:lpstr>
      <vt:lpstr>Sensibilidad</vt:lpstr>
      <vt:lpstr>BVL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2024-06-03T09:08:17-05:00</dcterms:created>
  <dcterms:modified xsi:type="dcterms:W3CDTF">2025-08-22T10:32:03-05:00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0x010100C33C60713BB880419FC91308F347376A</vt:lpwstr>
  </property>
</Properties>
</file>